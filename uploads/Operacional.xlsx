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Jhon\Esni app\His_system_V3\uploads\"/>
    </mc:Choice>
  </mc:AlternateContent>
  <xr:revisionPtr revIDLastSave="0" documentId="13_ncr:1_{3BB699E1-7594-4B9D-9802-83BC1D356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8" i="1" l="1"/>
  <c r="TA28" i="1"/>
  <c r="SX28" i="1"/>
  <c r="SU28" i="1"/>
  <c r="SR28" i="1"/>
  <c r="SN28" i="1"/>
  <c r="SG28" i="1"/>
  <c r="SC28" i="1"/>
  <c r="RU28" i="1"/>
  <c r="RN28" i="1"/>
  <c r="RG28" i="1"/>
  <c r="QZ28" i="1"/>
  <c r="QS28" i="1"/>
  <c r="QL28" i="1"/>
  <c r="QD28" i="1"/>
  <c r="PZ28" i="1"/>
  <c r="PV28" i="1"/>
  <c r="PR28" i="1"/>
  <c r="PN28" i="1"/>
  <c r="PJ28" i="1"/>
  <c r="PF28" i="1"/>
  <c r="PB28" i="1"/>
  <c r="OX28" i="1"/>
  <c r="OR28" i="1"/>
  <c r="OC28" i="1"/>
  <c r="NY28" i="1"/>
  <c r="NU28" i="1"/>
  <c r="NQ28" i="1"/>
  <c r="NM28" i="1"/>
  <c r="NI28" i="1"/>
  <c r="NE28" i="1"/>
  <c r="NA28" i="1"/>
  <c r="MW28" i="1"/>
  <c r="ML28" i="1"/>
  <c r="MJ28" i="1"/>
  <c r="MH28" i="1"/>
  <c r="MF28" i="1"/>
  <c r="MD28" i="1"/>
  <c r="MB28" i="1"/>
  <c r="LX28" i="1"/>
  <c r="LT28" i="1"/>
  <c r="LP28" i="1"/>
  <c r="LL28" i="1"/>
  <c r="LH28" i="1"/>
  <c r="LD28" i="1"/>
  <c r="KZ28" i="1"/>
  <c r="JF28" i="1"/>
  <c r="JB28" i="1"/>
  <c r="IX28" i="1"/>
  <c r="IT28" i="1"/>
  <c r="IO28" i="1"/>
  <c r="IJ28" i="1"/>
  <c r="IE28" i="1"/>
  <c r="HZ28" i="1"/>
  <c r="HV28" i="1"/>
  <c r="HQ28" i="1"/>
  <c r="HL28" i="1"/>
  <c r="HG28" i="1"/>
  <c r="HB28" i="1"/>
  <c r="GW28" i="1"/>
  <c r="GR28" i="1"/>
  <c r="GN28" i="1"/>
  <c r="GE28" i="1"/>
  <c r="GB28" i="1"/>
  <c r="FY28" i="1"/>
  <c r="FV28" i="1"/>
  <c r="FR28" i="1"/>
  <c r="FK28" i="1"/>
  <c r="FG28" i="1"/>
  <c r="EU28" i="1"/>
  <c r="ER28" i="1"/>
  <c r="EO28" i="1"/>
  <c r="EL28" i="1"/>
  <c r="EH28" i="1"/>
  <c r="EA28" i="1"/>
  <c r="DW28" i="1"/>
  <c r="DK28" i="1"/>
  <c r="DH28" i="1"/>
  <c r="DE28" i="1"/>
  <c r="DB28" i="1"/>
  <c r="CX28" i="1"/>
  <c r="CQ28" i="1"/>
  <c r="CL28" i="1"/>
  <c r="CC28" i="1"/>
  <c r="BZ28" i="1"/>
  <c r="BW28" i="1"/>
  <c r="BS28" i="1"/>
  <c r="BD28" i="1"/>
  <c r="AU28" i="1"/>
  <c r="AP28" i="1"/>
  <c r="AL28" i="1"/>
  <c r="AH28" i="1"/>
  <c r="AD28" i="1"/>
  <c r="AA28" i="1"/>
  <c r="X28" i="1"/>
  <c r="T28" i="1"/>
  <c r="O28" i="1"/>
  <c r="L28" i="1"/>
  <c r="H28" i="1"/>
  <c r="TA78" i="1"/>
  <c r="SX78" i="1"/>
  <c r="SU78" i="1"/>
  <c r="SR78" i="1"/>
  <c r="SR77" i="1" s="1"/>
  <c r="SR76" i="1" s="1"/>
  <c r="SN78" i="1"/>
  <c r="SG78" i="1"/>
  <c r="SC78" i="1"/>
  <c r="RU78" i="1"/>
  <c r="RU77" i="1" s="1"/>
  <c r="RU76" i="1" s="1"/>
  <c r="RN78" i="1"/>
  <c r="RG78" i="1"/>
  <c r="QZ78" i="1"/>
  <c r="QS78" i="1"/>
  <c r="QS77" i="1" s="1"/>
  <c r="QS76" i="1" s="1"/>
  <c r="QL78" i="1"/>
  <c r="OR78" i="1"/>
  <c r="NY78" i="1"/>
  <c r="NU78" i="1"/>
  <c r="NU77" i="1" s="1"/>
  <c r="NU76" i="1" s="1"/>
  <c r="NQ78" i="1"/>
  <c r="NM78" i="1"/>
  <c r="NI78" i="1"/>
  <c r="MJ78" i="1"/>
  <c r="MJ77" i="1" s="1"/>
  <c r="MJ76" i="1" s="1"/>
  <c r="MH78" i="1"/>
  <c r="MF78" i="1"/>
  <c r="MD78" i="1"/>
  <c r="MB78" i="1"/>
  <c r="MB77" i="1" s="1"/>
  <c r="MB76" i="1" s="1"/>
  <c r="LP78" i="1"/>
  <c r="LL78" i="1"/>
  <c r="LH78" i="1"/>
  <c r="LD78" i="1"/>
  <c r="LD77" i="1" s="1"/>
  <c r="LD76" i="1" s="1"/>
  <c r="JF78" i="1"/>
  <c r="JB78" i="1"/>
  <c r="IX78" i="1"/>
  <c r="IT78" i="1"/>
  <c r="IT77" i="1" s="1"/>
  <c r="IT76" i="1" s="1"/>
  <c r="IO78" i="1"/>
  <c r="IE78" i="1"/>
  <c r="HZ78" i="1"/>
  <c r="HQ78" i="1"/>
  <c r="HQ77" i="1" s="1"/>
  <c r="HQ76" i="1" s="1"/>
  <c r="HG78" i="1"/>
  <c r="HB78" i="1"/>
  <c r="GE78" i="1"/>
  <c r="DE78" i="1"/>
  <c r="DE77" i="1" s="1"/>
  <c r="DE76" i="1" s="1"/>
  <c r="DB78" i="1"/>
  <c r="CX78" i="1"/>
  <c r="BS78" i="1"/>
  <c r="AU78" i="1"/>
  <c r="AU77" i="1" s="1"/>
  <c r="AU76" i="1" s="1"/>
  <c r="AP78" i="1"/>
  <c r="AL78" i="1"/>
  <c r="AH78" i="1"/>
  <c r="AA78" i="1"/>
  <c r="AA77" i="1" s="1"/>
  <c r="AA76" i="1" s="1"/>
  <c r="X78" i="1"/>
  <c r="T78" i="1"/>
  <c r="O78" i="1"/>
  <c r="UC77" i="1"/>
  <c r="UC76" i="1" s="1"/>
  <c r="UB77" i="1"/>
  <c r="UA77" i="1"/>
  <c r="TZ77" i="1"/>
  <c r="TY77" i="1"/>
  <c r="TY76" i="1" s="1"/>
  <c r="TX77" i="1"/>
  <c r="TW77" i="1"/>
  <c r="TV77" i="1"/>
  <c r="TU77" i="1"/>
  <c r="TU76" i="1" s="1"/>
  <c r="TT77" i="1"/>
  <c r="TS77" i="1"/>
  <c r="TR77" i="1"/>
  <c r="TQ77" i="1"/>
  <c r="TQ76" i="1" s="1"/>
  <c r="TP77" i="1"/>
  <c r="TO77" i="1"/>
  <c r="TN77" i="1"/>
  <c r="TM77" i="1"/>
  <c r="TM76" i="1" s="1"/>
  <c r="TL77" i="1"/>
  <c r="TK77" i="1"/>
  <c r="TJ77" i="1"/>
  <c r="TI77" i="1"/>
  <c r="TI76" i="1" s="1"/>
  <c r="TH77" i="1"/>
  <c r="TG77" i="1"/>
  <c r="TF77" i="1"/>
  <c r="TC77" i="1"/>
  <c r="TC76" i="1" s="1"/>
  <c r="TB77" i="1"/>
  <c r="TA77" i="1"/>
  <c r="SZ77" i="1"/>
  <c r="SY77" i="1"/>
  <c r="SY76" i="1" s="1"/>
  <c r="SX77" i="1"/>
  <c r="SW77" i="1"/>
  <c r="SV77" i="1"/>
  <c r="SU77" i="1"/>
  <c r="SU76" i="1" s="1"/>
  <c r="ST77" i="1"/>
  <c r="SS77" i="1"/>
  <c r="SQ77" i="1"/>
  <c r="SQ76" i="1" s="1"/>
  <c r="SP77" i="1"/>
  <c r="SO77" i="1"/>
  <c r="SN77" i="1"/>
  <c r="SM77" i="1"/>
  <c r="SM76" i="1" s="1"/>
  <c r="SL77" i="1"/>
  <c r="SK77" i="1"/>
  <c r="SJ77" i="1"/>
  <c r="SI77" i="1"/>
  <c r="SI76" i="1" s="1"/>
  <c r="SH77" i="1"/>
  <c r="SG77" i="1"/>
  <c r="SF77" i="1"/>
  <c r="SE77" i="1"/>
  <c r="SE76" i="1" s="1"/>
  <c r="SD77" i="1"/>
  <c r="SC77" i="1"/>
  <c r="SB77" i="1"/>
  <c r="SA77" i="1"/>
  <c r="SA76" i="1" s="1"/>
  <c r="RZ77" i="1"/>
  <c r="RY77" i="1"/>
  <c r="RX77" i="1"/>
  <c r="RW77" i="1"/>
  <c r="RW76" i="1" s="1"/>
  <c r="RV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W77" i="1"/>
  <c r="OV77" i="1"/>
  <c r="OU77" i="1"/>
  <c r="OT77" i="1"/>
  <c r="OX77" i="1" s="1"/>
  <c r="OS77" i="1"/>
  <c r="OQ77" i="1"/>
  <c r="OP77" i="1"/>
  <c r="OP76" i="1" s="1"/>
  <c r="OO77" i="1"/>
  <c r="ON77" i="1"/>
  <c r="OM77" i="1"/>
  <c r="OL77" i="1"/>
  <c r="OL76" i="1" s="1"/>
  <c r="OK77" i="1"/>
  <c r="OJ77" i="1"/>
  <c r="OI77" i="1"/>
  <c r="OH77" i="1"/>
  <c r="OH76" i="1" s="1"/>
  <c r="OG77" i="1"/>
  <c r="OF77" i="1"/>
  <c r="OE77" i="1"/>
  <c r="OD77" i="1"/>
  <c r="OC77" i="1"/>
  <c r="OB77" i="1"/>
  <c r="OA77" i="1"/>
  <c r="NZ77" i="1"/>
  <c r="NZ76" i="1" s="1"/>
  <c r="NY77" i="1"/>
  <c r="NX77" i="1"/>
  <c r="NW77" i="1"/>
  <c r="NV77" i="1"/>
  <c r="NV76" i="1" s="1"/>
  <c r="NY76" i="1" s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I77" i="1"/>
  <c r="MH77" i="1"/>
  <c r="MG77" i="1"/>
  <c r="MF77" i="1"/>
  <c r="ME77" i="1"/>
  <c r="MD77" i="1"/>
  <c r="MC77" i="1"/>
  <c r="MA77" i="1"/>
  <c r="LZ77" i="1"/>
  <c r="LY77" i="1"/>
  <c r="LW77" i="1"/>
  <c r="LV77" i="1"/>
  <c r="LU77" i="1"/>
  <c r="LT77" i="1"/>
  <c r="LS77" i="1"/>
  <c r="LR77" i="1"/>
  <c r="LR76" i="1" s="1"/>
  <c r="LQ77" i="1"/>
  <c r="LP77" i="1"/>
  <c r="LO77" i="1"/>
  <c r="LN77" i="1"/>
  <c r="LN76" i="1" s="1"/>
  <c r="LM77" i="1"/>
  <c r="LL77" i="1"/>
  <c r="LK77" i="1"/>
  <c r="LJ77" i="1"/>
  <c r="LJ76" i="1" s="1"/>
  <c r="LI77" i="1"/>
  <c r="LH77" i="1"/>
  <c r="LG77" i="1"/>
  <c r="LF77" i="1"/>
  <c r="LF76" i="1" s="1"/>
  <c r="LE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M77" i="1"/>
  <c r="GL77" i="1"/>
  <c r="GN77" i="1" s="1"/>
  <c r="GK77" i="1"/>
  <c r="GJ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D77" i="1"/>
  <c r="DD76" i="1" s="1"/>
  <c r="DC77" i="1"/>
  <c r="DB77" i="1"/>
  <c r="DA77" i="1"/>
  <c r="CZ77" i="1"/>
  <c r="CZ76" i="1" s="1"/>
  <c r="CY77" i="1"/>
  <c r="CX77" i="1"/>
  <c r="CW77" i="1"/>
  <c r="CV77" i="1"/>
  <c r="CV76" i="1" s="1"/>
  <c r="CU77" i="1"/>
  <c r="CT77" i="1"/>
  <c r="CS77" i="1"/>
  <c r="CR77" i="1"/>
  <c r="CR76" i="1" s="1"/>
  <c r="CQ77" i="1"/>
  <c r="CP77" i="1"/>
  <c r="CO77" i="1"/>
  <c r="CN77" i="1"/>
  <c r="CN76" i="1" s="1"/>
  <c r="CM77" i="1"/>
  <c r="CL77" i="1"/>
  <c r="CK77" i="1"/>
  <c r="CJ77" i="1"/>
  <c r="CJ76" i="1" s="1"/>
  <c r="CI77" i="1"/>
  <c r="CH77" i="1"/>
  <c r="CG77" i="1"/>
  <c r="CF77" i="1"/>
  <c r="CF76" i="1" s="1"/>
  <c r="CE77" i="1"/>
  <c r="CD77" i="1"/>
  <c r="CC77" i="1"/>
  <c r="CB77" i="1"/>
  <c r="CB76" i="1" s="1"/>
  <c r="CA77" i="1"/>
  <c r="BZ77" i="1"/>
  <c r="BY77" i="1"/>
  <c r="BX77" i="1"/>
  <c r="BX76" i="1" s="1"/>
  <c r="BW77" i="1"/>
  <c r="BV77" i="1"/>
  <c r="BU77" i="1"/>
  <c r="BT77" i="1"/>
  <c r="BT76" i="1" s="1"/>
  <c r="BS77" i="1"/>
  <c r="BR77" i="1"/>
  <c r="BQ77" i="1"/>
  <c r="BP77" i="1"/>
  <c r="BP76" i="1" s="1"/>
  <c r="BO77" i="1"/>
  <c r="BN77" i="1"/>
  <c r="BM77" i="1"/>
  <c r="BL77" i="1"/>
  <c r="BL76" i="1" s="1"/>
  <c r="BK77" i="1"/>
  <c r="BJ77" i="1"/>
  <c r="BI77" i="1"/>
  <c r="BH77" i="1"/>
  <c r="BH76" i="1" s="1"/>
  <c r="BG77" i="1"/>
  <c r="BF77" i="1"/>
  <c r="BE77" i="1"/>
  <c r="BD77" i="1"/>
  <c r="BD76" i="1" s="1"/>
  <c r="BC77" i="1"/>
  <c r="BB77" i="1"/>
  <c r="BA77" i="1"/>
  <c r="AZ77" i="1"/>
  <c r="AZ76" i="1" s="1"/>
  <c r="AY77" i="1"/>
  <c r="AX77" i="1"/>
  <c r="AW77" i="1"/>
  <c r="AV77" i="1"/>
  <c r="AV76" i="1" s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UB76" i="1"/>
  <c r="UA76" i="1"/>
  <c r="TZ76" i="1"/>
  <c r="TX76" i="1"/>
  <c r="TW76" i="1"/>
  <c r="TV76" i="1"/>
  <c r="TT76" i="1"/>
  <c r="TS76" i="1"/>
  <c r="TR76" i="1"/>
  <c r="TP76" i="1"/>
  <c r="TO76" i="1"/>
  <c r="TN76" i="1"/>
  <c r="TL76" i="1"/>
  <c r="TK76" i="1"/>
  <c r="TJ76" i="1"/>
  <c r="TH76" i="1"/>
  <c r="TG76" i="1"/>
  <c r="TF76" i="1"/>
  <c r="TB76" i="1"/>
  <c r="TA76" i="1"/>
  <c r="SZ76" i="1"/>
  <c r="SX76" i="1"/>
  <c r="SW76" i="1"/>
  <c r="SV76" i="1"/>
  <c r="ST76" i="1"/>
  <c r="SS76" i="1"/>
  <c r="SP76" i="1"/>
  <c r="SO76" i="1"/>
  <c r="SN76" i="1"/>
  <c r="SL76" i="1"/>
  <c r="SK76" i="1"/>
  <c r="SJ76" i="1"/>
  <c r="SH76" i="1"/>
  <c r="SG76" i="1"/>
  <c r="SF76" i="1"/>
  <c r="SD76" i="1"/>
  <c r="SC76" i="1"/>
  <c r="SB76" i="1"/>
  <c r="RZ76" i="1"/>
  <c r="RY76" i="1"/>
  <c r="RX76" i="1"/>
  <c r="RV76" i="1"/>
  <c r="RT76" i="1"/>
  <c r="RS76" i="1"/>
  <c r="RR76" i="1"/>
  <c r="RQ76" i="1"/>
  <c r="RP76" i="1"/>
  <c r="RO76" i="1"/>
  <c r="RN76" i="1"/>
  <c r="RM76" i="1"/>
  <c r="RL76" i="1"/>
  <c r="RK76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W76" i="1"/>
  <c r="OV76" i="1"/>
  <c r="OU76" i="1"/>
  <c r="OT76" i="1"/>
  <c r="OX76" i="1" s="1"/>
  <c r="OS76" i="1"/>
  <c r="OQ76" i="1"/>
  <c r="OO76" i="1"/>
  <c r="ON76" i="1"/>
  <c r="OM76" i="1"/>
  <c r="OK76" i="1"/>
  <c r="OJ76" i="1"/>
  <c r="OI76" i="1"/>
  <c r="OG76" i="1"/>
  <c r="OF76" i="1"/>
  <c r="OE76" i="1"/>
  <c r="OC76" i="1"/>
  <c r="OB76" i="1"/>
  <c r="OA76" i="1"/>
  <c r="NX76" i="1"/>
  <c r="NW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G76" i="1"/>
  <c r="NF76" i="1"/>
  <c r="NE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I76" i="1"/>
  <c r="MH76" i="1"/>
  <c r="MG76" i="1"/>
  <c r="MF76" i="1"/>
  <c r="ME76" i="1"/>
  <c r="MD76" i="1"/>
  <c r="MC76" i="1"/>
  <c r="MA76" i="1"/>
  <c r="LZ76" i="1"/>
  <c r="LY76" i="1"/>
  <c r="LW76" i="1"/>
  <c r="LU76" i="1"/>
  <c r="LT76" i="1"/>
  <c r="LS76" i="1"/>
  <c r="LQ76" i="1"/>
  <c r="LP76" i="1"/>
  <c r="LO76" i="1"/>
  <c r="LM76" i="1"/>
  <c r="LL76" i="1"/>
  <c r="LK76" i="1"/>
  <c r="LI76" i="1"/>
  <c r="LH76" i="1"/>
  <c r="LG76" i="1"/>
  <c r="LE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M76" i="1"/>
  <c r="GL76" i="1"/>
  <c r="GK76" i="1"/>
  <c r="GJ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C76" i="1"/>
  <c r="DB76" i="1"/>
  <c r="DA76" i="1"/>
  <c r="CY76" i="1"/>
  <c r="CX76" i="1"/>
  <c r="CW76" i="1"/>
  <c r="CU76" i="1"/>
  <c r="CT76" i="1"/>
  <c r="CS76" i="1"/>
  <c r="CQ76" i="1"/>
  <c r="CP76" i="1"/>
  <c r="CO76" i="1"/>
  <c r="CM76" i="1"/>
  <c r="CL76" i="1"/>
  <c r="CK76" i="1"/>
  <c r="CI76" i="1"/>
  <c r="CH76" i="1"/>
  <c r="CG76" i="1"/>
  <c r="CE76" i="1"/>
  <c r="CD76" i="1"/>
  <c r="CC76" i="1"/>
  <c r="CA76" i="1"/>
  <c r="BZ76" i="1"/>
  <c r="BY76" i="1"/>
  <c r="BW76" i="1"/>
  <c r="BV76" i="1"/>
  <c r="BU76" i="1"/>
  <c r="BS76" i="1"/>
  <c r="BR76" i="1"/>
  <c r="BQ76" i="1"/>
  <c r="BO76" i="1"/>
  <c r="BN76" i="1"/>
  <c r="BM76" i="1"/>
  <c r="BK76" i="1"/>
  <c r="BJ76" i="1"/>
  <c r="BI76" i="1"/>
  <c r="BG76" i="1"/>
  <c r="BF76" i="1"/>
  <c r="BE76" i="1"/>
  <c r="BC76" i="1"/>
  <c r="BB76" i="1"/>
  <c r="BA76" i="1"/>
  <c r="AY76" i="1"/>
  <c r="AX76" i="1"/>
  <c r="AW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OR75" i="1"/>
  <c r="OR72" i="1" s="1"/>
  <c r="NY75" i="1"/>
  <c r="MJ75" i="1"/>
  <c r="MH75" i="1"/>
  <c r="MF75" i="1"/>
  <c r="MF72" i="1" s="1"/>
  <c r="MD75" i="1"/>
  <c r="LL75" i="1"/>
  <c r="LH75" i="1"/>
  <c r="LD75" i="1"/>
  <c r="LD72" i="1" s="1"/>
  <c r="JB75" i="1"/>
  <c r="IX75" i="1"/>
  <c r="IT75" i="1"/>
  <c r="IO75" i="1"/>
  <c r="IO72" i="1" s="1"/>
  <c r="DE75" i="1"/>
  <c r="DB75" i="1"/>
  <c r="CX75" i="1"/>
  <c r="AL75" i="1"/>
  <c r="AH75" i="1"/>
  <c r="T75" i="1"/>
  <c r="OR74" i="1"/>
  <c r="NY74" i="1"/>
  <c r="NY72" i="1" s="1"/>
  <c r="MJ74" i="1"/>
  <c r="MH74" i="1"/>
  <c r="MF74" i="1"/>
  <c r="MD74" i="1"/>
  <c r="LL74" i="1"/>
  <c r="LH74" i="1"/>
  <c r="LD74" i="1"/>
  <c r="JB74" i="1"/>
  <c r="JB72" i="1" s="1"/>
  <c r="IX74" i="1"/>
  <c r="IT74" i="1"/>
  <c r="IO74" i="1"/>
  <c r="DE74" i="1"/>
  <c r="DE72" i="1" s="1"/>
  <c r="DB74" i="1"/>
  <c r="CX74" i="1"/>
  <c r="AL74" i="1"/>
  <c r="AH74" i="1"/>
  <c r="T74" i="1"/>
  <c r="OR73" i="1"/>
  <c r="NY73" i="1"/>
  <c r="MJ73" i="1"/>
  <c r="MJ72" i="1" s="1"/>
  <c r="MH73" i="1"/>
  <c r="MF73" i="1"/>
  <c r="MD73" i="1"/>
  <c r="LL73" i="1"/>
  <c r="LL72" i="1" s="1"/>
  <c r="LH73" i="1"/>
  <c r="LD73" i="1"/>
  <c r="JB73" i="1"/>
  <c r="IX73" i="1"/>
  <c r="IX72" i="1" s="1"/>
  <c r="IT73" i="1"/>
  <c r="IO73" i="1"/>
  <c r="DE73" i="1"/>
  <c r="DB73" i="1"/>
  <c r="CX73" i="1"/>
  <c r="AL73" i="1"/>
  <c r="AH73" i="1"/>
  <c r="T73" i="1"/>
  <c r="T72" i="1" s="1"/>
  <c r="UC72" i="1"/>
  <c r="UB72" i="1"/>
  <c r="UA72" i="1"/>
  <c r="TZ72" i="1"/>
  <c r="TY72" i="1"/>
  <c r="TX72" i="1"/>
  <c r="TW72" i="1"/>
  <c r="TV72" i="1"/>
  <c r="TU72" i="1"/>
  <c r="TT72" i="1"/>
  <c r="TS72" i="1"/>
  <c r="TR72" i="1"/>
  <c r="TQ72" i="1"/>
  <c r="TP72" i="1"/>
  <c r="TO72" i="1"/>
  <c r="TN72" i="1"/>
  <c r="TM72" i="1"/>
  <c r="TL72" i="1"/>
  <c r="TK72" i="1"/>
  <c r="TJ72" i="1"/>
  <c r="TI72" i="1"/>
  <c r="TH72" i="1"/>
  <c r="TG72" i="1"/>
  <c r="TF72" i="1"/>
  <c r="TE72" i="1"/>
  <c r="TD72" i="1"/>
  <c r="TC72" i="1"/>
  <c r="TB72" i="1"/>
  <c r="TB69" i="1" s="1"/>
  <c r="TA72" i="1"/>
  <c r="SZ72" i="1"/>
  <c r="SY72" i="1"/>
  <c r="SX72" i="1"/>
  <c r="SX69" i="1" s="1"/>
  <c r="SW72" i="1"/>
  <c r="SV72" i="1"/>
  <c r="SU72" i="1"/>
  <c r="ST72" i="1"/>
  <c r="ST69" i="1" s="1"/>
  <c r="SS72" i="1"/>
  <c r="SR72" i="1"/>
  <c r="SQ72" i="1"/>
  <c r="SP72" i="1"/>
  <c r="SP69" i="1" s="1"/>
  <c r="SO72" i="1"/>
  <c r="SN72" i="1"/>
  <c r="SM72" i="1"/>
  <c r="SL72" i="1"/>
  <c r="SL69" i="1" s="1"/>
  <c r="SK72" i="1"/>
  <c r="SJ72" i="1"/>
  <c r="SI72" i="1"/>
  <c r="SH72" i="1"/>
  <c r="SH69" i="1" s="1"/>
  <c r="SG72" i="1"/>
  <c r="SF72" i="1"/>
  <c r="SE72" i="1"/>
  <c r="SD72" i="1"/>
  <c r="SD69" i="1" s="1"/>
  <c r="SC72" i="1"/>
  <c r="SB72" i="1"/>
  <c r="SA72" i="1"/>
  <c r="RZ72" i="1"/>
  <c r="RZ69" i="1" s="1"/>
  <c r="RY72" i="1"/>
  <c r="RX72" i="1"/>
  <c r="RW72" i="1"/>
  <c r="RV72" i="1"/>
  <c r="RV69" i="1" s="1"/>
  <c r="RU72" i="1"/>
  <c r="RT72" i="1"/>
  <c r="RS72" i="1"/>
  <c r="RR72" i="1"/>
  <c r="RR69" i="1" s="1"/>
  <c r="RQ72" i="1"/>
  <c r="RP72" i="1"/>
  <c r="RO72" i="1"/>
  <c r="RN72" i="1"/>
  <c r="RN69" i="1" s="1"/>
  <c r="RM72" i="1"/>
  <c r="RL72" i="1"/>
  <c r="RK72" i="1"/>
  <c r="RJ72" i="1"/>
  <c r="RJ69" i="1" s="1"/>
  <c r="RI72" i="1"/>
  <c r="RH72" i="1"/>
  <c r="RG72" i="1"/>
  <c r="RF72" i="1"/>
  <c r="RF69" i="1" s="1"/>
  <c r="RE72" i="1"/>
  <c r="RD72" i="1"/>
  <c r="RC72" i="1"/>
  <c r="RB72" i="1"/>
  <c r="RB69" i="1" s="1"/>
  <c r="RA72" i="1"/>
  <c r="QZ72" i="1"/>
  <c r="QY72" i="1"/>
  <c r="QX72" i="1"/>
  <c r="QX69" i="1" s="1"/>
  <c r="QW72" i="1"/>
  <c r="QV72" i="1"/>
  <c r="QU72" i="1"/>
  <c r="QT72" i="1"/>
  <c r="QT69" i="1" s="1"/>
  <c r="QS72" i="1"/>
  <c r="QR72" i="1"/>
  <c r="QQ72" i="1"/>
  <c r="QP72" i="1"/>
  <c r="QP69" i="1" s="1"/>
  <c r="QO72" i="1"/>
  <c r="QN72" i="1"/>
  <c r="QM72" i="1"/>
  <c r="QL72" i="1"/>
  <c r="QL69" i="1" s="1"/>
  <c r="QK72" i="1"/>
  <c r="QJ72" i="1"/>
  <c r="QI72" i="1"/>
  <c r="QH72" i="1"/>
  <c r="QH69" i="1" s="1"/>
  <c r="QG72" i="1"/>
  <c r="QF72" i="1"/>
  <c r="QE72" i="1"/>
  <c r="QD72" i="1"/>
  <c r="QC72" i="1"/>
  <c r="QB72" i="1"/>
  <c r="QA72" i="1"/>
  <c r="PZ72" i="1"/>
  <c r="PY72" i="1"/>
  <c r="PX72" i="1"/>
  <c r="PW72" i="1"/>
  <c r="PV72" i="1"/>
  <c r="PU72" i="1"/>
  <c r="PT72" i="1"/>
  <c r="PS72" i="1"/>
  <c r="PR72" i="1"/>
  <c r="PQ72" i="1"/>
  <c r="PP72" i="1"/>
  <c r="PO72" i="1"/>
  <c r="PN72" i="1"/>
  <c r="PM72" i="1"/>
  <c r="PL72" i="1"/>
  <c r="PK72" i="1"/>
  <c r="PJ72" i="1"/>
  <c r="PI72" i="1"/>
  <c r="PH72" i="1"/>
  <c r="PG72" i="1"/>
  <c r="PF72" i="1"/>
  <c r="PE72" i="1"/>
  <c r="PD72" i="1"/>
  <c r="PC72" i="1"/>
  <c r="PB72" i="1"/>
  <c r="PA72" i="1"/>
  <c r="OZ72" i="1"/>
  <c r="OY72" i="1"/>
  <c r="OX72" i="1"/>
  <c r="OW72" i="1"/>
  <c r="OV72" i="1"/>
  <c r="OU72" i="1"/>
  <c r="OT72" i="1"/>
  <c r="OT69" i="1" s="1"/>
  <c r="OS72" i="1"/>
  <c r="OQ72" i="1"/>
  <c r="OP72" i="1"/>
  <c r="OO72" i="1"/>
  <c r="ON72" i="1"/>
  <c r="OM72" i="1"/>
  <c r="OL72" i="1"/>
  <c r="OK72" i="1"/>
  <c r="OJ72" i="1"/>
  <c r="OI72" i="1"/>
  <c r="OH72" i="1"/>
  <c r="OG72" i="1"/>
  <c r="OF72" i="1"/>
  <c r="OE72" i="1"/>
  <c r="OD72" i="1"/>
  <c r="OC72" i="1"/>
  <c r="OB72" i="1"/>
  <c r="OA72" i="1"/>
  <c r="NZ72" i="1"/>
  <c r="NX72" i="1"/>
  <c r="NW72" i="1"/>
  <c r="NV72" i="1"/>
  <c r="NU72" i="1"/>
  <c r="NT72" i="1"/>
  <c r="NS72" i="1"/>
  <c r="NR72" i="1"/>
  <c r="NQ72" i="1"/>
  <c r="NP72" i="1"/>
  <c r="NO72" i="1"/>
  <c r="NN72" i="1"/>
  <c r="NM72" i="1"/>
  <c r="NL72" i="1"/>
  <c r="NK72" i="1"/>
  <c r="NJ72" i="1"/>
  <c r="NI72" i="1"/>
  <c r="NH72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I72" i="1"/>
  <c r="MH72" i="1"/>
  <c r="MH69" i="1" s="1"/>
  <c r="MG72" i="1"/>
  <c r="ME72" i="1"/>
  <c r="MD72" i="1"/>
  <c r="MC72" i="1"/>
  <c r="MB72" i="1"/>
  <c r="MA72" i="1"/>
  <c r="LZ72" i="1"/>
  <c r="LY72" i="1"/>
  <c r="LX72" i="1"/>
  <c r="LW72" i="1"/>
  <c r="LV72" i="1"/>
  <c r="LV69" i="1" s="1"/>
  <c r="LU72" i="1"/>
  <c r="LT72" i="1"/>
  <c r="LS72" i="1"/>
  <c r="LR72" i="1"/>
  <c r="LQ72" i="1"/>
  <c r="LP72" i="1"/>
  <c r="LO72" i="1"/>
  <c r="LN72" i="1"/>
  <c r="LM72" i="1"/>
  <c r="LK72" i="1"/>
  <c r="LJ72" i="1"/>
  <c r="LI72" i="1"/>
  <c r="LH72" i="1"/>
  <c r="LG72" i="1"/>
  <c r="LF72" i="1"/>
  <c r="LE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A72" i="1"/>
  <c r="IZ72" i="1"/>
  <c r="IY72" i="1"/>
  <c r="IW72" i="1"/>
  <c r="IV72" i="1"/>
  <c r="IU72" i="1"/>
  <c r="IT72" i="1"/>
  <c r="IS72" i="1"/>
  <c r="IR72" i="1"/>
  <c r="IQ72" i="1"/>
  <c r="IP72" i="1"/>
  <c r="IN72" i="1"/>
  <c r="IM72" i="1"/>
  <c r="IL72" i="1"/>
  <c r="IK72" i="1"/>
  <c r="IJ72" i="1"/>
  <c r="II72" i="1"/>
  <c r="IH72" i="1"/>
  <c r="IG72" i="1"/>
  <c r="IF72" i="1"/>
  <c r="IE72" i="1"/>
  <c r="ID72" i="1"/>
  <c r="ID69" i="1" s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N69" i="1" s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D72" i="1"/>
  <c r="DC72" i="1"/>
  <c r="DB72" i="1"/>
  <c r="DB69" i="1" s="1"/>
  <c r="DA72" i="1"/>
  <c r="CZ72" i="1"/>
  <c r="CY72" i="1"/>
  <c r="CX72" i="1"/>
  <c r="CX69" i="1" s="1"/>
  <c r="CW72" i="1"/>
  <c r="CV72" i="1"/>
  <c r="CU72" i="1"/>
  <c r="CT72" i="1"/>
  <c r="CT69" i="1" s="1"/>
  <c r="CS72" i="1"/>
  <c r="CR72" i="1"/>
  <c r="CQ72" i="1"/>
  <c r="CP72" i="1"/>
  <c r="CP69" i="1" s="1"/>
  <c r="CO72" i="1"/>
  <c r="CN72" i="1"/>
  <c r="CM72" i="1"/>
  <c r="CL72" i="1"/>
  <c r="CL69" i="1" s="1"/>
  <c r="CK72" i="1"/>
  <c r="CJ72" i="1"/>
  <c r="CI72" i="1"/>
  <c r="CH72" i="1"/>
  <c r="CH69" i="1" s="1"/>
  <c r="CG72" i="1"/>
  <c r="CF72" i="1"/>
  <c r="CE72" i="1"/>
  <c r="CD72" i="1"/>
  <c r="CD69" i="1" s="1"/>
  <c r="CC72" i="1"/>
  <c r="CB72" i="1"/>
  <c r="CA72" i="1"/>
  <c r="BZ72" i="1"/>
  <c r="BZ69" i="1" s="1"/>
  <c r="BY72" i="1"/>
  <c r="BX72" i="1"/>
  <c r="BW72" i="1"/>
  <c r="BV72" i="1"/>
  <c r="BV69" i="1" s="1"/>
  <c r="BU72" i="1"/>
  <c r="BT72" i="1"/>
  <c r="BS72" i="1"/>
  <c r="BR72" i="1"/>
  <c r="BR69" i="1" s="1"/>
  <c r="BQ72" i="1"/>
  <c r="BP72" i="1"/>
  <c r="BO72" i="1"/>
  <c r="BN72" i="1"/>
  <c r="BN69" i="1" s="1"/>
  <c r="BM72" i="1"/>
  <c r="BL72" i="1"/>
  <c r="BK72" i="1"/>
  <c r="BJ72" i="1"/>
  <c r="BJ69" i="1" s="1"/>
  <c r="BI72" i="1"/>
  <c r="BH72" i="1"/>
  <c r="BG72" i="1"/>
  <c r="BF72" i="1"/>
  <c r="BF69" i="1" s="1"/>
  <c r="BE72" i="1"/>
  <c r="BD72" i="1"/>
  <c r="BC72" i="1"/>
  <c r="BB72" i="1"/>
  <c r="BB69" i="1" s="1"/>
  <c r="BA72" i="1"/>
  <c r="AZ72" i="1"/>
  <c r="AY72" i="1"/>
  <c r="AX72" i="1"/>
  <c r="AX69" i="1" s="1"/>
  <c r="AW72" i="1"/>
  <c r="AV72" i="1"/>
  <c r="AU72" i="1"/>
  <c r="AT72" i="1"/>
  <c r="AT69" i="1" s="1"/>
  <c r="AS72" i="1"/>
  <c r="AR72" i="1"/>
  <c r="AQ72" i="1"/>
  <c r="AP72" i="1"/>
  <c r="AP69" i="1" s="1"/>
  <c r="AO72" i="1"/>
  <c r="AN72" i="1"/>
  <c r="AM72" i="1"/>
  <c r="AL72" i="1"/>
  <c r="AL69" i="1" s="1"/>
  <c r="AK72" i="1"/>
  <c r="AJ72" i="1"/>
  <c r="AI72" i="1"/>
  <c r="AH72" i="1"/>
  <c r="AH69" i="1" s="1"/>
  <c r="AG72" i="1"/>
  <c r="AF72" i="1"/>
  <c r="AE72" i="1"/>
  <c r="AD72" i="1"/>
  <c r="AD69" i="1" s="1"/>
  <c r="AC72" i="1"/>
  <c r="AB72" i="1"/>
  <c r="AA72" i="1"/>
  <c r="Z72" i="1"/>
  <c r="Z69" i="1" s="1"/>
  <c r="Y72" i="1"/>
  <c r="X72" i="1"/>
  <c r="W72" i="1"/>
  <c r="V72" i="1"/>
  <c r="V69" i="1" s="1"/>
  <c r="U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OR71" i="1"/>
  <c r="NY71" i="1"/>
  <c r="MJ71" i="1"/>
  <c r="MJ70" i="1" s="1"/>
  <c r="MJ69" i="1" s="1"/>
  <c r="MH71" i="1"/>
  <c r="MF71" i="1"/>
  <c r="MD71" i="1"/>
  <c r="LL71" i="1"/>
  <c r="LL70" i="1" s="1"/>
  <c r="LL69" i="1" s="1"/>
  <c r="LH71" i="1"/>
  <c r="LD71" i="1"/>
  <c r="JB71" i="1"/>
  <c r="IX71" i="1"/>
  <c r="IX70" i="1" s="1"/>
  <c r="IT71" i="1"/>
  <c r="IO71" i="1"/>
  <c r="DE71" i="1"/>
  <c r="DB71" i="1"/>
  <c r="DB70" i="1" s="1"/>
  <c r="CX71" i="1"/>
  <c r="AL71" i="1"/>
  <c r="AH71" i="1"/>
  <c r="T71" i="1"/>
  <c r="UC70" i="1"/>
  <c r="UB70" i="1"/>
  <c r="UA70" i="1"/>
  <c r="TZ70" i="1"/>
  <c r="TZ69" i="1" s="1"/>
  <c r="TY70" i="1"/>
  <c r="TX70" i="1"/>
  <c r="TW70" i="1"/>
  <c r="TV70" i="1"/>
  <c r="TV69" i="1" s="1"/>
  <c r="TU70" i="1"/>
  <c r="TT70" i="1"/>
  <c r="TS70" i="1"/>
  <c r="TR70" i="1"/>
  <c r="TR69" i="1" s="1"/>
  <c r="TQ70" i="1"/>
  <c r="TP70" i="1"/>
  <c r="TO70" i="1"/>
  <c r="TN70" i="1"/>
  <c r="TN69" i="1" s="1"/>
  <c r="TM70" i="1"/>
  <c r="TL70" i="1"/>
  <c r="TK70" i="1"/>
  <c r="TJ70" i="1"/>
  <c r="TJ69" i="1" s="1"/>
  <c r="TI70" i="1"/>
  <c r="TH70" i="1"/>
  <c r="TG70" i="1"/>
  <c r="TF70" i="1"/>
  <c r="TF69" i="1" s="1"/>
  <c r="TC70" i="1"/>
  <c r="TB70" i="1"/>
  <c r="TA70" i="1"/>
  <c r="SZ70" i="1"/>
  <c r="SY70" i="1"/>
  <c r="SX70" i="1"/>
  <c r="SW70" i="1"/>
  <c r="SV70" i="1"/>
  <c r="SU70" i="1"/>
  <c r="ST70" i="1"/>
  <c r="SS70" i="1"/>
  <c r="SR70" i="1"/>
  <c r="SQ70" i="1"/>
  <c r="SP70" i="1"/>
  <c r="SO70" i="1"/>
  <c r="SN70" i="1"/>
  <c r="SN69" i="1" s="1"/>
  <c r="SM70" i="1"/>
  <c r="SL70" i="1"/>
  <c r="SK70" i="1"/>
  <c r="SJ70" i="1"/>
  <c r="SI70" i="1"/>
  <c r="SH70" i="1"/>
  <c r="SG70" i="1"/>
  <c r="SF70" i="1"/>
  <c r="SE70" i="1"/>
  <c r="SD70" i="1"/>
  <c r="SC70" i="1"/>
  <c r="SB70" i="1"/>
  <c r="SA70" i="1"/>
  <c r="RZ70" i="1"/>
  <c r="RY70" i="1"/>
  <c r="RX70" i="1"/>
  <c r="RX69" i="1" s="1"/>
  <c r="RW70" i="1"/>
  <c r="RV70" i="1"/>
  <c r="RU70" i="1"/>
  <c r="RT70" i="1"/>
  <c r="RS70" i="1"/>
  <c r="RR70" i="1"/>
  <c r="RQ70" i="1"/>
  <c r="RP70" i="1"/>
  <c r="RO70" i="1"/>
  <c r="RN70" i="1"/>
  <c r="RM70" i="1"/>
  <c r="RL70" i="1"/>
  <c r="RK70" i="1"/>
  <c r="RJ70" i="1"/>
  <c r="RI70" i="1"/>
  <c r="RH70" i="1"/>
  <c r="RH69" i="1" s="1"/>
  <c r="RG70" i="1"/>
  <c r="RF70" i="1"/>
  <c r="RE70" i="1"/>
  <c r="RD70" i="1"/>
  <c r="RC70" i="1"/>
  <c r="RC69" i="1" s="1"/>
  <c r="RB70" i="1"/>
  <c r="RA70" i="1"/>
  <c r="QZ70" i="1"/>
  <c r="QY70" i="1"/>
  <c r="QY69" i="1" s="1"/>
  <c r="QX70" i="1"/>
  <c r="QW70" i="1"/>
  <c r="QV70" i="1"/>
  <c r="QU70" i="1"/>
  <c r="QU69" i="1" s="1"/>
  <c r="QT70" i="1"/>
  <c r="QS70" i="1"/>
  <c r="QR70" i="1"/>
  <c r="QR69" i="1" s="1"/>
  <c r="QQ70" i="1"/>
  <c r="QQ69" i="1" s="1"/>
  <c r="QP70" i="1"/>
  <c r="QO70" i="1"/>
  <c r="QN70" i="1"/>
  <c r="QM70" i="1"/>
  <c r="QM69" i="1" s="1"/>
  <c r="QL70" i="1"/>
  <c r="QK70" i="1"/>
  <c r="QJ70" i="1"/>
  <c r="QJ69" i="1" s="1"/>
  <c r="QI70" i="1"/>
  <c r="QH70" i="1"/>
  <c r="QG70" i="1"/>
  <c r="QF70" i="1"/>
  <c r="QF69" i="1" s="1"/>
  <c r="QE70" i="1"/>
  <c r="QE69" i="1" s="1"/>
  <c r="QC70" i="1"/>
  <c r="QB70" i="1"/>
  <c r="QA70" i="1"/>
  <c r="PY70" i="1"/>
  <c r="PX70" i="1"/>
  <c r="PW70" i="1"/>
  <c r="PU70" i="1"/>
  <c r="PT70" i="1"/>
  <c r="PT69" i="1" s="1"/>
  <c r="PS70" i="1"/>
  <c r="PQ70" i="1"/>
  <c r="PP70" i="1"/>
  <c r="PP69" i="1" s="1"/>
  <c r="PO70" i="1"/>
  <c r="PM70" i="1"/>
  <c r="PL70" i="1"/>
  <c r="PK70" i="1"/>
  <c r="PI70" i="1"/>
  <c r="PH70" i="1"/>
  <c r="PG70" i="1"/>
  <c r="PE70" i="1"/>
  <c r="PD70" i="1"/>
  <c r="PD69" i="1" s="1"/>
  <c r="PC70" i="1"/>
  <c r="PA70" i="1"/>
  <c r="OZ70" i="1"/>
  <c r="OZ69" i="1" s="1"/>
  <c r="OY70" i="1"/>
  <c r="OW70" i="1"/>
  <c r="OV70" i="1"/>
  <c r="OU70" i="1"/>
  <c r="OU69" i="1" s="1"/>
  <c r="OT70" i="1"/>
  <c r="OX70" i="1" s="1"/>
  <c r="OX69" i="1" s="1"/>
  <c r="OS70" i="1"/>
  <c r="OQ70" i="1"/>
  <c r="OP70" i="1"/>
  <c r="OO70" i="1"/>
  <c r="ON70" i="1"/>
  <c r="OM70" i="1"/>
  <c r="OL70" i="1"/>
  <c r="OK70" i="1"/>
  <c r="OJ70" i="1"/>
  <c r="OI70" i="1"/>
  <c r="OH70" i="1"/>
  <c r="OG70" i="1"/>
  <c r="OF70" i="1"/>
  <c r="OE70" i="1"/>
  <c r="OR70" i="1" s="1"/>
  <c r="OD70" i="1"/>
  <c r="OC70" i="1"/>
  <c r="OB70" i="1"/>
  <c r="OB69" i="1" s="1"/>
  <c r="OA70" i="1"/>
  <c r="NZ70" i="1"/>
  <c r="NY70" i="1"/>
  <c r="NX70" i="1"/>
  <c r="NX69" i="1" s="1"/>
  <c r="NW70" i="1"/>
  <c r="NW69" i="1" s="1"/>
  <c r="NV70" i="1"/>
  <c r="NU70" i="1"/>
  <c r="NT70" i="1"/>
  <c r="NT69" i="1" s="1"/>
  <c r="NS70" i="1"/>
  <c r="NR70" i="1"/>
  <c r="NQ70" i="1"/>
  <c r="NP70" i="1"/>
  <c r="NP69" i="1" s="1"/>
  <c r="NO70" i="1"/>
  <c r="NN70" i="1"/>
  <c r="NM70" i="1"/>
  <c r="NL70" i="1"/>
  <c r="NL69" i="1" s="1"/>
  <c r="NK70" i="1"/>
  <c r="NJ70" i="1"/>
  <c r="NI70" i="1"/>
  <c r="NH70" i="1"/>
  <c r="NH69" i="1" s="1"/>
  <c r="NG70" i="1"/>
  <c r="NG69" i="1" s="1"/>
  <c r="NF70" i="1"/>
  <c r="NE70" i="1"/>
  <c r="ND70" i="1"/>
  <c r="ND69" i="1" s="1"/>
  <c r="NC70" i="1"/>
  <c r="NB70" i="1"/>
  <c r="NA70" i="1"/>
  <c r="MZ70" i="1"/>
  <c r="MZ69" i="1" s="1"/>
  <c r="MY70" i="1"/>
  <c r="MX70" i="1"/>
  <c r="MW70" i="1"/>
  <c r="MV70" i="1"/>
  <c r="MV69" i="1" s="1"/>
  <c r="MU70" i="1"/>
  <c r="MT70" i="1"/>
  <c r="MS70" i="1"/>
  <c r="MR70" i="1"/>
  <c r="MR69" i="1" s="1"/>
  <c r="MQ70" i="1"/>
  <c r="MQ69" i="1" s="1"/>
  <c r="MP70" i="1"/>
  <c r="MO70" i="1"/>
  <c r="MN70" i="1"/>
  <c r="MN69" i="1" s="1"/>
  <c r="MM70" i="1"/>
  <c r="ML70" i="1"/>
  <c r="MK70" i="1"/>
  <c r="MI70" i="1"/>
  <c r="MH70" i="1"/>
  <c r="MG70" i="1"/>
  <c r="MF70" i="1"/>
  <c r="ME70" i="1"/>
  <c r="ME69" i="1" s="1"/>
  <c r="MD70" i="1"/>
  <c r="MC70" i="1"/>
  <c r="MB70" i="1"/>
  <c r="MB69" i="1" s="1"/>
  <c r="MA70" i="1"/>
  <c r="MA69" i="1" s="1"/>
  <c r="LZ70" i="1"/>
  <c r="LY70" i="1"/>
  <c r="LW70" i="1"/>
  <c r="LV70" i="1"/>
  <c r="LU70" i="1"/>
  <c r="LT70" i="1"/>
  <c r="LT69" i="1" s="1"/>
  <c r="LS70" i="1"/>
  <c r="LS69" i="1" s="1"/>
  <c r="LR70" i="1"/>
  <c r="LQ70" i="1"/>
  <c r="LP70" i="1"/>
  <c r="LP69" i="1" s="1"/>
  <c r="LO70" i="1"/>
  <c r="LO69" i="1" s="1"/>
  <c r="LN70" i="1"/>
  <c r="LM70" i="1"/>
  <c r="LK70" i="1"/>
  <c r="LK69" i="1" s="1"/>
  <c r="LJ70" i="1"/>
  <c r="LI70" i="1"/>
  <c r="LH70" i="1"/>
  <c r="LH69" i="1" s="1"/>
  <c r="LG70" i="1"/>
  <c r="LG69" i="1" s="1"/>
  <c r="LF70" i="1"/>
  <c r="LE70" i="1"/>
  <c r="LD70" i="1"/>
  <c r="LC70" i="1"/>
  <c r="LC69" i="1" s="1"/>
  <c r="LB70" i="1"/>
  <c r="LA70" i="1"/>
  <c r="KZ70" i="1"/>
  <c r="KZ69" i="1" s="1"/>
  <c r="KY70" i="1"/>
  <c r="KY69" i="1" s="1"/>
  <c r="KX70" i="1"/>
  <c r="KW70" i="1"/>
  <c r="KV70" i="1"/>
  <c r="KV69" i="1" s="1"/>
  <c r="KU70" i="1"/>
  <c r="KU69" i="1" s="1"/>
  <c r="KT70" i="1"/>
  <c r="KS70" i="1"/>
  <c r="KR70" i="1"/>
  <c r="KR69" i="1" s="1"/>
  <c r="KQ70" i="1"/>
  <c r="KP70" i="1"/>
  <c r="KO70" i="1"/>
  <c r="KN70" i="1"/>
  <c r="KN69" i="1" s="1"/>
  <c r="KM70" i="1"/>
  <c r="KM69" i="1" s="1"/>
  <c r="KL70" i="1"/>
  <c r="KK70" i="1"/>
  <c r="KJ70" i="1"/>
  <c r="KJ69" i="1" s="1"/>
  <c r="KI70" i="1"/>
  <c r="KI69" i="1" s="1"/>
  <c r="KH70" i="1"/>
  <c r="KG70" i="1"/>
  <c r="KF70" i="1"/>
  <c r="KF69" i="1" s="1"/>
  <c r="KE70" i="1"/>
  <c r="KE69" i="1" s="1"/>
  <c r="KD70" i="1"/>
  <c r="KC70" i="1"/>
  <c r="KB70" i="1"/>
  <c r="KB69" i="1" s="1"/>
  <c r="KA70" i="1"/>
  <c r="KA69" i="1" s="1"/>
  <c r="JZ70" i="1"/>
  <c r="JY70" i="1"/>
  <c r="JX70" i="1"/>
  <c r="JX69" i="1" s="1"/>
  <c r="JW70" i="1"/>
  <c r="JW69" i="1" s="1"/>
  <c r="JV70" i="1"/>
  <c r="JU70" i="1"/>
  <c r="JT70" i="1"/>
  <c r="JT69" i="1" s="1"/>
  <c r="JS70" i="1"/>
  <c r="JS69" i="1" s="1"/>
  <c r="JR70" i="1"/>
  <c r="JQ70" i="1"/>
  <c r="JP70" i="1"/>
  <c r="JP69" i="1" s="1"/>
  <c r="JO70" i="1"/>
  <c r="JO69" i="1" s="1"/>
  <c r="JN70" i="1"/>
  <c r="JM70" i="1"/>
  <c r="JL70" i="1"/>
  <c r="JL69" i="1" s="1"/>
  <c r="JK70" i="1"/>
  <c r="JK69" i="1" s="1"/>
  <c r="JJ70" i="1"/>
  <c r="JI70" i="1"/>
  <c r="JH70" i="1"/>
  <c r="JH69" i="1" s="1"/>
  <c r="JG70" i="1"/>
  <c r="JG69" i="1" s="1"/>
  <c r="JF70" i="1"/>
  <c r="JE70" i="1"/>
  <c r="JD70" i="1"/>
  <c r="JD69" i="1" s="1"/>
  <c r="JC70" i="1"/>
  <c r="JC69" i="1" s="1"/>
  <c r="JB70" i="1"/>
  <c r="JA70" i="1"/>
  <c r="IZ70" i="1"/>
  <c r="IZ69" i="1" s="1"/>
  <c r="IY70" i="1"/>
  <c r="IY69" i="1" s="1"/>
  <c r="IW70" i="1"/>
  <c r="IV70" i="1"/>
  <c r="IV69" i="1" s="1"/>
  <c r="IU70" i="1"/>
  <c r="IT70" i="1"/>
  <c r="IS70" i="1"/>
  <c r="IR70" i="1"/>
  <c r="IR69" i="1" s="1"/>
  <c r="IQ70" i="1"/>
  <c r="IP70" i="1"/>
  <c r="IO70" i="1"/>
  <c r="IN70" i="1"/>
  <c r="IN69" i="1" s="1"/>
  <c r="IM70" i="1"/>
  <c r="IL70" i="1"/>
  <c r="IK70" i="1"/>
  <c r="IJ70" i="1"/>
  <c r="IJ69" i="1" s="1"/>
  <c r="II70" i="1"/>
  <c r="IH70" i="1"/>
  <c r="IG70" i="1"/>
  <c r="IF70" i="1"/>
  <c r="IF69" i="1" s="1"/>
  <c r="IE70" i="1"/>
  <c r="ID70" i="1"/>
  <c r="IC70" i="1"/>
  <c r="IB70" i="1"/>
  <c r="IB69" i="1" s="1"/>
  <c r="IA70" i="1"/>
  <c r="HZ70" i="1"/>
  <c r="HY70" i="1"/>
  <c r="HX70" i="1"/>
  <c r="HX69" i="1" s="1"/>
  <c r="HW70" i="1"/>
  <c r="HU70" i="1"/>
  <c r="HT70" i="1"/>
  <c r="HT69" i="1" s="1"/>
  <c r="HS70" i="1"/>
  <c r="HR70" i="1"/>
  <c r="HQ70" i="1"/>
  <c r="HP70" i="1"/>
  <c r="HP69" i="1" s="1"/>
  <c r="HO70" i="1"/>
  <c r="HN70" i="1"/>
  <c r="HM70" i="1"/>
  <c r="HL70" i="1"/>
  <c r="HL69" i="1" s="1"/>
  <c r="HK70" i="1"/>
  <c r="HJ70" i="1"/>
  <c r="HI70" i="1"/>
  <c r="HH70" i="1"/>
  <c r="HH69" i="1" s="1"/>
  <c r="HG70" i="1"/>
  <c r="HF70" i="1"/>
  <c r="HE70" i="1"/>
  <c r="HD70" i="1"/>
  <c r="HD69" i="1" s="1"/>
  <c r="HC70" i="1"/>
  <c r="HC69" i="1" s="1"/>
  <c r="HB70" i="1"/>
  <c r="HA70" i="1"/>
  <c r="GZ70" i="1"/>
  <c r="GZ69" i="1" s="1"/>
  <c r="GY70" i="1"/>
  <c r="GY69" i="1" s="1"/>
  <c r="GX70" i="1"/>
  <c r="GW70" i="1"/>
  <c r="GV70" i="1"/>
  <c r="GV69" i="1" s="1"/>
  <c r="GU70" i="1"/>
  <c r="GU69" i="1" s="1"/>
  <c r="GT70" i="1"/>
  <c r="GS70" i="1"/>
  <c r="GR70" i="1"/>
  <c r="GQ70" i="1"/>
  <c r="GQ69" i="1" s="1"/>
  <c r="GP70" i="1"/>
  <c r="GO70" i="1"/>
  <c r="GN70" i="1"/>
  <c r="GM70" i="1"/>
  <c r="GM69" i="1" s="1"/>
  <c r="GL70" i="1"/>
  <c r="GK70" i="1"/>
  <c r="GJ70" i="1"/>
  <c r="GJ69" i="1" s="1"/>
  <c r="GI70" i="1"/>
  <c r="GI69" i="1" s="1"/>
  <c r="GH70" i="1"/>
  <c r="GG70" i="1"/>
  <c r="GF70" i="1"/>
  <c r="GF69" i="1" s="1"/>
  <c r="GE70" i="1"/>
  <c r="GE69" i="1" s="1"/>
  <c r="GD70" i="1"/>
  <c r="GC70" i="1"/>
  <c r="GB70" i="1"/>
  <c r="GB69" i="1" s="1"/>
  <c r="GA70" i="1"/>
  <c r="GA69" i="1" s="1"/>
  <c r="FZ70" i="1"/>
  <c r="FY70" i="1"/>
  <c r="FX70" i="1"/>
  <c r="FX69" i="1" s="1"/>
  <c r="FW70" i="1"/>
  <c r="FW69" i="1" s="1"/>
  <c r="FV70" i="1"/>
  <c r="FU70" i="1"/>
  <c r="FT70" i="1"/>
  <c r="FT69" i="1" s="1"/>
  <c r="FS70" i="1"/>
  <c r="FS69" i="1" s="1"/>
  <c r="FR70" i="1"/>
  <c r="FQ70" i="1"/>
  <c r="FP70" i="1"/>
  <c r="FP69" i="1" s="1"/>
  <c r="FO70" i="1"/>
  <c r="FO69" i="1" s="1"/>
  <c r="FN70" i="1"/>
  <c r="FM70" i="1"/>
  <c r="FL70" i="1"/>
  <c r="FL69" i="1" s="1"/>
  <c r="FK70" i="1"/>
  <c r="FK69" i="1" s="1"/>
  <c r="FJ70" i="1"/>
  <c r="FI70" i="1"/>
  <c r="FH70" i="1"/>
  <c r="FH69" i="1" s="1"/>
  <c r="FG70" i="1"/>
  <c r="FG69" i="1" s="1"/>
  <c r="FF70" i="1"/>
  <c r="FE70" i="1"/>
  <c r="FD70" i="1"/>
  <c r="FD69" i="1" s="1"/>
  <c r="FC70" i="1"/>
  <c r="FC69" i="1" s="1"/>
  <c r="FB70" i="1"/>
  <c r="FA70" i="1"/>
  <c r="EZ70" i="1"/>
  <c r="EZ69" i="1" s="1"/>
  <c r="EY70" i="1"/>
  <c r="EY69" i="1" s="1"/>
  <c r="EX70" i="1"/>
  <c r="EW70" i="1"/>
  <c r="EV70" i="1"/>
  <c r="EV69" i="1" s="1"/>
  <c r="EU70" i="1"/>
  <c r="EU69" i="1" s="1"/>
  <c r="ET70" i="1"/>
  <c r="ES70" i="1"/>
  <c r="ER70" i="1"/>
  <c r="ER69" i="1" s="1"/>
  <c r="EQ70" i="1"/>
  <c r="EQ69" i="1" s="1"/>
  <c r="EP70" i="1"/>
  <c r="EO70" i="1"/>
  <c r="EN70" i="1"/>
  <c r="EN69" i="1" s="1"/>
  <c r="EM70" i="1"/>
  <c r="EM69" i="1" s="1"/>
  <c r="EL70" i="1"/>
  <c r="EK70" i="1"/>
  <c r="EJ70" i="1"/>
  <c r="EJ69" i="1" s="1"/>
  <c r="EI70" i="1"/>
  <c r="EI69" i="1" s="1"/>
  <c r="EH70" i="1"/>
  <c r="EG70" i="1"/>
  <c r="EF70" i="1"/>
  <c r="EE70" i="1"/>
  <c r="EE69" i="1" s="1"/>
  <c r="ED70" i="1"/>
  <c r="EC70" i="1"/>
  <c r="EB70" i="1"/>
  <c r="EB69" i="1" s="1"/>
  <c r="EA70" i="1"/>
  <c r="EA69" i="1" s="1"/>
  <c r="DZ70" i="1"/>
  <c r="DY70" i="1"/>
  <c r="DX70" i="1"/>
  <c r="DX69" i="1" s="1"/>
  <c r="DW70" i="1"/>
  <c r="DW69" i="1" s="1"/>
  <c r="DV70" i="1"/>
  <c r="DU70" i="1"/>
  <c r="DT70" i="1"/>
  <c r="DT69" i="1" s="1"/>
  <c r="DS70" i="1"/>
  <c r="DS69" i="1" s="1"/>
  <c r="DR70" i="1"/>
  <c r="DQ70" i="1"/>
  <c r="DP70" i="1"/>
  <c r="DP69" i="1" s="1"/>
  <c r="DO70" i="1"/>
  <c r="DO69" i="1" s="1"/>
  <c r="DN70" i="1"/>
  <c r="DM70" i="1"/>
  <c r="DL70" i="1"/>
  <c r="DL69" i="1" s="1"/>
  <c r="DK70" i="1"/>
  <c r="DK69" i="1" s="1"/>
  <c r="DJ70" i="1"/>
  <c r="DI70" i="1"/>
  <c r="DH70" i="1"/>
  <c r="DH69" i="1" s="1"/>
  <c r="DG70" i="1"/>
  <c r="DG69" i="1" s="1"/>
  <c r="DF70" i="1"/>
  <c r="DE70" i="1"/>
  <c r="DD70" i="1"/>
  <c r="DD69" i="1" s="1"/>
  <c r="DC70" i="1"/>
  <c r="DC69" i="1" s="1"/>
  <c r="DA70" i="1"/>
  <c r="CZ70" i="1"/>
  <c r="CZ69" i="1" s="1"/>
  <c r="CY70" i="1"/>
  <c r="CY69" i="1" s="1"/>
  <c r="CX70" i="1"/>
  <c r="CW70" i="1"/>
  <c r="CV70" i="1"/>
  <c r="CV69" i="1" s="1"/>
  <c r="CU70" i="1"/>
  <c r="CU69" i="1" s="1"/>
  <c r="CT70" i="1"/>
  <c r="CS70" i="1"/>
  <c r="CR70" i="1"/>
  <c r="CR69" i="1" s="1"/>
  <c r="CQ70" i="1"/>
  <c r="CQ69" i="1" s="1"/>
  <c r="CP70" i="1"/>
  <c r="CO70" i="1"/>
  <c r="CN70" i="1"/>
  <c r="CM70" i="1"/>
  <c r="CM69" i="1" s="1"/>
  <c r="CL70" i="1"/>
  <c r="CK70" i="1"/>
  <c r="CJ70" i="1"/>
  <c r="CJ69" i="1" s="1"/>
  <c r="CI70" i="1"/>
  <c r="CI69" i="1" s="1"/>
  <c r="CH70" i="1"/>
  <c r="CG70" i="1"/>
  <c r="CF70" i="1"/>
  <c r="CF69" i="1" s="1"/>
  <c r="CE70" i="1"/>
  <c r="CD70" i="1"/>
  <c r="CC70" i="1"/>
  <c r="CB70" i="1"/>
  <c r="CB69" i="1" s="1"/>
  <c r="CA70" i="1"/>
  <c r="CA69" i="1" s="1"/>
  <c r="BZ70" i="1"/>
  <c r="BY70" i="1"/>
  <c r="BX70" i="1"/>
  <c r="BW70" i="1"/>
  <c r="BW69" i="1" s="1"/>
  <c r="BV70" i="1"/>
  <c r="BU70" i="1"/>
  <c r="BT70" i="1"/>
  <c r="BT69" i="1" s="1"/>
  <c r="BS70" i="1"/>
  <c r="BS69" i="1" s="1"/>
  <c r="BR70" i="1"/>
  <c r="BQ70" i="1"/>
  <c r="BP70" i="1"/>
  <c r="BP69" i="1" s="1"/>
  <c r="BO70" i="1"/>
  <c r="BO69" i="1" s="1"/>
  <c r="BN70" i="1"/>
  <c r="BM70" i="1"/>
  <c r="BL70" i="1"/>
  <c r="BL69" i="1" s="1"/>
  <c r="BK70" i="1"/>
  <c r="BK69" i="1" s="1"/>
  <c r="BJ70" i="1"/>
  <c r="BI70" i="1"/>
  <c r="BH70" i="1"/>
  <c r="BG70" i="1"/>
  <c r="BG69" i="1" s="1"/>
  <c r="BF70" i="1"/>
  <c r="BE70" i="1"/>
  <c r="BD70" i="1"/>
  <c r="BD69" i="1" s="1"/>
  <c r="BC70" i="1"/>
  <c r="BC69" i="1" s="1"/>
  <c r="BB70" i="1"/>
  <c r="BA70" i="1"/>
  <c r="AZ70" i="1"/>
  <c r="AZ69" i="1" s="1"/>
  <c r="AY70" i="1"/>
  <c r="AX70" i="1"/>
  <c r="AW70" i="1"/>
  <c r="AV70" i="1"/>
  <c r="AV69" i="1" s="1"/>
  <c r="AU70" i="1"/>
  <c r="AU69" i="1" s="1"/>
  <c r="AT70" i="1"/>
  <c r="AS70" i="1"/>
  <c r="AR70" i="1"/>
  <c r="AQ70" i="1"/>
  <c r="AQ69" i="1" s="1"/>
  <c r="AP70" i="1"/>
  <c r="AO70" i="1"/>
  <c r="AN70" i="1"/>
  <c r="AN69" i="1" s="1"/>
  <c r="AM70" i="1"/>
  <c r="AM69" i="1" s="1"/>
  <c r="AL70" i="1"/>
  <c r="AK70" i="1"/>
  <c r="AJ70" i="1"/>
  <c r="AJ69" i="1" s="1"/>
  <c r="AI70" i="1"/>
  <c r="AI69" i="1" s="1"/>
  <c r="AH70" i="1"/>
  <c r="AG70" i="1"/>
  <c r="AF70" i="1"/>
  <c r="AF69" i="1" s="1"/>
  <c r="AE70" i="1"/>
  <c r="AE69" i="1" s="1"/>
  <c r="AD70" i="1"/>
  <c r="AC70" i="1"/>
  <c r="AB70" i="1"/>
  <c r="AA70" i="1"/>
  <c r="AA69" i="1" s="1"/>
  <c r="Z70" i="1"/>
  <c r="Y70" i="1"/>
  <c r="X70" i="1"/>
  <c r="X69" i="1" s="1"/>
  <c r="W70" i="1"/>
  <c r="W69" i="1" s="1"/>
  <c r="V70" i="1"/>
  <c r="U70" i="1"/>
  <c r="T70" i="1"/>
  <c r="T69" i="1" s="1"/>
  <c r="S70" i="1"/>
  <c r="R70" i="1"/>
  <c r="Q70" i="1"/>
  <c r="P70" i="1"/>
  <c r="P69" i="1" s="1"/>
  <c r="O70" i="1"/>
  <c r="O69" i="1" s="1"/>
  <c r="N70" i="1"/>
  <c r="M70" i="1"/>
  <c r="L70" i="1"/>
  <c r="L69" i="1" s="1"/>
  <c r="K70" i="1"/>
  <c r="K69" i="1" s="1"/>
  <c r="J70" i="1"/>
  <c r="I70" i="1"/>
  <c r="H70" i="1"/>
  <c r="H69" i="1" s="1"/>
  <c r="G70" i="1"/>
  <c r="G69" i="1" s="1"/>
  <c r="F70" i="1"/>
  <c r="E70" i="1"/>
  <c r="UC69" i="1"/>
  <c r="UB69" i="1"/>
  <c r="UA69" i="1"/>
  <c r="TY69" i="1"/>
  <c r="TX69" i="1"/>
  <c r="TW69" i="1"/>
  <c r="TU69" i="1"/>
  <c r="TT69" i="1"/>
  <c r="TS69" i="1"/>
  <c r="TQ69" i="1"/>
  <c r="TP69" i="1"/>
  <c r="TO69" i="1"/>
  <c r="TM69" i="1"/>
  <c r="TL69" i="1"/>
  <c r="TK69" i="1"/>
  <c r="TI69" i="1"/>
  <c r="TH69" i="1"/>
  <c r="TG69" i="1"/>
  <c r="TE69" i="1"/>
  <c r="TD69" i="1"/>
  <c r="TC69" i="1"/>
  <c r="TA69" i="1"/>
  <c r="SZ69" i="1"/>
  <c r="SY69" i="1"/>
  <c r="SW69" i="1"/>
  <c r="SV69" i="1"/>
  <c r="SU69" i="1"/>
  <c r="SS69" i="1"/>
  <c r="SR69" i="1"/>
  <c r="SQ69" i="1"/>
  <c r="SO69" i="1"/>
  <c r="SM69" i="1"/>
  <c r="SK69" i="1"/>
  <c r="SJ69" i="1"/>
  <c r="SI69" i="1"/>
  <c r="SG69" i="1"/>
  <c r="SF69" i="1"/>
  <c r="SE69" i="1"/>
  <c r="SC69" i="1"/>
  <c r="SB69" i="1"/>
  <c r="SA69" i="1"/>
  <c r="RY69" i="1"/>
  <c r="RW69" i="1"/>
  <c r="RU69" i="1"/>
  <c r="RT69" i="1"/>
  <c r="RS69" i="1"/>
  <c r="RQ69" i="1"/>
  <c r="RP69" i="1"/>
  <c r="RO69" i="1"/>
  <c r="RM69" i="1"/>
  <c r="RL69" i="1"/>
  <c r="RK69" i="1"/>
  <c r="RI69" i="1"/>
  <c r="RG69" i="1"/>
  <c r="RE69" i="1"/>
  <c r="RD69" i="1"/>
  <c r="RA69" i="1"/>
  <c r="QZ69" i="1"/>
  <c r="QW69" i="1"/>
  <c r="QV69" i="1"/>
  <c r="QS69" i="1"/>
  <c r="QO69" i="1"/>
  <c r="QN69" i="1"/>
  <c r="QK69" i="1"/>
  <c r="QI69" i="1"/>
  <c r="QG69" i="1"/>
  <c r="QC69" i="1"/>
  <c r="QB69" i="1"/>
  <c r="PY69" i="1"/>
  <c r="PX69" i="1"/>
  <c r="PW69" i="1"/>
  <c r="PU69" i="1"/>
  <c r="PS69" i="1"/>
  <c r="PQ69" i="1"/>
  <c r="PM69" i="1"/>
  <c r="PL69" i="1"/>
  <c r="PI69" i="1"/>
  <c r="PH69" i="1"/>
  <c r="PG69" i="1"/>
  <c r="PE69" i="1"/>
  <c r="PC69" i="1"/>
  <c r="PA69" i="1"/>
  <c r="OW69" i="1"/>
  <c r="OV69" i="1"/>
  <c r="OS69" i="1"/>
  <c r="OR69" i="1"/>
  <c r="OC69" i="1"/>
  <c r="OA69" i="1"/>
  <c r="NZ69" i="1"/>
  <c r="NV69" i="1"/>
  <c r="NY69" i="1" s="1"/>
  <c r="NU69" i="1"/>
  <c r="NS69" i="1"/>
  <c r="NR69" i="1"/>
  <c r="NQ69" i="1"/>
  <c r="NO69" i="1"/>
  <c r="NN69" i="1"/>
  <c r="NM69" i="1"/>
  <c r="NK69" i="1"/>
  <c r="NJ69" i="1"/>
  <c r="NI69" i="1"/>
  <c r="NF69" i="1"/>
  <c r="NE69" i="1"/>
  <c r="NC69" i="1"/>
  <c r="NB69" i="1"/>
  <c r="NA69" i="1"/>
  <c r="MY69" i="1"/>
  <c r="MX69" i="1"/>
  <c r="MW69" i="1"/>
  <c r="MU69" i="1"/>
  <c r="MT69" i="1"/>
  <c r="MS69" i="1"/>
  <c r="MP69" i="1"/>
  <c r="MO69" i="1"/>
  <c r="MM69" i="1"/>
  <c r="ML69" i="1"/>
  <c r="MK69" i="1"/>
  <c r="MI69" i="1"/>
  <c r="MG69" i="1"/>
  <c r="MD69" i="1"/>
  <c r="MC69" i="1"/>
  <c r="LZ69" i="1"/>
  <c r="LY69" i="1"/>
  <c r="LU69" i="1"/>
  <c r="LR69" i="1"/>
  <c r="LQ69" i="1"/>
  <c r="LN69" i="1"/>
  <c r="LM69" i="1"/>
  <c r="LJ69" i="1"/>
  <c r="LI69" i="1"/>
  <c r="LF69" i="1"/>
  <c r="LE69" i="1"/>
  <c r="LB69" i="1"/>
  <c r="LA69" i="1"/>
  <c r="KX69" i="1"/>
  <c r="KW69" i="1"/>
  <c r="KT69" i="1"/>
  <c r="KS69" i="1"/>
  <c r="KQ69" i="1"/>
  <c r="KP69" i="1"/>
  <c r="KO69" i="1"/>
  <c r="KL69" i="1"/>
  <c r="KK69" i="1"/>
  <c r="KH69" i="1"/>
  <c r="KG69" i="1"/>
  <c r="KD69" i="1"/>
  <c r="KC69" i="1"/>
  <c r="JZ69" i="1"/>
  <c r="JY69" i="1"/>
  <c r="JV69" i="1"/>
  <c r="JU69" i="1"/>
  <c r="JR69" i="1"/>
  <c r="JQ69" i="1"/>
  <c r="JN69" i="1"/>
  <c r="JM69" i="1"/>
  <c r="JJ69" i="1"/>
  <c r="JI69" i="1"/>
  <c r="JF69" i="1"/>
  <c r="JE69" i="1"/>
  <c r="JB69" i="1"/>
  <c r="JA69" i="1"/>
  <c r="IX69" i="1"/>
  <c r="IW69" i="1"/>
  <c r="IU69" i="1"/>
  <c r="IT69" i="1"/>
  <c r="IS69" i="1"/>
  <c r="IQ69" i="1"/>
  <c r="IP69" i="1"/>
  <c r="IO69" i="1"/>
  <c r="IM69" i="1"/>
  <c r="IL69" i="1"/>
  <c r="IK69" i="1"/>
  <c r="II69" i="1"/>
  <c r="IH69" i="1"/>
  <c r="IG69" i="1"/>
  <c r="IE69" i="1"/>
  <c r="IC69" i="1"/>
  <c r="IA69" i="1"/>
  <c r="HZ69" i="1"/>
  <c r="HY69" i="1"/>
  <c r="HW69" i="1"/>
  <c r="HU69" i="1"/>
  <c r="HR69" i="1"/>
  <c r="HQ69" i="1"/>
  <c r="HO69" i="1"/>
  <c r="HM69" i="1"/>
  <c r="HK69" i="1"/>
  <c r="HJ69" i="1"/>
  <c r="HI69" i="1"/>
  <c r="HG69" i="1"/>
  <c r="HF69" i="1"/>
  <c r="HE69" i="1"/>
  <c r="HB69" i="1"/>
  <c r="HA69" i="1"/>
  <c r="GX69" i="1"/>
  <c r="GW69" i="1"/>
  <c r="GT69" i="1"/>
  <c r="GS69" i="1"/>
  <c r="GR69" i="1"/>
  <c r="GP69" i="1"/>
  <c r="GO69" i="1"/>
  <c r="GL69" i="1"/>
  <c r="GK69" i="1"/>
  <c r="GN69" i="1" s="1"/>
  <c r="GH69" i="1"/>
  <c r="GG69" i="1"/>
  <c r="GD69" i="1"/>
  <c r="GC69" i="1"/>
  <c r="FZ69" i="1"/>
  <c r="FY69" i="1"/>
  <c r="FV69" i="1"/>
  <c r="FU69" i="1"/>
  <c r="FR69" i="1"/>
  <c r="FQ69" i="1"/>
  <c r="FN69" i="1"/>
  <c r="FM69" i="1"/>
  <c r="FJ69" i="1"/>
  <c r="FI69" i="1"/>
  <c r="FF69" i="1"/>
  <c r="FE69" i="1"/>
  <c r="FB69" i="1"/>
  <c r="FA69" i="1"/>
  <c r="EX69" i="1"/>
  <c r="EW69" i="1"/>
  <c r="ET69" i="1"/>
  <c r="ES69" i="1"/>
  <c r="EP69" i="1"/>
  <c r="EO69" i="1"/>
  <c r="EL69" i="1"/>
  <c r="EK69" i="1"/>
  <c r="EH69" i="1"/>
  <c r="EG69" i="1"/>
  <c r="EF69" i="1"/>
  <c r="ED69" i="1"/>
  <c r="EC69" i="1"/>
  <c r="DZ69" i="1"/>
  <c r="DY69" i="1"/>
  <c r="DV69" i="1"/>
  <c r="DU69" i="1"/>
  <c r="DR69" i="1"/>
  <c r="DQ69" i="1"/>
  <c r="DN69" i="1"/>
  <c r="DM69" i="1"/>
  <c r="DJ69" i="1"/>
  <c r="DI69" i="1"/>
  <c r="DF69" i="1"/>
  <c r="DE69" i="1"/>
  <c r="DA69" i="1"/>
  <c r="CW69" i="1"/>
  <c r="CS69" i="1"/>
  <c r="CO69" i="1"/>
  <c r="CN69" i="1"/>
  <c r="CK69" i="1"/>
  <c r="CG69" i="1"/>
  <c r="CE69" i="1"/>
  <c r="CC69" i="1"/>
  <c r="BY69" i="1"/>
  <c r="BX69" i="1"/>
  <c r="BU69" i="1"/>
  <c r="BQ69" i="1"/>
  <c r="BM69" i="1"/>
  <c r="BI69" i="1"/>
  <c r="BH69" i="1"/>
  <c r="BE69" i="1"/>
  <c r="BA69" i="1"/>
  <c r="AY69" i="1"/>
  <c r="AW69" i="1"/>
  <c r="AS69" i="1"/>
  <c r="AR69" i="1"/>
  <c r="AO69" i="1"/>
  <c r="AK69" i="1"/>
  <c r="AG69" i="1"/>
  <c r="AC69" i="1"/>
  <c r="AB69" i="1"/>
  <c r="Y69" i="1"/>
  <c r="U69" i="1"/>
  <c r="S69" i="1"/>
  <c r="R69" i="1"/>
  <c r="Q69" i="1"/>
  <c r="N69" i="1"/>
  <c r="M69" i="1"/>
  <c r="J69" i="1"/>
  <c r="I69" i="1"/>
  <c r="F69" i="1"/>
  <c r="E69" i="1"/>
  <c r="TA68" i="1"/>
  <c r="TA65" i="1" s="1"/>
  <c r="SX68" i="1"/>
  <c r="SX65" i="1" s="1"/>
  <c r="SU68" i="1"/>
  <c r="SR68" i="1"/>
  <c r="SN68" i="1"/>
  <c r="SN65" i="1" s="1"/>
  <c r="SG68" i="1"/>
  <c r="SG65" i="1" s="1"/>
  <c r="SC68" i="1"/>
  <c r="RU68" i="1"/>
  <c r="RU65" i="1" s="1"/>
  <c r="RN68" i="1"/>
  <c r="RG68" i="1"/>
  <c r="RG65" i="1" s="1"/>
  <c r="QZ68" i="1"/>
  <c r="QS68" i="1"/>
  <c r="QS65" i="1" s="1"/>
  <c r="QL68" i="1"/>
  <c r="OR68" i="1"/>
  <c r="NY68" i="1"/>
  <c r="NU68" i="1"/>
  <c r="NU65" i="1" s="1"/>
  <c r="NQ68" i="1"/>
  <c r="NQ65" i="1" s="1"/>
  <c r="NM68" i="1"/>
  <c r="NM65" i="1" s="1"/>
  <c r="NI68" i="1"/>
  <c r="MJ68" i="1"/>
  <c r="MH68" i="1"/>
  <c r="MF68" i="1"/>
  <c r="MD68" i="1"/>
  <c r="LL68" i="1"/>
  <c r="LH68" i="1"/>
  <c r="LH65" i="1" s="1"/>
  <c r="LD68" i="1"/>
  <c r="JF68" i="1"/>
  <c r="JB68" i="1"/>
  <c r="IX68" i="1"/>
  <c r="IT68" i="1"/>
  <c r="IT65" i="1" s="1"/>
  <c r="IO68" i="1"/>
  <c r="IE68" i="1"/>
  <c r="HZ68" i="1"/>
  <c r="HQ68" i="1"/>
  <c r="HQ65" i="1" s="1"/>
  <c r="HG68" i="1"/>
  <c r="HB68" i="1"/>
  <c r="DK68" i="1"/>
  <c r="DE68" i="1"/>
  <c r="DB68" i="1"/>
  <c r="BS68" i="1"/>
  <c r="AU68" i="1"/>
  <c r="AP68" i="1"/>
  <c r="AP65" i="1" s="1"/>
  <c r="AL68" i="1"/>
  <c r="AH68" i="1"/>
  <c r="AA68" i="1"/>
  <c r="X68" i="1"/>
  <c r="X65" i="1" s="1"/>
  <c r="T68" i="1"/>
  <c r="O68" i="1"/>
  <c r="OR67" i="1"/>
  <c r="NY67" i="1"/>
  <c r="MJ67" i="1"/>
  <c r="MH67" i="1"/>
  <c r="MF67" i="1"/>
  <c r="MD67" i="1"/>
  <c r="MD65" i="1" s="1"/>
  <c r="LL67" i="1"/>
  <c r="LH67" i="1"/>
  <c r="LD67" i="1"/>
  <c r="JB67" i="1"/>
  <c r="JB65" i="1" s="1"/>
  <c r="IX67" i="1"/>
  <c r="IT67" i="1"/>
  <c r="IO67" i="1"/>
  <c r="DE67" i="1"/>
  <c r="DB67" i="1"/>
  <c r="CX67" i="1"/>
  <c r="AL67" i="1"/>
  <c r="AH67" i="1"/>
  <c r="AH65" i="1" s="1"/>
  <c r="T67" i="1"/>
  <c r="OR66" i="1"/>
  <c r="NY66" i="1"/>
  <c r="MJ66" i="1"/>
  <c r="MJ65" i="1" s="1"/>
  <c r="MH66" i="1"/>
  <c r="MF66" i="1"/>
  <c r="MD66" i="1"/>
  <c r="LL66" i="1"/>
  <c r="LL65" i="1" s="1"/>
  <c r="LH66" i="1"/>
  <c r="LD66" i="1"/>
  <c r="JB66" i="1"/>
  <c r="IX66" i="1"/>
  <c r="IX65" i="1" s="1"/>
  <c r="IT66" i="1"/>
  <c r="IO66" i="1"/>
  <c r="DE66" i="1"/>
  <c r="DB66" i="1"/>
  <c r="DB65" i="1" s="1"/>
  <c r="CX66" i="1"/>
  <c r="AL66" i="1"/>
  <c r="AH66" i="1"/>
  <c r="T66" i="1"/>
  <c r="T65" i="1" s="1"/>
  <c r="UC65" i="1"/>
  <c r="UB65" i="1"/>
  <c r="UA65" i="1"/>
  <c r="TZ65" i="1"/>
  <c r="TY65" i="1"/>
  <c r="TX65" i="1"/>
  <c r="TW65" i="1"/>
  <c r="TV65" i="1"/>
  <c r="TU65" i="1"/>
  <c r="TT65" i="1"/>
  <c r="TS65" i="1"/>
  <c r="TR65" i="1"/>
  <c r="TQ65" i="1"/>
  <c r="TP65" i="1"/>
  <c r="TO65" i="1"/>
  <c r="TN65" i="1"/>
  <c r="TM65" i="1"/>
  <c r="TL65" i="1"/>
  <c r="TK65" i="1"/>
  <c r="TJ65" i="1"/>
  <c r="TI65" i="1"/>
  <c r="TH65" i="1"/>
  <c r="TG65" i="1"/>
  <c r="TF65" i="1"/>
  <c r="TE65" i="1"/>
  <c r="TD65" i="1"/>
  <c r="TC65" i="1"/>
  <c r="TB65" i="1"/>
  <c r="SZ65" i="1"/>
  <c r="SY65" i="1"/>
  <c r="SW65" i="1"/>
  <c r="SV65" i="1"/>
  <c r="SU65" i="1"/>
  <c r="ST65" i="1"/>
  <c r="SS65" i="1"/>
  <c r="SR65" i="1"/>
  <c r="SQ65" i="1"/>
  <c r="SP65" i="1"/>
  <c r="SO65" i="1"/>
  <c r="SM65" i="1"/>
  <c r="SL65" i="1"/>
  <c r="SK65" i="1"/>
  <c r="SJ65" i="1"/>
  <c r="SI65" i="1"/>
  <c r="SH65" i="1"/>
  <c r="SF65" i="1"/>
  <c r="SE65" i="1"/>
  <c r="SD65" i="1"/>
  <c r="SC65" i="1"/>
  <c r="SB65" i="1"/>
  <c r="SA65" i="1"/>
  <c r="RZ65" i="1"/>
  <c r="RY65" i="1"/>
  <c r="RX65" i="1"/>
  <c r="RW65" i="1"/>
  <c r="RV65" i="1"/>
  <c r="RT65" i="1"/>
  <c r="RS65" i="1"/>
  <c r="RR65" i="1"/>
  <c r="RQ65" i="1"/>
  <c r="RP65" i="1"/>
  <c r="RO65" i="1"/>
  <c r="RN65" i="1"/>
  <c r="RM65" i="1"/>
  <c r="RL65" i="1"/>
  <c r="RK65" i="1"/>
  <c r="RJ65" i="1"/>
  <c r="RI65" i="1"/>
  <c r="RH65" i="1"/>
  <c r="RF65" i="1"/>
  <c r="RE65" i="1"/>
  <c r="RD65" i="1"/>
  <c r="RC65" i="1"/>
  <c r="RB65" i="1"/>
  <c r="RA65" i="1"/>
  <c r="QZ65" i="1"/>
  <c r="QY65" i="1"/>
  <c r="QX65" i="1"/>
  <c r="QW65" i="1"/>
  <c r="QV65" i="1"/>
  <c r="QU65" i="1"/>
  <c r="QT65" i="1"/>
  <c r="QR65" i="1"/>
  <c r="QQ65" i="1"/>
  <c r="QP65" i="1"/>
  <c r="QO65" i="1"/>
  <c r="QN65" i="1"/>
  <c r="QM65" i="1"/>
  <c r="QL65" i="1"/>
  <c r="QK65" i="1"/>
  <c r="QJ65" i="1"/>
  <c r="QI65" i="1"/>
  <c r="QH65" i="1"/>
  <c r="QG65" i="1"/>
  <c r="QF65" i="1"/>
  <c r="QE65" i="1"/>
  <c r="QD65" i="1"/>
  <c r="QC65" i="1"/>
  <c r="QB65" i="1"/>
  <c r="QA65" i="1"/>
  <c r="PZ65" i="1"/>
  <c r="PY65" i="1"/>
  <c r="PX65" i="1"/>
  <c r="PW65" i="1"/>
  <c r="PV65" i="1"/>
  <c r="PU65" i="1"/>
  <c r="PT65" i="1"/>
  <c r="PS65" i="1"/>
  <c r="PR65" i="1"/>
  <c r="PQ65" i="1"/>
  <c r="PP65" i="1"/>
  <c r="PO65" i="1"/>
  <c r="PN65" i="1"/>
  <c r="PM65" i="1"/>
  <c r="PL65" i="1"/>
  <c r="PK65" i="1"/>
  <c r="PJ65" i="1"/>
  <c r="PI65" i="1"/>
  <c r="PH65" i="1"/>
  <c r="PG65" i="1"/>
  <c r="PF65" i="1"/>
  <c r="PE65" i="1"/>
  <c r="PD65" i="1"/>
  <c r="PC65" i="1"/>
  <c r="PB65" i="1"/>
  <c r="PA65" i="1"/>
  <c r="OZ65" i="1"/>
  <c r="OY65" i="1"/>
  <c r="OW65" i="1"/>
  <c r="OV65" i="1"/>
  <c r="OU65" i="1"/>
  <c r="OT65" i="1"/>
  <c r="OX65" i="1" s="1"/>
  <c r="OS65" i="1"/>
  <c r="OQ65" i="1"/>
  <c r="OP65" i="1"/>
  <c r="OO65" i="1"/>
  <c r="ON65" i="1"/>
  <c r="OM65" i="1"/>
  <c r="OL65" i="1"/>
  <c r="OK65" i="1"/>
  <c r="OJ65" i="1"/>
  <c r="OI65" i="1"/>
  <c r="OH65" i="1"/>
  <c r="OG65" i="1"/>
  <c r="OF65" i="1"/>
  <c r="OE65" i="1"/>
  <c r="OD65" i="1"/>
  <c r="OB65" i="1"/>
  <c r="OA65" i="1"/>
  <c r="NZ65" i="1"/>
  <c r="OC65" i="1" s="1"/>
  <c r="NX65" i="1"/>
  <c r="NW65" i="1"/>
  <c r="NV65" i="1"/>
  <c r="NY65" i="1" s="1"/>
  <c r="NT65" i="1"/>
  <c r="NS65" i="1"/>
  <c r="NR65" i="1"/>
  <c r="NP65" i="1"/>
  <c r="NO65" i="1"/>
  <c r="NN65" i="1"/>
  <c r="NL65" i="1"/>
  <c r="NK65" i="1"/>
  <c r="NJ65" i="1"/>
  <c r="NI65" i="1"/>
  <c r="NH65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I65" i="1"/>
  <c r="MH65" i="1"/>
  <c r="MG65" i="1"/>
  <c r="ME65" i="1"/>
  <c r="MC65" i="1"/>
  <c r="MB65" i="1"/>
  <c r="MA65" i="1"/>
  <c r="LZ65" i="1"/>
  <c r="LY65" i="1"/>
  <c r="LW65" i="1"/>
  <c r="LV65" i="1"/>
  <c r="LU65" i="1"/>
  <c r="LT65" i="1"/>
  <c r="LS65" i="1"/>
  <c r="LR65" i="1"/>
  <c r="LQ65" i="1"/>
  <c r="LP65" i="1"/>
  <c r="LO65" i="1"/>
  <c r="LN65" i="1"/>
  <c r="LM65" i="1"/>
  <c r="LK65" i="1"/>
  <c r="LJ65" i="1"/>
  <c r="LI65" i="1"/>
  <c r="LG65" i="1"/>
  <c r="LF65" i="1"/>
  <c r="LE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A65" i="1"/>
  <c r="IZ65" i="1"/>
  <c r="IY65" i="1"/>
  <c r="IW65" i="1"/>
  <c r="IV65" i="1"/>
  <c r="IU65" i="1"/>
  <c r="IS65" i="1"/>
  <c r="IR65" i="1"/>
  <c r="IQ65" i="1"/>
  <c r="IP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U65" i="1"/>
  <c r="HT65" i="1"/>
  <c r="HS65" i="1"/>
  <c r="HV65" i="1" s="1"/>
  <c r="HR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M65" i="1"/>
  <c r="GL65" i="1"/>
  <c r="GN65" i="1" s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D65" i="1"/>
  <c r="DC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O65" i="1"/>
  <c r="AN65" i="1"/>
  <c r="AM65" i="1"/>
  <c r="AL65" i="1"/>
  <c r="AK65" i="1"/>
  <c r="AJ65" i="1"/>
  <c r="AI65" i="1"/>
  <c r="AG65" i="1"/>
  <c r="AF65" i="1"/>
  <c r="AE65" i="1"/>
  <c r="AD65" i="1"/>
  <c r="AC65" i="1"/>
  <c r="AB65" i="1"/>
  <c r="AA65" i="1"/>
  <c r="Z65" i="1"/>
  <c r="Y65" i="1"/>
  <c r="W65" i="1"/>
  <c r="V65" i="1"/>
  <c r="U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OR64" i="1"/>
  <c r="NY64" i="1"/>
  <c r="MJ64" i="1"/>
  <c r="MH64" i="1"/>
  <c r="MF64" i="1"/>
  <c r="MD64" i="1"/>
  <c r="MD60" i="1" s="1"/>
  <c r="LL64" i="1"/>
  <c r="LH64" i="1"/>
  <c r="LD64" i="1"/>
  <c r="JB64" i="1"/>
  <c r="JB60" i="1" s="1"/>
  <c r="IX64" i="1"/>
  <c r="IT64" i="1"/>
  <c r="IO64" i="1"/>
  <c r="DE64" i="1"/>
  <c r="DE60" i="1" s="1"/>
  <c r="DB64" i="1"/>
  <c r="CX64" i="1"/>
  <c r="AL64" i="1"/>
  <c r="AH64" i="1"/>
  <c r="T64" i="1"/>
  <c r="OR63" i="1"/>
  <c r="NY63" i="1"/>
  <c r="MJ63" i="1"/>
  <c r="MH63" i="1"/>
  <c r="MF63" i="1"/>
  <c r="MD63" i="1"/>
  <c r="LL63" i="1"/>
  <c r="LH63" i="1"/>
  <c r="LD63" i="1"/>
  <c r="JB63" i="1"/>
  <c r="IX63" i="1"/>
  <c r="IT63" i="1"/>
  <c r="IO63" i="1"/>
  <c r="DE63" i="1"/>
  <c r="DB63" i="1"/>
  <c r="CX63" i="1"/>
  <c r="AL63" i="1"/>
  <c r="AH63" i="1"/>
  <c r="T63" i="1"/>
  <c r="OR62" i="1"/>
  <c r="NY62" i="1"/>
  <c r="MJ62" i="1"/>
  <c r="MH62" i="1"/>
  <c r="MF62" i="1"/>
  <c r="MF60" i="1" s="1"/>
  <c r="MD62" i="1"/>
  <c r="LL62" i="1"/>
  <c r="LH62" i="1"/>
  <c r="LD62" i="1"/>
  <c r="JB62" i="1"/>
  <c r="IX62" i="1"/>
  <c r="IT62" i="1"/>
  <c r="IO62" i="1"/>
  <c r="DE62" i="1"/>
  <c r="DB62" i="1"/>
  <c r="CX62" i="1"/>
  <c r="AL62" i="1"/>
  <c r="AH62" i="1"/>
  <c r="T62" i="1"/>
  <c r="TA61" i="1"/>
  <c r="SX61" i="1"/>
  <c r="SX60" i="1" s="1"/>
  <c r="SU61" i="1"/>
  <c r="SR61" i="1"/>
  <c r="SN61" i="1"/>
  <c r="SG61" i="1"/>
  <c r="SG60" i="1" s="1"/>
  <c r="SC61" i="1"/>
  <c r="RU61" i="1"/>
  <c r="RN61" i="1"/>
  <c r="RN60" i="1" s="1"/>
  <c r="RG61" i="1"/>
  <c r="RG60" i="1" s="1"/>
  <c r="QZ61" i="1"/>
  <c r="QS61" i="1"/>
  <c r="QL61" i="1"/>
  <c r="QL60" i="1" s="1"/>
  <c r="OR61" i="1"/>
  <c r="NY61" i="1"/>
  <c r="NU61" i="1"/>
  <c r="NQ61" i="1"/>
  <c r="NQ60" i="1" s="1"/>
  <c r="NM61" i="1"/>
  <c r="NM60" i="1" s="1"/>
  <c r="NI61" i="1"/>
  <c r="NE61" i="1"/>
  <c r="MJ61" i="1"/>
  <c r="MJ60" i="1" s="1"/>
  <c r="MH61" i="1"/>
  <c r="MH60" i="1" s="1"/>
  <c r="MF61" i="1"/>
  <c r="MD61" i="1"/>
  <c r="MB61" i="1"/>
  <c r="MB60" i="1" s="1"/>
  <c r="LP61" i="1"/>
  <c r="LP60" i="1" s="1"/>
  <c r="LL61" i="1"/>
  <c r="LH61" i="1"/>
  <c r="LD61" i="1"/>
  <c r="JF61" i="1"/>
  <c r="JF60" i="1" s="1"/>
  <c r="JB61" i="1"/>
  <c r="IX61" i="1"/>
  <c r="IT61" i="1"/>
  <c r="IO61" i="1"/>
  <c r="IJ61" i="1"/>
  <c r="IE61" i="1"/>
  <c r="IE60" i="1" s="1"/>
  <c r="HZ61" i="1"/>
  <c r="HZ60" i="1" s="1"/>
  <c r="HQ61" i="1"/>
  <c r="HQ60" i="1" s="1"/>
  <c r="HG61" i="1"/>
  <c r="HB61" i="1"/>
  <c r="GW61" i="1"/>
  <c r="GW60" i="1" s="1"/>
  <c r="GE61" i="1"/>
  <c r="GE60" i="1" s="1"/>
  <c r="FR61" i="1"/>
  <c r="FK61" i="1"/>
  <c r="FK60" i="1" s="1"/>
  <c r="EU61" i="1"/>
  <c r="EU60" i="1" s="1"/>
  <c r="DK61" i="1"/>
  <c r="DK60" i="1" s="1"/>
  <c r="DE61" i="1"/>
  <c r="DB61" i="1"/>
  <c r="CX61" i="1"/>
  <c r="BS61" i="1"/>
  <c r="BS60" i="1" s="1"/>
  <c r="AU61" i="1"/>
  <c r="AP61" i="1"/>
  <c r="AL61" i="1"/>
  <c r="AH61" i="1"/>
  <c r="AH60" i="1" s="1"/>
  <c r="AA61" i="1"/>
  <c r="X61" i="1"/>
  <c r="T61" i="1"/>
  <c r="O61" i="1"/>
  <c r="O60" i="1" s="1"/>
  <c r="L61" i="1"/>
  <c r="H61" i="1"/>
  <c r="UC60" i="1"/>
  <c r="UB60" i="1"/>
  <c r="UA60" i="1"/>
  <c r="TZ60" i="1"/>
  <c r="TY60" i="1"/>
  <c r="TX60" i="1"/>
  <c r="TW60" i="1"/>
  <c r="TV60" i="1"/>
  <c r="TU60" i="1"/>
  <c r="TT60" i="1"/>
  <c r="TS60" i="1"/>
  <c r="TR60" i="1"/>
  <c r="TQ60" i="1"/>
  <c r="TP60" i="1"/>
  <c r="TO60" i="1"/>
  <c r="TN60" i="1"/>
  <c r="TM60" i="1"/>
  <c r="TL60" i="1"/>
  <c r="TK60" i="1"/>
  <c r="TJ60" i="1"/>
  <c r="TI60" i="1"/>
  <c r="TH60" i="1"/>
  <c r="TG60" i="1"/>
  <c r="TF60" i="1"/>
  <c r="TE60" i="1"/>
  <c r="TD60" i="1"/>
  <c r="TC60" i="1"/>
  <c r="TB60" i="1"/>
  <c r="TA60" i="1"/>
  <c r="SZ60" i="1"/>
  <c r="SY60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M60" i="1"/>
  <c r="RL60" i="1"/>
  <c r="RK60" i="1"/>
  <c r="RJ60" i="1"/>
  <c r="RI60" i="1"/>
  <c r="RH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K60" i="1"/>
  <c r="QJ60" i="1"/>
  <c r="QI60" i="1"/>
  <c r="QH60" i="1"/>
  <c r="QG60" i="1"/>
  <c r="QF60" i="1"/>
  <c r="QE60" i="1"/>
  <c r="QC60" i="1"/>
  <c r="QB60" i="1"/>
  <c r="QD60" i="1" s="1"/>
  <c r="QA60" i="1"/>
  <c r="PY60" i="1"/>
  <c r="PX60" i="1"/>
  <c r="PZ60" i="1" s="1"/>
  <c r="PW60" i="1"/>
  <c r="PU60" i="1"/>
  <c r="PT60" i="1"/>
  <c r="PS60" i="1"/>
  <c r="PQ60" i="1"/>
  <c r="PP60" i="1"/>
  <c r="PR60" i="1" s="1"/>
  <c r="PO60" i="1"/>
  <c r="PM60" i="1"/>
  <c r="PL60" i="1"/>
  <c r="PN60" i="1" s="1"/>
  <c r="PK60" i="1"/>
  <c r="PI60" i="1"/>
  <c r="PH60" i="1"/>
  <c r="PJ60" i="1" s="1"/>
  <c r="PG60" i="1"/>
  <c r="PE60" i="1"/>
  <c r="PD60" i="1"/>
  <c r="PC60" i="1"/>
  <c r="PA60" i="1"/>
  <c r="OZ60" i="1"/>
  <c r="PB60" i="1" s="1"/>
  <c r="OY60" i="1"/>
  <c r="OW60" i="1"/>
  <c r="OV60" i="1"/>
  <c r="OU60" i="1"/>
  <c r="OT60" i="1"/>
  <c r="OS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R60" i="1" s="1"/>
  <c r="OE60" i="1"/>
  <c r="OD60" i="1"/>
  <c r="OB60" i="1"/>
  <c r="OC60" i="1" s="1"/>
  <c r="OA60" i="1"/>
  <c r="NZ60" i="1"/>
  <c r="NX60" i="1"/>
  <c r="NY60" i="1" s="1"/>
  <c r="NW60" i="1"/>
  <c r="NV60" i="1"/>
  <c r="NU60" i="1"/>
  <c r="NT60" i="1"/>
  <c r="NS60" i="1"/>
  <c r="NR60" i="1"/>
  <c r="NP60" i="1"/>
  <c r="NO60" i="1"/>
  <c r="NN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I60" i="1"/>
  <c r="MG60" i="1"/>
  <c r="ME60" i="1"/>
  <c r="MC60" i="1"/>
  <c r="MA60" i="1"/>
  <c r="LZ60" i="1"/>
  <c r="LY60" i="1"/>
  <c r="LW60" i="1"/>
  <c r="LV60" i="1"/>
  <c r="LU60" i="1"/>
  <c r="LX60" i="1" s="1"/>
  <c r="LT60" i="1"/>
  <c r="LS60" i="1"/>
  <c r="LR60" i="1"/>
  <c r="LQ60" i="1"/>
  <c r="LO60" i="1"/>
  <c r="LN60" i="1"/>
  <c r="LM60" i="1"/>
  <c r="LK60" i="1"/>
  <c r="LJ60" i="1"/>
  <c r="LI60" i="1"/>
  <c r="LG60" i="1"/>
  <c r="LF60" i="1"/>
  <c r="LE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E60" i="1"/>
  <c r="JD60" i="1"/>
  <c r="JC60" i="1"/>
  <c r="JA60" i="1"/>
  <c r="IZ60" i="1"/>
  <c r="IY60" i="1"/>
  <c r="IW60" i="1"/>
  <c r="IV60" i="1"/>
  <c r="IU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D60" i="1"/>
  <c r="IC60" i="1"/>
  <c r="IB60" i="1"/>
  <c r="IA60" i="1"/>
  <c r="HY60" i="1"/>
  <c r="HX60" i="1"/>
  <c r="HW60" i="1"/>
  <c r="HU60" i="1"/>
  <c r="HT60" i="1"/>
  <c r="HV60" i="1" s="1"/>
  <c r="HS60" i="1"/>
  <c r="HR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J60" i="1"/>
  <c r="DI60" i="1"/>
  <c r="DH60" i="1"/>
  <c r="DG60" i="1"/>
  <c r="DF60" i="1"/>
  <c r="DD60" i="1"/>
  <c r="DC60" i="1"/>
  <c r="DA60" i="1"/>
  <c r="CZ60" i="1"/>
  <c r="CY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K60" i="1"/>
  <c r="AJ60" i="1"/>
  <c r="AI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S60" i="1"/>
  <c r="R60" i="1"/>
  <c r="Q60" i="1"/>
  <c r="P60" i="1"/>
  <c r="N60" i="1"/>
  <c r="M60" i="1"/>
  <c r="L60" i="1"/>
  <c r="K60" i="1"/>
  <c r="J60" i="1"/>
  <c r="I60" i="1"/>
  <c r="H60" i="1"/>
  <c r="G60" i="1"/>
  <c r="F60" i="1"/>
  <c r="E60" i="1"/>
  <c r="TW13" i="1"/>
  <c r="TW12" i="1" s="1"/>
  <c r="TS13" i="1"/>
  <c r="TS12" i="1" s="1"/>
  <c r="TO13" i="1"/>
  <c r="TO12" i="1" s="1"/>
  <c r="TK13" i="1"/>
  <c r="TK12" i="1" s="1"/>
  <c r="TG13" i="1"/>
  <c r="TG12" i="1" s="1"/>
  <c r="TC13" i="1"/>
  <c r="TC12" i="1" s="1"/>
  <c r="SW13" i="1"/>
  <c r="SW12" i="1" s="1"/>
  <c r="SQ13" i="1"/>
  <c r="SB13" i="1"/>
  <c r="SB12" i="1" s="1"/>
  <c r="RX13" i="1"/>
  <c r="RS13" i="1"/>
  <c r="RS12" i="1" s="1"/>
  <c r="RO13" i="1"/>
  <c r="RO12" i="1" s="1"/>
  <c r="RE13" i="1"/>
  <c r="RE12" i="1" s="1"/>
  <c r="RA13" i="1"/>
  <c r="QW13" i="1"/>
  <c r="QW12" i="1" s="1"/>
  <c r="QR13" i="1"/>
  <c r="QR12" i="1" s="1"/>
  <c r="QN13" i="1"/>
  <c r="QN12" i="1" s="1"/>
  <c r="QI13" i="1"/>
  <c r="QI12" i="1" s="1"/>
  <c r="QH13" i="1"/>
  <c r="QH12" i="1" s="1"/>
  <c r="QE13" i="1"/>
  <c r="QE12" i="1" s="1"/>
  <c r="QA13" i="1"/>
  <c r="PW13" i="1"/>
  <c r="PW12" i="1" s="1"/>
  <c r="PO13" i="1"/>
  <c r="PK13" i="1"/>
  <c r="PG13" i="1"/>
  <c r="PG12" i="1" s="1"/>
  <c r="PC13" i="1"/>
  <c r="PC12" i="1" s="1"/>
  <c r="OY13" i="1"/>
  <c r="OU13" i="1"/>
  <c r="OU12" i="1" s="1"/>
  <c r="OT13" i="1"/>
  <c r="OP13" i="1"/>
  <c r="OP12" i="1" s="1"/>
  <c r="OL13" i="1"/>
  <c r="OL12" i="1" s="1"/>
  <c r="OH13" i="1"/>
  <c r="OH12" i="1" s="1"/>
  <c r="OD13" i="1"/>
  <c r="NX13" i="1"/>
  <c r="NS13" i="1"/>
  <c r="NR13" i="1"/>
  <c r="NN13" i="1"/>
  <c r="NH13" i="1"/>
  <c r="NH12" i="1" s="1"/>
  <c r="NC13" i="1"/>
  <c r="NC12" i="1" s="1"/>
  <c r="NB13" i="1"/>
  <c r="MX13" i="1"/>
  <c r="MS13" i="1"/>
  <c r="MS12" i="1" s="1"/>
  <c r="MO13" i="1"/>
  <c r="MO12" i="1" s="1"/>
  <c r="MI13" i="1"/>
  <c r="MI12" i="1" s="1"/>
  <c r="MJ12" i="1" s="1"/>
  <c r="MC13" i="1"/>
  <c r="MD13" i="1" s="1"/>
  <c r="LW13" i="1"/>
  <c r="LN13" i="1"/>
  <c r="LN12" i="1" s="1"/>
  <c r="LM13" i="1"/>
  <c r="LM12" i="1" s="1"/>
  <c r="LG13" i="1"/>
  <c r="LG12" i="1" s="1"/>
  <c r="KX13" i="1"/>
  <c r="KW13" i="1"/>
  <c r="KT13" i="1"/>
  <c r="KT12" i="1" s="1"/>
  <c r="KS13" i="1"/>
  <c r="KS12" i="1" s="1"/>
  <c r="KP13" i="1"/>
  <c r="KO13" i="1"/>
  <c r="KO12" i="1" s="1"/>
  <c r="KL13" i="1"/>
  <c r="KL12" i="1" s="1"/>
  <c r="KK13" i="1"/>
  <c r="KH13" i="1"/>
  <c r="KG13" i="1"/>
  <c r="KG12" i="1" s="1"/>
  <c r="KD13" i="1"/>
  <c r="KD12" i="1" s="1"/>
  <c r="KC13" i="1"/>
  <c r="KC12" i="1" s="1"/>
  <c r="JZ13" i="1"/>
  <c r="JY13" i="1"/>
  <c r="JY12" i="1" s="1"/>
  <c r="JV13" i="1"/>
  <c r="JV12" i="1" s="1"/>
  <c r="JU13" i="1"/>
  <c r="JR13" i="1"/>
  <c r="JQ13" i="1"/>
  <c r="JQ12" i="1" s="1"/>
  <c r="JN13" i="1"/>
  <c r="JM13" i="1"/>
  <c r="JM12" i="1" s="1"/>
  <c r="JJ13" i="1"/>
  <c r="JI13" i="1"/>
  <c r="JI12" i="1" s="1"/>
  <c r="JE13" i="1"/>
  <c r="JE12" i="1" s="1"/>
  <c r="IS13" i="1"/>
  <c r="IS12" i="1" s="1"/>
  <c r="IN13" i="1"/>
  <c r="IN12" i="1" s="1"/>
  <c r="II13" i="1"/>
  <c r="II12" i="1" s="1"/>
  <c r="ID13" i="1"/>
  <c r="ID12" i="1" s="1"/>
  <c r="HY13" i="1"/>
  <c r="HY12" i="1" s="1"/>
  <c r="HT13" i="1"/>
  <c r="HT12" i="1" s="1"/>
  <c r="HO13" i="1"/>
  <c r="HO12" i="1" s="1"/>
  <c r="HJ13" i="1"/>
  <c r="HJ12" i="1" s="1"/>
  <c r="HE13" i="1"/>
  <c r="GZ13" i="1"/>
  <c r="GZ12" i="1" s="1"/>
  <c r="GV13" i="1"/>
  <c r="GV12" i="1" s="1"/>
  <c r="GJ13" i="1"/>
  <c r="GJ12" i="1" s="1"/>
  <c r="GF13" i="1"/>
  <c r="GF12" i="1" s="1"/>
  <c r="GA13" i="1"/>
  <c r="FU13" i="1"/>
  <c r="FU12" i="1" s="1"/>
  <c r="FP13" i="1"/>
  <c r="FP12" i="1" s="1"/>
  <c r="FL13" i="1"/>
  <c r="FL12" i="1" s="1"/>
  <c r="FF13" i="1"/>
  <c r="FF12" i="1" s="1"/>
  <c r="FB13" i="1"/>
  <c r="FB12" i="1" s="1"/>
  <c r="EX13" i="1"/>
  <c r="EX12" i="1" s="1"/>
  <c r="ES13" i="1"/>
  <c r="EN13" i="1"/>
  <c r="EN12" i="1" s="1"/>
  <c r="EI13" i="1"/>
  <c r="EI12" i="1" s="1"/>
  <c r="ED13" i="1"/>
  <c r="ED12" i="1" s="1"/>
  <c r="BX13" i="1"/>
  <c r="BX12" i="1" s="1"/>
  <c r="AZ13" i="1"/>
  <c r="AZ12" i="1" s="1"/>
  <c r="AV13" i="1"/>
  <c r="AV12" i="1" s="1"/>
  <c r="AQ13" i="1"/>
  <c r="AQ12" i="1" s="1"/>
  <c r="AK13" i="1"/>
  <c r="AK12" i="1" s="1"/>
  <c r="AF13" i="1"/>
  <c r="AF12" i="1" s="1"/>
  <c r="Y13" i="1"/>
  <c r="Y12" i="1" s="1"/>
  <c r="S13" i="1"/>
  <c r="S12" i="1" s="1"/>
  <c r="Q13" i="1"/>
  <c r="F13" i="1"/>
  <c r="F12" i="1" s="1"/>
  <c r="TA26" i="1"/>
  <c r="SX26" i="1"/>
  <c r="SU26" i="1"/>
  <c r="SR26" i="1"/>
  <c r="SN26" i="1"/>
  <c r="SG26" i="1"/>
  <c r="SC26" i="1"/>
  <c r="RU26" i="1"/>
  <c r="RN26" i="1"/>
  <c r="RG26" i="1"/>
  <c r="QZ26" i="1"/>
  <c r="QS26" i="1"/>
  <c r="QL26" i="1"/>
  <c r="QD26" i="1"/>
  <c r="PZ26" i="1"/>
  <c r="PV26" i="1"/>
  <c r="PR26" i="1"/>
  <c r="PN26" i="1"/>
  <c r="PJ26" i="1"/>
  <c r="PF26" i="1"/>
  <c r="PB26" i="1"/>
  <c r="OX26" i="1"/>
  <c r="OR26" i="1"/>
  <c r="OC26" i="1"/>
  <c r="NY26" i="1"/>
  <c r="NU26" i="1"/>
  <c r="NQ26" i="1"/>
  <c r="NM26" i="1"/>
  <c r="NI26" i="1"/>
  <c r="NE26" i="1"/>
  <c r="NA26" i="1"/>
  <c r="MW26" i="1"/>
  <c r="ML26" i="1"/>
  <c r="MJ26" i="1"/>
  <c r="MH26" i="1"/>
  <c r="MF26" i="1"/>
  <c r="MD26" i="1"/>
  <c r="MB26" i="1"/>
  <c r="LX26" i="1"/>
  <c r="LT26" i="1"/>
  <c r="LP26" i="1"/>
  <c r="LL26" i="1"/>
  <c r="LH26" i="1"/>
  <c r="LD26" i="1"/>
  <c r="KZ26" i="1"/>
  <c r="JF26" i="1"/>
  <c r="JB26" i="1"/>
  <c r="IX26" i="1"/>
  <c r="IO26" i="1"/>
  <c r="IJ26" i="1"/>
  <c r="IE26" i="1"/>
  <c r="HZ26" i="1"/>
  <c r="HV26" i="1"/>
  <c r="HQ26" i="1"/>
  <c r="HL26" i="1"/>
  <c r="HG26" i="1"/>
  <c r="HB26" i="1"/>
  <c r="GW26" i="1"/>
  <c r="GR26" i="1"/>
  <c r="GN26" i="1"/>
  <c r="GB26" i="1"/>
  <c r="FY26" i="1"/>
  <c r="FV26" i="1"/>
  <c r="FR26" i="1"/>
  <c r="FK26" i="1"/>
  <c r="FG26" i="1"/>
  <c r="EU26" i="1"/>
  <c r="ER26" i="1"/>
  <c r="EO26" i="1"/>
  <c r="EL26" i="1"/>
  <c r="EH26" i="1"/>
  <c r="EA26" i="1"/>
  <c r="DW26" i="1"/>
  <c r="DK26" i="1"/>
  <c r="DH26" i="1"/>
  <c r="DE26" i="1"/>
  <c r="DB26" i="1"/>
  <c r="CX26" i="1"/>
  <c r="CQ26" i="1"/>
  <c r="CL26" i="1"/>
  <c r="CC26" i="1"/>
  <c r="BZ26" i="1"/>
  <c r="BW26" i="1"/>
  <c r="BS26" i="1"/>
  <c r="BL26" i="1"/>
  <c r="BD26" i="1"/>
  <c r="AU26" i="1"/>
  <c r="AP26" i="1"/>
  <c r="AL26" i="1"/>
  <c r="AH26" i="1"/>
  <c r="AD26" i="1"/>
  <c r="AA26" i="1"/>
  <c r="X26" i="1"/>
  <c r="T26" i="1"/>
  <c r="O26" i="1"/>
  <c r="L26" i="1"/>
  <c r="H26" i="1"/>
  <c r="TA25" i="1"/>
  <c r="SX25" i="1"/>
  <c r="SU25" i="1"/>
  <c r="SR25" i="1"/>
  <c r="SN25" i="1"/>
  <c r="SG25" i="1"/>
  <c r="SC25" i="1"/>
  <c r="RU25" i="1"/>
  <c r="RN25" i="1"/>
  <c r="RG25" i="1"/>
  <c r="QZ25" i="1"/>
  <c r="QS25" i="1"/>
  <c r="QL25" i="1"/>
  <c r="QD25" i="1"/>
  <c r="PZ25" i="1"/>
  <c r="PV25" i="1"/>
  <c r="PR25" i="1"/>
  <c r="PN25" i="1"/>
  <c r="PJ25" i="1"/>
  <c r="PF25" i="1"/>
  <c r="PB25" i="1"/>
  <c r="OX25" i="1"/>
  <c r="OR25" i="1"/>
  <c r="OC25" i="1"/>
  <c r="NY25" i="1"/>
  <c r="NU25" i="1"/>
  <c r="NQ25" i="1"/>
  <c r="NM25" i="1"/>
  <c r="NI25" i="1"/>
  <c r="NE25" i="1"/>
  <c r="NA25" i="1"/>
  <c r="MW25" i="1"/>
  <c r="ML25" i="1"/>
  <c r="MJ25" i="1"/>
  <c r="MH25" i="1"/>
  <c r="MF25" i="1"/>
  <c r="MD25" i="1"/>
  <c r="MB25" i="1"/>
  <c r="LX25" i="1"/>
  <c r="LT25" i="1"/>
  <c r="LP25" i="1"/>
  <c r="LL25" i="1"/>
  <c r="LH25" i="1"/>
  <c r="LD25" i="1"/>
  <c r="KZ25" i="1"/>
  <c r="JF25" i="1"/>
  <c r="JB25" i="1"/>
  <c r="IX25" i="1"/>
  <c r="IO25" i="1"/>
  <c r="IJ25" i="1"/>
  <c r="IE25" i="1"/>
  <c r="HZ25" i="1"/>
  <c r="HV25" i="1"/>
  <c r="HQ25" i="1"/>
  <c r="HL25" i="1"/>
  <c r="HG25" i="1"/>
  <c r="HB25" i="1"/>
  <c r="GW25" i="1"/>
  <c r="GR25" i="1"/>
  <c r="GN25" i="1"/>
  <c r="GB25" i="1"/>
  <c r="FY25" i="1"/>
  <c r="FV25" i="1"/>
  <c r="FR25" i="1"/>
  <c r="FK25" i="1"/>
  <c r="FG25" i="1"/>
  <c r="EU25" i="1"/>
  <c r="ER25" i="1"/>
  <c r="EO25" i="1"/>
  <c r="EL25" i="1"/>
  <c r="EH25" i="1"/>
  <c r="EA25" i="1"/>
  <c r="DW25" i="1"/>
  <c r="DK25" i="1"/>
  <c r="DH25" i="1"/>
  <c r="DE25" i="1"/>
  <c r="DB25" i="1"/>
  <c r="CX25" i="1"/>
  <c r="CQ25" i="1"/>
  <c r="CL25" i="1"/>
  <c r="CC25" i="1"/>
  <c r="BZ25" i="1"/>
  <c r="BW25" i="1"/>
  <c r="BS25" i="1"/>
  <c r="BL25" i="1"/>
  <c r="BD25" i="1"/>
  <c r="AU25" i="1"/>
  <c r="AP25" i="1"/>
  <c r="AL25" i="1"/>
  <c r="AH25" i="1"/>
  <c r="AD25" i="1"/>
  <c r="AA25" i="1"/>
  <c r="X25" i="1"/>
  <c r="T25" i="1"/>
  <c r="O25" i="1"/>
  <c r="L25" i="1"/>
  <c r="H25" i="1"/>
  <c r="TA24" i="1"/>
  <c r="SX24" i="1"/>
  <c r="SU24" i="1"/>
  <c r="SR24" i="1"/>
  <c r="SN24" i="1"/>
  <c r="SG24" i="1"/>
  <c r="SC24" i="1"/>
  <c r="RU24" i="1"/>
  <c r="RN24" i="1"/>
  <c r="RG24" i="1"/>
  <c r="QZ24" i="1"/>
  <c r="QS24" i="1"/>
  <c r="QL24" i="1"/>
  <c r="QD24" i="1"/>
  <c r="PZ24" i="1"/>
  <c r="PV24" i="1"/>
  <c r="PR24" i="1"/>
  <c r="PN24" i="1"/>
  <c r="PJ24" i="1"/>
  <c r="PF24" i="1"/>
  <c r="PB24" i="1"/>
  <c r="OX24" i="1"/>
  <c r="OR24" i="1"/>
  <c r="OC24" i="1"/>
  <c r="NY24" i="1"/>
  <c r="NU24" i="1"/>
  <c r="NQ24" i="1"/>
  <c r="NM24" i="1"/>
  <c r="NI24" i="1"/>
  <c r="NE24" i="1"/>
  <c r="NA24" i="1"/>
  <c r="MW24" i="1"/>
  <c r="ML24" i="1"/>
  <c r="MJ24" i="1"/>
  <c r="MH24" i="1"/>
  <c r="MF24" i="1"/>
  <c r="MD24" i="1"/>
  <c r="MB24" i="1"/>
  <c r="LX24" i="1"/>
  <c r="LT24" i="1"/>
  <c r="LP24" i="1"/>
  <c r="LL24" i="1"/>
  <c r="LH24" i="1"/>
  <c r="LD24" i="1"/>
  <c r="KZ24" i="1"/>
  <c r="JF24" i="1"/>
  <c r="JB24" i="1"/>
  <c r="IX24" i="1"/>
  <c r="IO24" i="1"/>
  <c r="IJ24" i="1"/>
  <c r="IE24" i="1"/>
  <c r="HZ24" i="1"/>
  <c r="HV24" i="1"/>
  <c r="HQ24" i="1"/>
  <c r="HL24" i="1"/>
  <c r="HG24" i="1"/>
  <c r="HB24" i="1"/>
  <c r="GW24" i="1"/>
  <c r="GR24" i="1"/>
  <c r="GN24" i="1"/>
  <c r="GB24" i="1"/>
  <c r="FY24" i="1"/>
  <c r="FV24" i="1"/>
  <c r="FR24" i="1"/>
  <c r="FK24" i="1"/>
  <c r="FG24" i="1"/>
  <c r="EU24" i="1"/>
  <c r="ER24" i="1"/>
  <c r="EO24" i="1"/>
  <c r="EL24" i="1"/>
  <c r="EH24" i="1"/>
  <c r="EA24" i="1"/>
  <c r="DW24" i="1"/>
  <c r="DK24" i="1"/>
  <c r="DH24" i="1"/>
  <c r="DE24" i="1"/>
  <c r="DB24" i="1"/>
  <c r="CX24" i="1"/>
  <c r="CQ24" i="1"/>
  <c r="CL24" i="1"/>
  <c r="CC24" i="1"/>
  <c r="BZ24" i="1"/>
  <c r="BW24" i="1"/>
  <c r="BS24" i="1"/>
  <c r="BL24" i="1"/>
  <c r="BD24" i="1"/>
  <c r="AU24" i="1"/>
  <c r="AP24" i="1"/>
  <c r="AL24" i="1"/>
  <c r="AH24" i="1"/>
  <c r="AD24" i="1"/>
  <c r="AA24" i="1"/>
  <c r="X24" i="1"/>
  <c r="T24" i="1"/>
  <c r="O24" i="1"/>
  <c r="L24" i="1"/>
  <c r="H24" i="1"/>
  <c r="TA23" i="1"/>
  <c r="SX23" i="1"/>
  <c r="SU23" i="1"/>
  <c r="SR23" i="1"/>
  <c r="SN23" i="1"/>
  <c r="SG23" i="1"/>
  <c r="SC23" i="1"/>
  <c r="RU23" i="1"/>
  <c r="RN23" i="1"/>
  <c r="RG23" i="1"/>
  <c r="QZ23" i="1"/>
  <c r="QS23" i="1"/>
  <c r="QL23" i="1"/>
  <c r="QD23" i="1"/>
  <c r="PZ23" i="1"/>
  <c r="PV23" i="1"/>
  <c r="PR23" i="1"/>
  <c r="PN23" i="1"/>
  <c r="PJ23" i="1"/>
  <c r="PF23" i="1"/>
  <c r="PB23" i="1"/>
  <c r="OX23" i="1"/>
  <c r="OR23" i="1"/>
  <c r="OC23" i="1"/>
  <c r="NY23" i="1"/>
  <c r="NU23" i="1"/>
  <c r="NQ23" i="1"/>
  <c r="NM23" i="1"/>
  <c r="NI23" i="1"/>
  <c r="NE23" i="1"/>
  <c r="NA23" i="1"/>
  <c r="MW23" i="1"/>
  <c r="ML23" i="1"/>
  <c r="MJ23" i="1"/>
  <c r="MH23" i="1"/>
  <c r="MF23" i="1"/>
  <c r="MD23" i="1"/>
  <c r="MB23" i="1"/>
  <c r="LX23" i="1"/>
  <c r="LT23" i="1"/>
  <c r="LP23" i="1"/>
  <c r="LL23" i="1"/>
  <c r="LH23" i="1"/>
  <c r="LD23" i="1"/>
  <c r="KZ23" i="1"/>
  <c r="JF23" i="1"/>
  <c r="JB23" i="1"/>
  <c r="IX23" i="1"/>
  <c r="IT23" i="1"/>
  <c r="IO23" i="1"/>
  <c r="IJ23" i="1"/>
  <c r="IE23" i="1"/>
  <c r="HZ23" i="1"/>
  <c r="HV23" i="1"/>
  <c r="HQ23" i="1"/>
  <c r="HL23" i="1"/>
  <c r="HG23" i="1"/>
  <c r="HB23" i="1"/>
  <c r="GW23" i="1"/>
  <c r="GR23" i="1"/>
  <c r="GN23" i="1"/>
  <c r="GE23" i="1"/>
  <c r="GB23" i="1"/>
  <c r="FY23" i="1"/>
  <c r="FV23" i="1"/>
  <c r="FR23" i="1"/>
  <c r="FK23" i="1"/>
  <c r="FG23" i="1"/>
  <c r="EU23" i="1"/>
  <c r="ER23" i="1"/>
  <c r="EO23" i="1"/>
  <c r="EL23" i="1"/>
  <c r="EH23" i="1"/>
  <c r="EA23" i="1"/>
  <c r="DW23" i="1"/>
  <c r="DK23" i="1"/>
  <c r="DH23" i="1"/>
  <c r="DE23" i="1"/>
  <c r="DB23" i="1"/>
  <c r="CX23" i="1"/>
  <c r="CQ23" i="1"/>
  <c r="CL23" i="1"/>
  <c r="CC23" i="1"/>
  <c r="BZ23" i="1"/>
  <c r="BW23" i="1"/>
  <c r="BS23" i="1"/>
  <c r="BL23" i="1"/>
  <c r="BD23" i="1"/>
  <c r="AU23" i="1"/>
  <c r="AP23" i="1"/>
  <c r="AL23" i="1"/>
  <c r="AH23" i="1"/>
  <c r="AD23" i="1"/>
  <c r="AA23" i="1"/>
  <c r="X23" i="1"/>
  <c r="T23" i="1"/>
  <c r="O23" i="1"/>
  <c r="L23" i="1"/>
  <c r="H23" i="1"/>
  <c r="TA22" i="1"/>
  <c r="SX22" i="1"/>
  <c r="SU22" i="1"/>
  <c r="SR22" i="1"/>
  <c r="SN22" i="1"/>
  <c r="SG22" i="1"/>
  <c r="SC22" i="1"/>
  <c r="RU22" i="1"/>
  <c r="RN22" i="1"/>
  <c r="RG22" i="1"/>
  <c r="QZ22" i="1"/>
  <c r="QS22" i="1"/>
  <c r="QL22" i="1"/>
  <c r="QD22" i="1"/>
  <c r="PZ22" i="1"/>
  <c r="PV22" i="1"/>
  <c r="PR22" i="1"/>
  <c r="PN22" i="1"/>
  <c r="PJ22" i="1"/>
  <c r="PF22" i="1"/>
  <c r="PB22" i="1"/>
  <c r="OX22" i="1"/>
  <c r="OR22" i="1"/>
  <c r="OC22" i="1"/>
  <c r="NY22" i="1"/>
  <c r="NU22" i="1"/>
  <c r="NQ22" i="1"/>
  <c r="NM22" i="1"/>
  <c r="NI22" i="1"/>
  <c r="NE22" i="1"/>
  <c r="NA22" i="1"/>
  <c r="MW22" i="1"/>
  <c r="ML22" i="1"/>
  <c r="MJ22" i="1"/>
  <c r="MH22" i="1"/>
  <c r="MF22" i="1"/>
  <c r="MD22" i="1"/>
  <c r="MB22" i="1"/>
  <c r="LX22" i="1"/>
  <c r="LT22" i="1"/>
  <c r="LP22" i="1"/>
  <c r="LL22" i="1"/>
  <c r="LH22" i="1"/>
  <c r="LD22" i="1"/>
  <c r="KZ22" i="1"/>
  <c r="JF22" i="1"/>
  <c r="JB22" i="1"/>
  <c r="IX22" i="1"/>
  <c r="IT22" i="1"/>
  <c r="IO22" i="1"/>
  <c r="IJ22" i="1"/>
  <c r="IE22" i="1"/>
  <c r="HZ22" i="1"/>
  <c r="HV22" i="1"/>
  <c r="HQ22" i="1"/>
  <c r="HL22" i="1"/>
  <c r="HG22" i="1"/>
  <c r="HB22" i="1"/>
  <c r="GW22" i="1"/>
  <c r="GR22" i="1"/>
  <c r="GN22" i="1"/>
  <c r="GE22" i="1"/>
  <c r="GB22" i="1"/>
  <c r="FY22" i="1"/>
  <c r="FV22" i="1"/>
  <c r="FR22" i="1"/>
  <c r="FK22" i="1"/>
  <c r="FG22" i="1"/>
  <c r="EU22" i="1"/>
  <c r="ER22" i="1"/>
  <c r="EO22" i="1"/>
  <c r="EL22" i="1"/>
  <c r="EH22" i="1"/>
  <c r="EA22" i="1"/>
  <c r="DW22" i="1"/>
  <c r="DK22" i="1"/>
  <c r="DH22" i="1"/>
  <c r="DE22" i="1"/>
  <c r="DB22" i="1"/>
  <c r="CX22" i="1"/>
  <c r="CQ22" i="1"/>
  <c r="CL22" i="1"/>
  <c r="CC22" i="1"/>
  <c r="BZ22" i="1"/>
  <c r="BW22" i="1"/>
  <c r="BS22" i="1"/>
  <c r="BL22" i="1"/>
  <c r="BD22" i="1"/>
  <c r="AU22" i="1"/>
  <c r="AP22" i="1"/>
  <c r="AL22" i="1"/>
  <c r="AH22" i="1"/>
  <c r="AD22" i="1"/>
  <c r="AA22" i="1"/>
  <c r="X22" i="1"/>
  <c r="T22" i="1"/>
  <c r="O22" i="1"/>
  <c r="L22" i="1"/>
  <c r="H22" i="1"/>
  <c r="TA21" i="1"/>
  <c r="SX21" i="1"/>
  <c r="SU21" i="1"/>
  <c r="SR21" i="1"/>
  <c r="SN21" i="1"/>
  <c r="SG21" i="1"/>
  <c r="SC21" i="1"/>
  <c r="RU21" i="1"/>
  <c r="RN21" i="1"/>
  <c r="RG21" i="1"/>
  <c r="QZ21" i="1"/>
  <c r="QS21" i="1"/>
  <c r="QL21" i="1"/>
  <c r="QD21" i="1"/>
  <c r="PZ21" i="1"/>
  <c r="PV21" i="1"/>
  <c r="PR21" i="1"/>
  <c r="PN21" i="1"/>
  <c r="PJ21" i="1"/>
  <c r="PF21" i="1"/>
  <c r="PB21" i="1"/>
  <c r="OX21" i="1"/>
  <c r="OR21" i="1"/>
  <c r="OC21" i="1"/>
  <c r="NY21" i="1"/>
  <c r="NU21" i="1"/>
  <c r="NQ21" i="1"/>
  <c r="NM21" i="1"/>
  <c r="NI21" i="1"/>
  <c r="NE21" i="1"/>
  <c r="NA21" i="1"/>
  <c r="MW21" i="1"/>
  <c r="ML21" i="1"/>
  <c r="MJ21" i="1"/>
  <c r="MH21" i="1"/>
  <c r="MF21" i="1"/>
  <c r="MD21" i="1"/>
  <c r="MB21" i="1"/>
  <c r="LX21" i="1"/>
  <c r="LT21" i="1"/>
  <c r="LP21" i="1"/>
  <c r="LL21" i="1"/>
  <c r="LH21" i="1"/>
  <c r="LD21" i="1"/>
  <c r="KZ21" i="1"/>
  <c r="JF21" i="1"/>
  <c r="JB21" i="1"/>
  <c r="IX21" i="1"/>
  <c r="IT21" i="1"/>
  <c r="IO21" i="1"/>
  <c r="IJ21" i="1"/>
  <c r="IE21" i="1"/>
  <c r="HZ21" i="1"/>
  <c r="HV21" i="1"/>
  <c r="HQ21" i="1"/>
  <c r="HL21" i="1"/>
  <c r="HG21" i="1"/>
  <c r="HB21" i="1"/>
  <c r="GW21" i="1"/>
  <c r="GR21" i="1"/>
  <c r="GN21" i="1"/>
  <c r="GE21" i="1"/>
  <c r="GB21" i="1"/>
  <c r="FY21" i="1"/>
  <c r="FV21" i="1"/>
  <c r="FR21" i="1"/>
  <c r="FK21" i="1"/>
  <c r="FG21" i="1"/>
  <c r="EU21" i="1"/>
  <c r="ER21" i="1"/>
  <c r="EO21" i="1"/>
  <c r="EL21" i="1"/>
  <c r="EH21" i="1"/>
  <c r="EA21" i="1"/>
  <c r="DW21" i="1"/>
  <c r="DK21" i="1"/>
  <c r="DH21" i="1"/>
  <c r="DE21" i="1"/>
  <c r="DB21" i="1"/>
  <c r="CX21" i="1"/>
  <c r="CQ21" i="1"/>
  <c r="CL21" i="1"/>
  <c r="CC21" i="1"/>
  <c r="BZ21" i="1"/>
  <c r="BW21" i="1"/>
  <c r="BS21" i="1"/>
  <c r="BL21" i="1"/>
  <c r="BD21" i="1"/>
  <c r="AU21" i="1"/>
  <c r="AP21" i="1"/>
  <c r="AL21" i="1"/>
  <c r="AH21" i="1"/>
  <c r="AD21" i="1"/>
  <c r="AA21" i="1"/>
  <c r="X21" i="1"/>
  <c r="T21" i="1"/>
  <c r="O21" i="1"/>
  <c r="L21" i="1"/>
  <c r="H21" i="1"/>
  <c r="UC20" i="1"/>
  <c r="UC13" i="1" s="1"/>
  <c r="UC12" i="1" s="1"/>
  <c r="UB20" i="1"/>
  <c r="UA20" i="1"/>
  <c r="TZ20" i="1"/>
  <c r="TY20" i="1"/>
  <c r="TY13" i="1" s="1"/>
  <c r="TY12" i="1" s="1"/>
  <c r="TX20" i="1"/>
  <c r="TW20" i="1"/>
  <c r="TV20" i="1"/>
  <c r="TU20" i="1"/>
  <c r="TU13" i="1" s="1"/>
  <c r="TU12" i="1" s="1"/>
  <c r="TT20" i="1"/>
  <c r="TS20" i="1"/>
  <c r="TR20" i="1"/>
  <c r="TQ20" i="1"/>
  <c r="TQ13" i="1" s="1"/>
  <c r="TQ12" i="1" s="1"/>
  <c r="TP20" i="1"/>
  <c r="TO20" i="1"/>
  <c r="TN20" i="1"/>
  <c r="TM20" i="1"/>
  <c r="TM13" i="1" s="1"/>
  <c r="TM12" i="1" s="1"/>
  <c r="TL20" i="1"/>
  <c r="TK20" i="1"/>
  <c r="TJ20" i="1"/>
  <c r="TI20" i="1"/>
  <c r="TI13" i="1" s="1"/>
  <c r="TI12" i="1" s="1"/>
  <c r="TH20" i="1"/>
  <c r="TG20" i="1"/>
  <c r="TF20" i="1"/>
  <c r="TE20" i="1"/>
  <c r="TE13" i="1" s="1"/>
  <c r="TE12" i="1" s="1"/>
  <c r="TD20" i="1"/>
  <c r="TC20" i="1"/>
  <c r="TB20" i="1"/>
  <c r="TA20" i="1"/>
  <c r="SZ20" i="1"/>
  <c r="SY20" i="1"/>
  <c r="SW20" i="1"/>
  <c r="SX20" i="1" s="1"/>
  <c r="SV20" i="1"/>
  <c r="ST20" i="1"/>
  <c r="SS20" i="1"/>
  <c r="SU20" i="1" s="1"/>
  <c r="SQ20" i="1"/>
  <c r="SP20" i="1"/>
  <c r="SR20" i="1" s="1"/>
  <c r="SO20" i="1"/>
  <c r="SM20" i="1"/>
  <c r="SL20" i="1"/>
  <c r="SK20" i="1"/>
  <c r="SJ20" i="1"/>
  <c r="SI20" i="1"/>
  <c r="SH20" i="1"/>
  <c r="SG20" i="1"/>
  <c r="SF20" i="1"/>
  <c r="SE20" i="1"/>
  <c r="SD20" i="1"/>
  <c r="SD13" i="1" s="1"/>
  <c r="SB20" i="1"/>
  <c r="SA20" i="1"/>
  <c r="RZ20" i="1"/>
  <c r="RY20" i="1"/>
  <c r="RX20" i="1"/>
  <c r="RW20" i="1"/>
  <c r="RV20" i="1"/>
  <c r="RV13" i="1" s="1"/>
  <c r="RV12" i="1" s="1"/>
  <c r="RT20" i="1"/>
  <c r="RS20" i="1"/>
  <c r="RR20" i="1"/>
  <c r="RQ20" i="1"/>
  <c r="RU20" i="1" s="1"/>
  <c r="RP20" i="1"/>
  <c r="RO20" i="1"/>
  <c r="RM20" i="1"/>
  <c r="RL20" i="1"/>
  <c r="RK20" i="1"/>
  <c r="RJ20" i="1"/>
  <c r="RI20" i="1"/>
  <c r="RH20" i="1"/>
  <c r="RF20" i="1"/>
  <c r="RE20" i="1"/>
  <c r="RD20" i="1"/>
  <c r="RC20" i="1"/>
  <c r="RB20" i="1"/>
  <c r="RA20" i="1"/>
  <c r="RG20" i="1" s="1"/>
  <c r="QY20" i="1"/>
  <c r="QX20" i="1"/>
  <c r="QW20" i="1"/>
  <c r="QV20" i="1"/>
  <c r="QU20" i="1"/>
  <c r="QT20" i="1"/>
  <c r="QR20" i="1"/>
  <c r="QQ20" i="1"/>
  <c r="QP20" i="1"/>
  <c r="QO20" i="1"/>
  <c r="QS20" i="1" s="1"/>
  <c r="QN20" i="1"/>
  <c r="QM20" i="1"/>
  <c r="QK20" i="1"/>
  <c r="QJ20" i="1"/>
  <c r="QI20" i="1"/>
  <c r="QH20" i="1"/>
  <c r="QG20" i="1"/>
  <c r="QL20" i="1" s="1"/>
  <c r="QF20" i="1"/>
  <c r="QE20" i="1"/>
  <c r="QC20" i="1"/>
  <c r="QD20" i="1" s="1"/>
  <c r="QB20" i="1"/>
  <c r="QA20" i="1"/>
  <c r="PY20" i="1"/>
  <c r="PZ20" i="1" s="1"/>
  <c r="PX20" i="1"/>
  <c r="PW20" i="1"/>
  <c r="PU20" i="1"/>
  <c r="PV20" i="1" s="1"/>
  <c r="PT20" i="1"/>
  <c r="PS20" i="1"/>
  <c r="PQ20" i="1"/>
  <c r="PR20" i="1" s="1"/>
  <c r="PP20" i="1"/>
  <c r="PO20" i="1"/>
  <c r="PM20" i="1"/>
  <c r="PN20" i="1" s="1"/>
  <c r="PL20" i="1"/>
  <c r="PK20" i="1"/>
  <c r="PI20" i="1"/>
  <c r="PJ20" i="1" s="1"/>
  <c r="PH20" i="1"/>
  <c r="PG20" i="1"/>
  <c r="PE20" i="1"/>
  <c r="PF20" i="1" s="1"/>
  <c r="PD20" i="1"/>
  <c r="PC20" i="1"/>
  <c r="PA20" i="1"/>
  <c r="PB20" i="1" s="1"/>
  <c r="OZ20" i="1"/>
  <c r="OY20" i="1"/>
  <c r="OW20" i="1"/>
  <c r="OV20" i="1"/>
  <c r="OU20" i="1"/>
  <c r="OT20" i="1"/>
  <c r="OS20" i="1"/>
  <c r="OX20" i="1" s="1"/>
  <c r="OQ20" i="1"/>
  <c r="OP20" i="1"/>
  <c r="OO20" i="1"/>
  <c r="ON20" i="1"/>
  <c r="OM20" i="1"/>
  <c r="OL20" i="1"/>
  <c r="OK20" i="1"/>
  <c r="OJ20" i="1"/>
  <c r="OI20" i="1"/>
  <c r="OH20" i="1"/>
  <c r="OG20" i="1"/>
  <c r="OF20" i="1"/>
  <c r="OE20" i="1"/>
  <c r="OD20" i="1"/>
  <c r="OC20" i="1"/>
  <c r="OB20" i="1"/>
  <c r="OA20" i="1"/>
  <c r="NZ20" i="1"/>
  <c r="NY20" i="1"/>
  <c r="NX20" i="1"/>
  <c r="NW20" i="1"/>
  <c r="NV20" i="1"/>
  <c r="NU20" i="1"/>
  <c r="NT20" i="1"/>
  <c r="NS20" i="1"/>
  <c r="NR20" i="1"/>
  <c r="NQ20" i="1"/>
  <c r="NP20" i="1"/>
  <c r="NO20" i="1"/>
  <c r="NN20" i="1"/>
  <c r="NM20" i="1"/>
  <c r="NL20" i="1"/>
  <c r="NK20" i="1"/>
  <c r="NJ20" i="1"/>
  <c r="NI20" i="1"/>
  <c r="NH20" i="1"/>
  <c r="NG20" i="1"/>
  <c r="NF20" i="1"/>
  <c r="NE20" i="1"/>
  <c r="ND20" i="1"/>
  <c r="NC20" i="1"/>
  <c r="NB20" i="1"/>
  <c r="NA20" i="1"/>
  <c r="MZ20" i="1"/>
  <c r="MY20" i="1"/>
  <c r="MX20" i="1"/>
  <c r="MV20" i="1"/>
  <c r="MU20" i="1"/>
  <c r="MT20" i="1"/>
  <c r="MS20" i="1"/>
  <c r="MW20" i="1" s="1"/>
  <c r="MR20" i="1"/>
  <c r="MQ20" i="1"/>
  <c r="MP20" i="1"/>
  <c r="MO20" i="1"/>
  <c r="MN20" i="1"/>
  <c r="MM20" i="1"/>
  <c r="MK20" i="1"/>
  <c r="ML20" i="1" s="1"/>
  <c r="MI20" i="1"/>
  <c r="MJ20" i="1" s="1"/>
  <c r="MH20" i="1"/>
  <c r="MG20" i="1"/>
  <c r="ME20" i="1"/>
  <c r="MF20" i="1" s="1"/>
  <c r="MC20" i="1"/>
  <c r="MD20" i="1" s="1"/>
  <c r="MA20" i="1"/>
  <c r="LZ20" i="1"/>
  <c r="LY20" i="1"/>
  <c r="MB20" i="1" s="1"/>
  <c r="LW20" i="1"/>
  <c r="LV20" i="1"/>
  <c r="LU20" i="1"/>
  <c r="LX20" i="1" s="1"/>
  <c r="LS20" i="1"/>
  <c r="LR20" i="1"/>
  <c r="LR13" i="1" s="1"/>
  <c r="LQ20" i="1"/>
  <c r="LO20" i="1"/>
  <c r="LN20" i="1"/>
  <c r="LM20" i="1"/>
  <c r="LP20" i="1" s="1"/>
  <c r="LK20" i="1"/>
  <c r="LJ20" i="1"/>
  <c r="LI20" i="1"/>
  <c r="LL20" i="1" s="1"/>
  <c r="LG20" i="1"/>
  <c r="LF20" i="1"/>
  <c r="LE20" i="1"/>
  <c r="LH20" i="1" s="1"/>
  <c r="LC20" i="1"/>
  <c r="LB20" i="1"/>
  <c r="LB13" i="1" s="1"/>
  <c r="LA20" i="1"/>
  <c r="KY20" i="1"/>
  <c r="KX20" i="1"/>
  <c r="KW20" i="1"/>
  <c r="KZ20" i="1" s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E20" i="1"/>
  <c r="JF20" i="1" s="1"/>
  <c r="JD20" i="1"/>
  <c r="JC20" i="1"/>
  <c r="JA20" i="1"/>
  <c r="JB20" i="1" s="1"/>
  <c r="IZ20" i="1"/>
  <c r="IY20" i="1"/>
  <c r="IW20" i="1"/>
  <c r="IX20" i="1" s="1"/>
  <c r="IV20" i="1"/>
  <c r="IU20" i="1"/>
  <c r="IS20" i="1"/>
  <c r="IT20" i="1" s="1"/>
  <c r="IR20" i="1"/>
  <c r="IQ20" i="1"/>
  <c r="IP20" i="1"/>
  <c r="IO20" i="1"/>
  <c r="IN20" i="1"/>
  <c r="IM20" i="1"/>
  <c r="IL20" i="1"/>
  <c r="IK20" i="1"/>
  <c r="II20" i="1"/>
  <c r="IH20" i="1"/>
  <c r="IG20" i="1"/>
  <c r="IJ20" i="1" s="1"/>
  <c r="IF20" i="1"/>
  <c r="ID20" i="1"/>
  <c r="IC20" i="1"/>
  <c r="IE20" i="1" s="1"/>
  <c r="IB20" i="1"/>
  <c r="IA20" i="1"/>
  <c r="HY20" i="1"/>
  <c r="HZ20" i="1" s="1"/>
  <c r="HX20" i="1"/>
  <c r="HW20" i="1"/>
  <c r="HU20" i="1"/>
  <c r="HV20" i="1" s="1"/>
  <c r="HT20" i="1"/>
  <c r="HS20" i="1"/>
  <c r="HR20" i="1"/>
  <c r="HQ20" i="1"/>
  <c r="HP20" i="1"/>
  <c r="HO20" i="1"/>
  <c r="HN20" i="1"/>
  <c r="HM20" i="1"/>
  <c r="HK20" i="1"/>
  <c r="HJ20" i="1"/>
  <c r="HI20" i="1"/>
  <c r="HH20" i="1"/>
  <c r="HF20" i="1"/>
  <c r="HE20" i="1"/>
  <c r="HG20" i="1" s="1"/>
  <c r="HD20" i="1"/>
  <c r="HC20" i="1"/>
  <c r="HA20" i="1"/>
  <c r="HB20" i="1" s="1"/>
  <c r="GZ20" i="1"/>
  <c r="GY20" i="1"/>
  <c r="GX20" i="1"/>
  <c r="GW20" i="1"/>
  <c r="GV20" i="1"/>
  <c r="GU20" i="1"/>
  <c r="GT20" i="1"/>
  <c r="GS20" i="1"/>
  <c r="GS13" i="1" s="1"/>
  <c r="GS12" i="1" s="1"/>
  <c r="GQ20" i="1"/>
  <c r="GP20" i="1"/>
  <c r="GO20" i="1"/>
  <c r="GR20" i="1" s="1"/>
  <c r="GM20" i="1"/>
  <c r="GL20" i="1"/>
  <c r="GK20" i="1"/>
  <c r="GN20" i="1" s="1"/>
  <c r="GJ20" i="1"/>
  <c r="GI20" i="1"/>
  <c r="GH20" i="1"/>
  <c r="GG20" i="1"/>
  <c r="GF20" i="1"/>
  <c r="GD20" i="1"/>
  <c r="GD13" i="1" s="1"/>
  <c r="GD12" i="1" s="1"/>
  <c r="GC20" i="1"/>
  <c r="GA20" i="1"/>
  <c r="FZ20" i="1"/>
  <c r="GB20" i="1" s="1"/>
  <c r="FY20" i="1"/>
  <c r="FX20" i="1"/>
  <c r="FW20" i="1"/>
  <c r="FU20" i="1"/>
  <c r="FV20" i="1" s="1"/>
  <c r="FT20" i="1"/>
  <c r="FS20" i="1"/>
  <c r="FQ20" i="1"/>
  <c r="FR20" i="1" s="1"/>
  <c r="FP20" i="1"/>
  <c r="FO20" i="1"/>
  <c r="FN20" i="1"/>
  <c r="FM20" i="1"/>
  <c r="FL20" i="1"/>
  <c r="FJ20" i="1"/>
  <c r="FI20" i="1"/>
  <c r="FK20" i="1" s="1"/>
  <c r="FH20" i="1"/>
  <c r="FF20" i="1"/>
  <c r="FE20" i="1"/>
  <c r="FG20" i="1" s="1"/>
  <c r="FD20" i="1"/>
  <c r="FC20" i="1"/>
  <c r="FB20" i="1"/>
  <c r="FA20" i="1"/>
  <c r="EZ20" i="1"/>
  <c r="EY20" i="1"/>
  <c r="EX20" i="1"/>
  <c r="EW20" i="1"/>
  <c r="EV20" i="1"/>
  <c r="ET20" i="1"/>
  <c r="ES20" i="1"/>
  <c r="EQ20" i="1"/>
  <c r="EP20" i="1"/>
  <c r="ER20" i="1" s="1"/>
  <c r="EO20" i="1"/>
  <c r="EN20" i="1"/>
  <c r="EM20" i="1"/>
  <c r="EK20" i="1"/>
  <c r="EL20" i="1" s="1"/>
  <c r="EJ20" i="1"/>
  <c r="EI20" i="1"/>
  <c r="EG20" i="1"/>
  <c r="EH20" i="1" s="1"/>
  <c r="EF20" i="1"/>
  <c r="EE20" i="1"/>
  <c r="ED20" i="1"/>
  <c r="EC20" i="1"/>
  <c r="EC13" i="1" s="1"/>
  <c r="EC12" i="1" s="1"/>
  <c r="EB20" i="1"/>
  <c r="DZ20" i="1"/>
  <c r="DY20" i="1"/>
  <c r="EA20" i="1" s="1"/>
  <c r="DX20" i="1"/>
  <c r="DV20" i="1"/>
  <c r="DU20" i="1"/>
  <c r="DW20" i="1" s="1"/>
  <c r="DT20" i="1"/>
  <c r="DS20" i="1"/>
  <c r="DR20" i="1"/>
  <c r="DQ20" i="1"/>
  <c r="DP20" i="1"/>
  <c r="DO20" i="1"/>
  <c r="DN20" i="1"/>
  <c r="DM20" i="1"/>
  <c r="DL20" i="1"/>
  <c r="DJ20" i="1"/>
  <c r="DJ13" i="1" s="1"/>
  <c r="DJ12" i="1" s="1"/>
  <c r="DI20" i="1"/>
  <c r="DG20" i="1"/>
  <c r="DF20" i="1"/>
  <c r="DH20" i="1" s="1"/>
  <c r="DE20" i="1"/>
  <c r="DD20" i="1"/>
  <c r="DC20" i="1"/>
  <c r="DA20" i="1"/>
  <c r="DB20" i="1" s="1"/>
  <c r="CZ20" i="1"/>
  <c r="CY20" i="1"/>
  <c r="CW20" i="1"/>
  <c r="CX20" i="1" s="1"/>
  <c r="CV20" i="1"/>
  <c r="CU20" i="1"/>
  <c r="CT20" i="1"/>
  <c r="CS20" i="1"/>
  <c r="CR20" i="1"/>
  <c r="CP20" i="1"/>
  <c r="CO20" i="1"/>
  <c r="CQ20" i="1" s="1"/>
  <c r="CN20" i="1"/>
  <c r="CM20" i="1"/>
  <c r="CK20" i="1"/>
  <c r="CL20" i="1" s="1"/>
  <c r="CJ20" i="1"/>
  <c r="CI20" i="1"/>
  <c r="CH20" i="1"/>
  <c r="CG20" i="1"/>
  <c r="CF20" i="1"/>
  <c r="CE20" i="1"/>
  <c r="CD20" i="1"/>
  <c r="CC20" i="1"/>
  <c r="CB20" i="1"/>
  <c r="CA20" i="1"/>
  <c r="BY20" i="1"/>
  <c r="BZ20" i="1" s="1"/>
  <c r="BX20" i="1"/>
  <c r="BV20" i="1"/>
  <c r="BU20" i="1"/>
  <c r="BW20" i="1" s="1"/>
  <c r="BT20" i="1"/>
  <c r="BR20" i="1"/>
  <c r="BQ20" i="1"/>
  <c r="BP20" i="1"/>
  <c r="BO20" i="1"/>
  <c r="BN20" i="1"/>
  <c r="BM20" i="1"/>
  <c r="BK20" i="1"/>
  <c r="BJ20" i="1"/>
  <c r="BL20" i="1" s="1"/>
  <c r="BI20" i="1"/>
  <c r="BH20" i="1"/>
  <c r="BG20" i="1"/>
  <c r="BF20" i="1"/>
  <c r="BE20" i="1"/>
  <c r="BC20" i="1"/>
  <c r="BB20" i="1"/>
  <c r="BD20" i="1" s="1"/>
  <c r="BA20" i="1"/>
  <c r="AZ20" i="1"/>
  <c r="AY20" i="1"/>
  <c r="AX20" i="1"/>
  <c r="AW20" i="1"/>
  <c r="AV20" i="1"/>
  <c r="AT20" i="1"/>
  <c r="AS20" i="1"/>
  <c r="AU20" i="1" s="1"/>
  <c r="AR20" i="1"/>
  <c r="AQ20" i="1"/>
  <c r="AO20" i="1"/>
  <c r="AP20" i="1" s="1"/>
  <c r="AN20" i="1"/>
  <c r="AM20" i="1"/>
  <c r="AK20" i="1"/>
  <c r="AL20" i="1" s="1"/>
  <c r="AJ20" i="1"/>
  <c r="AI20" i="1"/>
  <c r="AG20" i="1"/>
  <c r="AH20" i="1" s="1"/>
  <c r="AF20" i="1"/>
  <c r="AE20" i="1"/>
  <c r="AC20" i="1"/>
  <c r="AD20" i="1" s="1"/>
  <c r="AB20" i="1"/>
  <c r="Z20" i="1"/>
  <c r="Z13" i="1" s="1"/>
  <c r="Z12" i="1" s="1"/>
  <c r="Y20" i="1"/>
  <c r="W20" i="1"/>
  <c r="V20" i="1"/>
  <c r="X20" i="1" s="1"/>
  <c r="U20" i="1"/>
  <c r="U13" i="1" s="1"/>
  <c r="U12" i="1" s="1"/>
  <c r="S20" i="1"/>
  <c r="R20" i="1"/>
  <c r="Q20" i="1"/>
  <c r="T20" i="1" s="1"/>
  <c r="P20" i="1"/>
  <c r="N20" i="1"/>
  <c r="M20" i="1"/>
  <c r="O20" i="1" s="1"/>
  <c r="K20" i="1"/>
  <c r="J20" i="1"/>
  <c r="I20" i="1"/>
  <c r="G20" i="1"/>
  <c r="F20" i="1"/>
  <c r="E20" i="1"/>
  <c r="H20" i="1" s="1"/>
  <c r="UC19" i="1"/>
  <c r="UB19" i="1"/>
  <c r="UA19" i="1"/>
  <c r="TZ19" i="1"/>
  <c r="TY19" i="1"/>
  <c r="TX19" i="1"/>
  <c r="TW19" i="1"/>
  <c r="TV19" i="1"/>
  <c r="TU19" i="1"/>
  <c r="TT19" i="1"/>
  <c r="TS19" i="1"/>
  <c r="TR19" i="1"/>
  <c r="TQ19" i="1"/>
  <c r="TP19" i="1"/>
  <c r="TO19" i="1"/>
  <c r="TN19" i="1"/>
  <c r="TM19" i="1"/>
  <c r="TL19" i="1"/>
  <c r="TK19" i="1"/>
  <c r="TJ19" i="1"/>
  <c r="TI19" i="1"/>
  <c r="TH19" i="1"/>
  <c r="TG19" i="1"/>
  <c r="TF19" i="1"/>
  <c r="TE19" i="1"/>
  <c r="TD19" i="1"/>
  <c r="TC19" i="1"/>
  <c r="TB19" i="1"/>
  <c r="SZ19" i="1"/>
  <c r="SY19" i="1"/>
  <c r="TA19" i="1" s="1"/>
  <c r="SX19" i="1"/>
  <c r="SW19" i="1"/>
  <c r="SV19" i="1"/>
  <c r="ST19" i="1"/>
  <c r="SU19" i="1" s="1"/>
  <c r="SS19" i="1"/>
  <c r="SQ19" i="1"/>
  <c r="SP19" i="1"/>
  <c r="SR19" i="1" s="1"/>
  <c r="SO19" i="1"/>
  <c r="SM19" i="1"/>
  <c r="SL19" i="1"/>
  <c r="SK19" i="1"/>
  <c r="SJ19" i="1"/>
  <c r="SI19" i="1"/>
  <c r="SH19" i="1"/>
  <c r="SF19" i="1"/>
  <c r="SE19" i="1"/>
  <c r="SG19" i="1" s="1"/>
  <c r="SD19" i="1"/>
  <c r="SB19" i="1"/>
  <c r="SA19" i="1"/>
  <c r="RZ19" i="1"/>
  <c r="SC19" i="1" s="1"/>
  <c r="RY19" i="1"/>
  <c r="RX19" i="1"/>
  <c r="RW19" i="1"/>
  <c r="RV19" i="1"/>
  <c r="RT19" i="1"/>
  <c r="RS19" i="1"/>
  <c r="RR19" i="1"/>
  <c r="RQ19" i="1"/>
  <c r="RP19" i="1"/>
  <c r="RO19" i="1"/>
  <c r="RM19" i="1"/>
  <c r="RL19" i="1"/>
  <c r="RK19" i="1"/>
  <c r="RJ19" i="1"/>
  <c r="RN19" i="1" s="1"/>
  <c r="RI19" i="1"/>
  <c r="RH19" i="1"/>
  <c r="RF19" i="1"/>
  <c r="RE19" i="1"/>
  <c r="RD19" i="1"/>
  <c r="RC19" i="1"/>
  <c r="RB19" i="1"/>
  <c r="RG19" i="1" s="1"/>
  <c r="RA19" i="1"/>
  <c r="QY19" i="1"/>
  <c r="QX19" i="1"/>
  <c r="QW19" i="1"/>
  <c r="QV19" i="1"/>
  <c r="QU19" i="1"/>
  <c r="QT19" i="1"/>
  <c r="QR19" i="1"/>
  <c r="QQ19" i="1"/>
  <c r="QP19" i="1"/>
  <c r="QO19" i="1"/>
  <c r="QN19" i="1"/>
  <c r="QM19" i="1"/>
  <c r="QK19" i="1"/>
  <c r="QJ19" i="1"/>
  <c r="QI19" i="1"/>
  <c r="QH19" i="1"/>
  <c r="QL19" i="1" s="1"/>
  <c r="QG19" i="1"/>
  <c r="QF19" i="1"/>
  <c r="QE19" i="1"/>
  <c r="QD19" i="1"/>
  <c r="QC19" i="1"/>
  <c r="QB19" i="1"/>
  <c r="QA19" i="1"/>
  <c r="PZ19" i="1"/>
  <c r="PY19" i="1"/>
  <c r="PX19" i="1"/>
  <c r="PW19" i="1"/>
  <c r="PV19" i="1"/>
  <c r="PU19" i="1"/>
  <c r="PT19" i="1"/>
  <c r="PS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PF19" i="1"/>
  <c r="PE19" i="1"/>
  <c r="PD19" i="1"/>
  <c r="PC19" i="1"/>
  <c r="PB19" i="1"/>
  <c r="PA19" i="1"/>
  <c r="OZ19" i="1"/>
  <c r="OY19" i="1"/>
  <c r="OW19" i="1"/>
  <c r="OV19" i="1"/>
  <c r="OU19" i="1"/>
  <c r="OT19" i="1"/>
  <c r="OX19" i="1" s="1"/>
  <c r="OS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R19" i="1" s="1"/>
  <c r="OB19" i="1"/>
  <c r="OA19" i="1"/>
  <c r="NZ19" i="1"/>
  <c r="OC19" i="1" s="1"/>
  <c r="NX19" i="1"/>
  <c r="NW19" i="1"/>
  <c r="NV19" i="1"/>
  <c r="NT19" i="1"/>
  <c r="NS19" i="1"/>
  <c r="NR19" i="1"/>
  <c r="NU19" i="1" s="1"/>
  <c r="NP19" i="1"/>
  <c r="NO19" i="1"/>
  <c r="NN19" i="1"/>
  <c r="NQ19" i="1" s="1"/>
  <c r="NL19" i="1"/>
  <c r="NK19" i="1"/>
  <c r="NJ19" i="1"/>
  <c r="NM19" i="1" s="1"/>
  <c r="NH19" i="1"/>
  <c r="NG19" i="1"/>
  <c r="NF19" i="1"/>
  <c r="ND19" i="1"/>
  <c r="NC19" i="1"/>
  <c r="NB19" i="1"/>
  <c r="NE19" i="1" s="1"/>
  <c r="MZ19" i="1"/>
  <c r="MY19" i="1"/>
  <c r="MX19" i="1"/>
  <c r="NA19" i="1" s="1"/>
  <c r="MV19" i="1"/>
  <c r="MU19" i="1"/>
  <c r="MT19" i="1"/>
  <c r="MS19" i="1"/>
  <c r="MR19" i="1"/>
  <c r="MW19" i="1" s="1"/>
  <c r="MQ19" i="1"/>
  <c r="MP19" i="1"/>
  <c r="MO19" i="1"/>
  <c r="MN19" i="1"/>
  <c r="MM19" i="1"/>
  <c r="ML19" i="1"/>
  <c r="MK19" i="1"/>
  <c r="MI19" i="1"/>
  <c r="MJ19" i="1" s="1"/>
  <c r="MH19" i="1"/>
  <c r="MG19" i="1"/>
  <c r="ME19" i="1"/>
  <c r="MF19" i="1" s="1"/>
  <c r="MD19" i="1"/>
  <c r="MC19" i="1"/>
  <c r="MA19" i="1"/>
  <c r="LZ19" i="1"/>
  <c r="MB19" i="1" s="1"/>
  <c r="LY19" i="1"/>
  <c r="LW19" i="1"/>
  <c r="LV19" i="1"/>
  <c r="LX19" i="1" s="1"/>
  <c r="LU19" i="1"/>
  <c r="LS19" i="1"/>
  <c r="LR19" i="1"/>
  <c r="LQ19" i="1"/>
  <c r="LO19" i="1"/>
  <c r="LN19" i="1"/>
  <c r="LP19" i="1" s="1"/>
  <c r="LM19" i="1"/>
  <c r="LK19" i="1"/>
  <c r="LJ19" i="1"/>
  <c r="LL19" i="1" s="1"/>
  <c r="LI19" i="1"/>
  <c r="LG19" i="1"/>
  <c r="LF19" i="1"/>
  <c r="LH19" i="1" s="1"/>
  <c r="LE19" i="1"/>
  <c r="LC19" i="1"/>
  <c r="LB19" i="1"/>
  <c r="LA19" i="1"/>
  <c r="KY19" i="1"/>
  <c r="KX19" i="1"/>
  <c r="KZ19" i="1" s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N19" i="1"/>
  <c r="IM19" i="1"/>
  <c r="IL19" i="1"/>
  <c r="IO19" i="1" s="1"/>
  <c r="IK19" i="1"/>
  <c r="II19" i="1"/>
  <c r="IH19" i="1"/>
  <c r="IJ19" i="1" s="1"/>
  <c r="IG19" i="1"/>
  <c r="IF19" i="1"/>
  <c r="ID19" i="1"/>
  <c r="IE19" i="1" s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P19" i="1"/>
  <c r="HO19" i="1"/>
  <c r="HN19" i="1"/>
  <c r="HM19" i="1"/>
  <c r="HK19" i="1"/>
  <c r="HJ19" i="1"/>
  <c r="HL19" i="1" s="1"/>
  <c r="HI19" i="1"/>
  <c r="HH19" i="1"/>
  <c r="HF19" i="1"/>
  <c r="HG19" i="1" s="1"/>
  <c r="HE19" i="1"/>
  <c r="HD19" i="1"/>
  <c r="HC19" i="1"/>
  <c r="HB19" i="1"/>
  <c r="HA19" i="1"/>
  <c r="GZ19" i="1"/>
  <c r="GY19" i="1"/>
  <c r="GX19" i="1"/>
  <c r="GV19" i="1"/>
  <c r="GU19" i="1"/>
  <c r="GT19" i="1"/>
  <c r="GW19" i="1" s="1"/>
  <c r="GS19" i="1"/>
  <c r="GQ19" i="1"/>
  <c r="GP19" i="1"/>
  <c r="GR19" i="1" s="1"/>
  <c r="GO19" i="1"/>
  <c r="GM19" i="1"/>
  <c r="GL19" i="1"/>
  <c r="GK19" i="1"/>
  <c r="GJ19" i="1"/>
  <c r="GI19" i="1"/>
  <c r="GH19" i="1"/>
  <c r="GG19" i="1"/>
  <c r="GF19" i="1"/>
  <c r="GE19" i="1"/>
  <c r="GD19" i="1"/>
  <c r="GC19" i="1"/>
  <c r="GA19" i="1"/>
  <c r="FZ19" i="1"/>
  <c r="GB19" i="1" s="1"/>
  <c r="FX19" i="1"/>
  <c r="FW19" i="1"/>
  <c r="FY19" i="1" s="1"/>
  <c r="FV19" i="1"/>
  <c r="FU19" i="1"/>
  <c r="FT19" i="1"/>
  <c r="FS19" i="1"/>
  <c r="FR19" i="1"/>
  <c r="FQ19" i="1"/>
  <c r="FP19" i="1"/>
  <c r="FO19" i="1"/>
  <c r="FN19" i="1"/>
  <c r="FM19" i="1"/>
  <c r="FL19" i="1"/>
  <c r="FJ19" i="1"/>
  <c r="FK19" i="1" s="1"/>
  <c r="FI19" i="1"/>
  <c r="FH19" i="1"/>
  <c r="FF19" i="1"/>
  <c r="FG19" i="1" s="1"/>
  <c r="FE19" i="1"/>
  <c r="FD19" i="1"/>
  <c r="FC19" i="1"/>
  <c r="FB19" i="1"/>
  <c r="FA19" i="1"/>
  <c r="EZ19" i="1"/>
  <c r="EY19" i="1"/>
  <c r="EX19" i="1"/>
  <c r="EW19" i="1"/>
  <c r="EV19" i="1"/>
  <c r="ET19" i="1"/>
  <c r="EU19" i="1" s="1"/>
  <c r="ES19" i="1"/>
  <c r="EQ19" i="1"/>
  <c r="EP19" i="1"/>
  <c r="ER19" i="1" s="1"/>
  <c r="EN19" i="1"/>
  <c r="EM19" i="1"/>
  <c r="EO19" i="1" s="1"/>
  <c r="EL19" i="1"/>
  <c r="EK19" i="1"/>
  <c r="EJ19" i="1"/>
  <c r="EI19" i="1"/>
  <c r="EG19" i="1"/>
  <c r="EF19" i="1"/>
  <c r="EE19" i="1"/>
  <c r="EH19" i="1" s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G19" i="1"/>
  <c r="DF19" i="1"/>
  <c r="DH19" i="1" s="1"/>
  <c r="DD19" i="1"/>
  <c r="DC19" i="1"/>
  <c r="DE19" i="1" s="1"/>
  <c r="DB19" i="1"/>
  <c r="DA19" i="1"/>
  <c r="CZ19" i="1"/>
  <c r="CY19" i="1"/>
  <c r="CX19" i="1"/>
  <c r="CW19" i="1"/>
  <c r="CV19" i="1"/>
  <c r="CU19" i="1"/>
  <c r="CT19" i="1"/>
  <c r="CS19" i="1"/>
  <c r="CR19" i="1"/>
  <c r="CP19" i="1"/>
  <c r="CQ19" i="1" s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B19" i="1"/>
  <c r="CA19" i="1"/>
  <c r="CC19" i="1" s="1"/>
  <c r="BZ19" i="1"/>
  <c r="BY19" i="1"/>
  <c r="BX19" i="1"/>
  <c r="BV19" i="1"/>
  <c r="BW19" i="1" s="1"/>
  <c r="BU19" i="1"/>
  <c r="BT19" i="1"/>
  <c r="BR19" i="1"/>
  <c r="BS19" i="1" s="1"/>
  <c r="BQ19" i="1"/>
  <c r="BP19" i="1"/>
  <c r="BO19" i="1"/>
  <c r="BN19" i="1"/>
  <c r="BM19" i="1"/>
  <c r="BK19" i="1"/>
  <c r="BJ19" i="1"/>
  <c r="BI19" i="1"/>
  <c r="BH19" i="1"/>
  <c r="BG19" i="1"/>
  <c r="BF19" i="1"/>
  <c r="BE19" i="1"/>
  <c r="BC19" i="1"/>
  <c r="BB19" i="1"/>
  <c r="BD19" i="1" s="1"/>
  <c r="BA19" i="1"/>
  <c r="AZ19" i="1"/>
  <c r="AY19" i="1"/>
  <c r="AX19" i="1"/>
  <c r="AW19" i="1"/>
  <c r="AV19" i="1"/>
  <c r="AT19" i="1"/>
  <c r="AU19" i="1" s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Z19" i="1"/>
  <c r="AA19" i="1" s="1"/>
  <c r="Y19" i="1"/>
  <c r="W19" i="1"/>
  <c r="V19" i="1"/>
  <c r="X19" i="1" s="1"/>
  <c r="U19" i="1"/>
  <c r="S19" i="1"/>
  <c r="R19" i="1"/>
  <c r="T19" i="1" s="1"/>
  <c r="Q19" i="1"/>
  <c r="P19" i="1"/>
  <c r="N19" i="1"/>
  <c r="O19" i="1" s="1"/>
  <c r="M19" i="1"/>
  <c r="K19" i="1"/>
  <c r="J19" i="1"/>
  <c r="I19" i="1"/>
  <c r="G19" i="1"/>
  <c r="F19" i="1"/>
  <c r="H19" i="1" s="1"/>
  <c r="E19" i="1"/>
  <c r="UC18" i="1"/>
  <c r="UB18" i="1"/>
  <c r="UA18" i="1"/>
  <c r="TZ18" i="1"/>
  <c r="TY18" i="1"/>
  <c r="TX18" i="1"/>
  <c r="TW18" i="1"/>
  <c r="TV18" i="1"/>
  <c r="TU18" i="1"/>
  <c r="TT18" i="1"/>
  <c r="TS18" i="1"/>
  <c r="TR18" i="1"/>
  <c r="TQ18" i="1"/>
  <c r="TP18" i="1"/>
  <c r="TO18" i="1"/>
  <c r="TN18" i="1"/>
  <c r="TM18" i="1"/>
  <c r="TL18" i="1"/>
  <c r="TK18" i="1"/>
  <c r="TJ18" i="1"/>
  <c r="TI18" i="1"/>
  <c r="TH18" i="1"/>
  <c r="TG18" i="1"/>
  <c r="TF18" i="1"/>
  <c r="TE18" i="1"/>
  <c r="TD18" i="1"/>
  <c r="TC18" i="1"/>
  <c r="TB18" i="1"/>
  <c r="SZ18" i="1"/>
  <c r="SY18" i="1"/>
  <c r="TA18" i="1" s="1"/>
  <c r="SW18" i="1"/>
  <c r="SV18" i="1"/>
  <c r="ST18" i="1"/>
  <c r="SS18" i="1"/>
  <c r="SU18" i="1" s="1"/>
  <c r="SQ18" i="1"/>
  <c r="SR18" i="1" s="1"/>
  <c r="SP18" i="1"/>
  <c r="SO18" i="1"/>
  <c r="SM18" i="1"/>
  <c r="SN18" i="1" s="1"/>
  <c r="SL18" i="1"/>
  <c r="SK18" i="1"/>
  <c r="SJ18" i="1"/>
  <c r="SI18" i="1"/>
  <c r="SH18" i="1"/>
  <c r="SF18" i="1"/>
  <c r="SE18" i="1"/>
  <c r="SD18" i="1"/>
  <c r="SB18" i="1"/>
  <c r="SA18" i="1"/>
  <c r="RZ18" i="1"/>
  <c r="RY18" i="1"/>
  <c r="RX18" i="1"/>
  <c r="RW18" i="1"/>
  <c r="RV18" i="1"/>
  <c r="RT18" i="1"/>
  <c r="RS18" i="1"/>
  <c r="RR18" i="1"/>
  <c r="RQ18" i="1"/>
  <c r="RP18" i="1"/>
  <c r="RO18" i="1"/>
  <c r="RM18" i="1"/>
  <c r="RL18" i="1"/>
  <c r="RK18" i="1"/>
  <c r="RJ18" i="1"/>
  <c r="RI18" i="1"/>
  <c r="RH18" i="1"/>
  <c r="RF18" i="1"/>
  <c r="RE18" i="1"/>
  <c r="RD18" i="1"/>
  <c r="RC18" i="1"/>
  <c r="RB18" i="1"/>
  <c r="RA18" i="1"/>
  <c r="QY18" i="1"/>
  <c r="QX18" i="1"/>
  <c r="QW18" i="1"/>
  <c r="QV18" i="1"/>
  <c r="QU18" i="1"/>
  <c r="QT18" i="1"/>
  <c r="QR18" i="1"/>
  <c r="QQ18" i="1"/>
  <c r="QP18" i="1"/>
  <c r="QO18" i="1"/>
  <c r="QN18" i="1"/>
  <c r="QM18" i="1"/>
  <c r="QK18" i="1"/>
  <c r="QJ18" i="1"/>
  <c r="QI18" i="1"/>
  <c r="QH18" i="1"/>
  <c r="QG18" i="1"/>
  <c r="QF18" i="1"/>
  <c r="QE18" i="1"/>
  <c r="QC18" i="1"/>
  <c r="QB18" i="1"/>
  <c r="QA18" i="1"/>
  <c r="PY18" i="1"/>
  <c r="PX18" i="1"/>
  <c r="PW18" i="1"/>
  <c r="PU18" i="1"/>
  <c r="PT18" i="1"/>
  <c r="PS18" i="1"/>
  <c r="PQ18" i="1"/>
  <c r="PP18" i="1"/>
  <c r="PO18" i="1"/>
  <c r="PM18" i="1"/>
  <c r="PL18" i="1"/>
  <c r="PK18" i="1"/>
  <c r="PI18" i="1"/>
  <c r="PH18" i="1"/>
  <c r="PG18" i="1"/>
  <c r="PE18" i="1"/>
  <c r="PD18" i="1"/>
  <c r="PC18" i="1"/>
  <c r="PA18" i="1"/>
  <c r="OZ18" i="1"/>
  <c r="OY18" i="1"/>
  <c r="OW18" i="1"/>
  <c r="OV18" i="1"/>
  <c r="OU18" i="1"/>
  <c r="OT18" i="1"/>
  <c r="OS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B18" i="1"/>
  <c r="OA18" i="1"/>
  <c r="NZ18" i="1"/>
  <c r="NX18" i="1"/>
  <c r="NW18" i="1"/>
  <c r="NV18" i="1"/>
  <c r="NT18" i="1"/>
  <c r="NS18" i="1"/>
  <c r="NR18" i="1"/>
  <c r="NP18" i="1"/>
  <c r="NO18" i="1"/>
  <c r="NQ18" i="1" s="1"/>
  <c r="NN18" i="1"/>
  <c r="NL18" i="1"/>
  <c r="NK18" i="1"/>
  <c r="NJ18" i="1"/>
  <c r="NH18" i="1"/>
  <c r="NG18" i="1"/>
  <c r="NF18" i="1"/>
  <c r="ND18" i="1"/>
  <c r="NC18" i="1"/>
  <c r="NB18" i="1"/>
  <c r="MZ18" i="1"/>
  <c r="MY18" i="1"/>
  <c r="NA18" i="1" s="1"/>
  <c r="MX18" i="1"/>
  <c r="MV18" i="1"/>
  <c r="MU18" i="1"/>
  <c r="MT18" i="1"/>
  <c r="MS18" i="1"/>
  <c r="MR18" i="1"/>
  <c r="MQ18" i="1"/>
  <c r="MP18" i="1"/>
  <c r="MO18" i="1"/>
  <c r="MN18" i="1"/>
  <c r="MM18" i="1"/>
  <c r="MK18" i="1"/>
  <c r="ML18" i="1" s="1"/>
  <c r="MI18" i="1"/>
  <c r="MJ18" i="1" s="1"/>
  <c r="MG18" i="1"/>
  <c r="MH18" i="1" s="1"/>
  <c r="ME18" i="1"/>
  <c r="MF18" i="1" s="1"/>
  <c r="MC18" i="1"/>
  <c r="MD18" i="1" s="1"/>
  <c r="MA18" i="1"/>
  <c r="LZ18" i="1"/>
  <c r="LY18" i="1"/>
  <c r="LW18" i="1"/>
  <c r="LV18" i="1"/>
  <c r="LU18" i="1"/>
  <c r="LS18" i="1"/>
  <c r="LR18" i="1"/>
  <c r="LQ18" i="1"/>
  <c r="LO18" i="1"/>
  <c r="LN18" i="1"/>
  <c r="LM18" i="1"/>
  <c r="LK18" i="1"/>
  <c r="LJ18" i="1"/>
  <c r="LI18" i="1"/>
  <c r="LG18" i="1"/>
  <c r="LF18" i="1"/>
  <c r="LE18" i="1"/>
  <c r="LC18" i="1"/>
  <c r="LB18" i="1"/>
  <c r="LA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E18" i="1"/>
  <c r="JD18" i="1"/>
  <c r="JC18" i="1"/>
  <c r="JF18" i="1" s="1"/>
  <c r="JA18" i="1"/>
  <c r="IZ18" i="1"/>
  <c r="IY18" i="1"/>
  <c r="IW18" i="1"/>
  <c r="IV18" i="1"/>
  <c r="IU18" i="1"/>
  <c r="IS18" i="1"/>
  <c r="IR18" i="1"/>
  <c r="IQ18" i="1"/>
  <c r="IP18" i="1"/>
  <c r="IN18" i="1"/>
  <c r="IM18" i="1"/>
  <c r="IL18" i="1"/>
  <c r="IK18" i="1"/>
  <c r="II18" i="1"/>
  <c r="IH18" i="1"/>
  <c r="IG18" i="1"/>
  <c r="IF18" i="1"/>
  <c r="ID18" i="1"/>
  <c r="IC18" i="1"/>
  <c r="IB18" i="1"/>
  <c r="IA18" i="1"/>
  <c r="HY18" i="1"/>
  <c r="HX18" i="1"/>
  <c r="HW18" i="1"/>
  <c r="HU18" i="1"/>
  <c r="HT18" i="1"/>
  <c r="HS18" i="1"/>
  <c r="HR18" i="1"/>
  <c r="HP18" i="1"/>
  <c r="HO18" i="1"/>
  <c r="HN18" i="1"/>
  <c r="HM18" i="1"/>
  <c r="HK18" i="1"/>
  <c r="HJ18" i="1"/>
  <c r="HI18" i="1"/>
  <c r="HH18" i="1"/>
  <c r="HF18" i="1"/>
  <c r="HE18" i="1"/>
  <c r="HD18" i="1"/>
  <c r="HC18" i="1"/>
  <c r="HA18" i="1"/>
  <c r="GZ18" i="1"/>
  <c r="GY18" i="1"/>
  <c r="GX18" i="1"/>
  <c r="GV18" i="1"/>
  <c r="GU18" i="1"/>
  <c r="GT18" i="1"/>
  <c r="GS18" i="1"/>
  <c r="GQ18" i="1"/>
  <c r="GP18" i="1"/>
  <c r="GO18" i="1"/>
  <c r="GR18" i="1" s="1"/>
  <c r="GM18" i="1"/>
  <c r="GL18" i="1"/>
  <c r="GK18" i="1"/>
  <c r="GN18" i="1" s="1"/>
  <c r="GJ18" i="1"/>
  <c r="GI18" i="1"/>
  <c r="GH18" i="1"/>
  <c r="GG18" i="1"/>
  <c r="GF18" i="1"/>
  <c r="GD18" i="1"/>
  <c r="GC18" i="1"/>
  <c r="GB18" i="1"/>
  <c r="GA18" i="1"/>
  <c r="FZ18" i="1"/>
  <c r="FX18" i="1"/>
  <c r="FW18" i="1"/>
  <c r="FY18" i="1" s="1"/>
  <c r="FU18" i="1"/>
  <c r="FT18" i="1"/>
  <c r="FV18" i="1" s="1"/>
  <c r="FS18" i="1"/>
  <c r="FQ18" i="1"/>
  <c r="FP18" i="1"/>
  <c r="FO18" i="1"/>
  <c r="FN18" i="1"/>
  <c r="FM18" i="1"/>
  <c r="FL18" i="1"/>
  <c r="FJ18" i="1"/>
  <c r="FI18" i="1"/>
  <c r="FH18" i="1"/>
  <c r="FF18" i="1"/>
  <c r="FE18" i="1"/>
  <c r="FG18" i="1" s="1"/>
  <c r="FD18" i="1"/>
  <c r="FC18" i="1"/>
  <c r="FB18" i="1"/>
  <c r="FA18" i="1"/>
  <c r="EZ18" i="1"/>
  <c r="EY18" i="1"/>
  <c r="EX18" i="1"/>
  <c r="EW18" i="1"/>
  <c r="EV18" i="1"/>
  <c r="ET18" i="1"/>
  <c r="ES18" i="1"/>
  <c r="EQ18" i="1"/>
  <c r="EP18" i="1"/>
  <c r="EN18" i="1"/>
  <c r="EM18" i="1"/>
  <c r="EK18" i="1"/>
  <c r="EJ18" i="1"/>
  <c r="EI18" i="1"/>
  <c r="EG18" i="1"/>
  <c r="EF18" i="1"/>
  <c r="EE18" i="1"/>
  <c r="ED18" i="1"/>
  <c r="EC18" i="1"/>
  <c r="EB18" i="1"/>
  <c r="DZ18" i="1"/>
  <c r="DY18" i="1"/>
  <c r="EA18" i="1" s="1"/>
  <c r="DX18" i="1"/>
  <c r="DV18" i="1"/>
  <c r="DU18" i="1"/>
  <c r="DT18" i="1"/>
  <c r="DS18" i="1"/>
  <c r="DR18" i="1"/>
  <c r="DQ18" i="1"/>
  <c r="DP18" i="1"/>
  <c r="DO18" i="1"/>
  <c r="DN18" i="1"/>
  <c r="DM18" i="1"/>
  <c r="DL18" i="1"/>
  <c r="DJ18" i="1"/>
  <c r="DI18" i="1"/>
  <c r="DK18" i="1" s="1"/>
  <c r="DG18" i="1"/>
  <c r="DF18" i="1"/>
  <c r="DD18" i="1"/>
  <c r="DC18" i="1"/>
  <c r="DE18" i="1" s="1"/>
  <c r="DA18" i="1"/>
  <c r="CZ18" i="1"/>
  <c r="DB18" i="1" s="1"/>
  <c r="CY18" i="1"/>
  <c r="CW18" i="1"/>
  <c r="CV18" i="1"/>
  <c r="CU18" i="1"/>
  <c r="CT18" i="1"/>
  <c r="CS18" i="1"/>
  <c r="CR18" i="1"/>
  <c r="CP18" i="1"/>
  <c r="CO18" i="1"/>
  <c r="CN18" i="1"/>
  <c r="CM18" i="1"/>
  <c r="CK18" i="1"/>
  <c r="CJ18" i="1"/>
  <c r="CI18" i="1"/>
  <c r="CH18" i="1"/>
  <c r="CG18" i="1"/>
  <c r="CF18" i="1"/>
  <c r="CE18" i="1"/>
  <c r="CD18" i="1"/>
  <c r="CB18" i="1"/>
  <c r="CA18" i="1"/>
  <c r="BY18" i="1"/>
  <c r="BX18" i="1"/>
  <c r="BZ18" i="1" s="1"/>
  <c r="BV18" i="1"/>
  <c r="BU18" i="1"/>
  <c r="BT18" i="1"/>
  <c r="BR18" i="1"/>
  <c r="BQ18" i="1"/>
  <c r="BP18" i="1"/>
  <c r="BO18" i="1"/>
  <c r="BN18" i="1"/>
  <c r="BM18" i="1"/>
  <c r="BK18" i="1"/>
  <c r="BL18" i="1" s="1"/>
  <c r="BJ18" i="1"/>
  <c r="BI18" i="1"/>
  <c r="BH18" i="1"/>
  <c r="BG18" i="1"/>
  <c r="BF18" i="1"/>
  <c r="BE18" i="1"/>
  <c r="BC18" i="1"/>
  <c r="BD18" i="1" s="1"/>
  <c r="BB18" i="1"/>
  <c r="BA18" i="1"/>
  <c r="AZ18" i="1"/>
  <c r="AY18" i="1"/>
  <c r="AX18" i="1"/>
  <c r="AW18" i="1"/>
  <c r="AV18" i="1"/>
  <c r="AT18" i="1"/>
  <c r="AS18" i="1"/>
  <c r="AR18" i="1"/>
  <c r="AQ18" i="1"/>
  <c r="AO18" i="1"/>
  <c r="AN18" i="1"/>
  <c r="AM18" i="1"/>
  <c r="AK18" i="1"/>
  <c r="AJ18" i="1"/>
  <c r="AL18" i="1" s="1"/>
  <c r="AI18" i="1"/>
  <c r="AG18" i="1"/>
  <c r="AF18" i="1"/>
  <c r="AE18" i="1"/>
  <c r="AC18" i="1"/>
  <c r="AB18" i="1"/>
  <c r="AD18" i="1" s="1"/>
  <c r="Z18" i="1"/>
  <c r="Y18" i="1"/>
  <c r="W18" i="1"/>
  <c r="V18" i="1"/>
  <c r="X18" i="1" s="1"/>
  <c r="U18" i="1"/>
  <c r="S18" i="1"/>
  <c r="R18" i="1"/>
  <c r="Q18" i="1"/>
  <c r="T18" i="1" s="1"/>
  <c r="P18" i="1"/>
  <c r="N18" i="1"/>
  <c r="O18" i="1" s="1"/>
  <c r="M18" i="1"/>
  <c r="L18" i="1"/>
  <c r="K18" i="1"/>
  <c r="J18" i="1"/>
  <c r="I18" i="1"/>
  <c r="H18" i="1"/>
  <c r="G18" i="1"/>
  <c r="F18" i="1"/>
  <c r="E18" i="1"/>
  <c r="UC17" i="1"/>
  <c r="UB17" i="1"/>
  <c r="UA17" i="1"/>
  <c r="TZ17" i="1"/>
  <c r="TY17" i="1"/>
  <c r="TX17" i="1"/>
  <c r="TW17" i="1"/>
  <c r="TV17" i="1"/>
  <c r="TU17" i="1"/>
  <c r="TT17" i="1"/>
  <c r="TS17" i="1"/>
  <c r="TR17" i="1"/>
  <c r="TQ17" i="1"/>
  <c r="TP17" i="1"/>
  <c r="TO17" i="1"/>
  <c r="TN17" i="1"/>
  <c r="TM17" i="1"/>
  <c r="TL17" i="1"/>
  <c r="TK17" i="1"/>
  <c r="TJ17" i="1"/>
  <c r="TI17" i="1"/>
  <c r="TH17" i="1"/>
  <c r="TG17" i="1"/>
  <c r="TF17" i="1"/>
  <c r="TE17" i="1"/>
  <c r="TD17" i="1"/>
  <c r="TC17" i="1"/>
  <c r="TB17" i="1"/>
  <c r="SZ17" i="1"/>
  <c r="SY17" i="1"/>
  <c r="SW17" i="1"/>
  <c r="SV17" i="1"/>
  <c r="ST17" i="1"/>
  <c r="SS17" i="1"/>
  <c r="SQ17" i="1"/>
  <c r="SP17" i="1"/>
  <c r="SO17" i="1"/>
  <c r="SM17" i="1"/>
  <c r="SL17" i="1"/>
  <c r="SK17" i="1"/>
  <c r="SJ17" i="1"/>
  <c r="SI17" i="1"/>
  <c r="SH17" i="1"/>
  <c r="SF17" i="1"/>
  <c r="SE17" i="1"/>
  <c r="SD17" i="1"/>
  <c r="SB17" i="1"/>
  <c r="SA17" i="1"/>
  <c r="RZ17" i="1"/>
  <c r="RY17" i="1"/>
  <c r="RX17" i="1"/>
  <c r="RW17" i="1"/>
  <c r="RV17" i="1"/>
  <c r="RT17" i="1"/>
  <c r="RS17" i="1"/>
  <c r="RR17" i="1"/>
  <c r="RQ17" i="1"/>
  <c r="RP17" i="1"/>
  <c r="RO17" i="1"/>
  <c r="RM17" i="1"/>
  <c r="RL17" i="1"/>
  <c r="RK17" i="1"/>
  <c r="RJ17" i="1"/>
  <c r="RI17" i="1"/>
  <c r="RH17" i="1"/>
  <c r="RF17" i="1"/>
  <c r="RE17" i="1"/>
  <c r="RD17" i="1"/>
  <c r="RC17" i="1"/>
  <c r="RB17" i="1"/>
  <c r="RA17" i="1"/>
  <c r="QY17" i="1"/>
  <c r="QX17" i="1"/>
  <c r="QW17" i="1"/>
  <c r="QV17" i="1"/>
  <c r="QU17" i="1"/>
  <c r="QT17" i="1"/>
  <c r="QR17" i="1"/>
  <c r="QQ17" i="1"/>
  <c r="QP17" i="1"/>
  <c r="QO17" i="1"/>
  <c r="QN17" i="1"/>
  <c r="QM17" i="1"/>
  <c r="QK17" i="1"/>
  <c r="QJ17" i="1"/>
  <c r="QI17" i="1"/>
  <c r="QH17" i="1"/>
  <c r="QG17" i="1"/>
  <c r="QF17" i="1"/>
  <c r="QE17" i="1"/>
  <c r="QC17" i="1"/>
  <c r="QB17" i="1"/>
  <c r="QA17" i="1"/>
  <c r="PY17" i="1"/>
  <c r="PX17" i="1"/>
  <c r="PW17" i="1"/>
  <c r="PU17" i="1"/>
  <c r="PT17" i="1"/>
  <c r="PS17" i="1"/>
  <c r="PQ17" i="1"/>
  <c r="PP17" i="1"/>
  <c r="PO17" i="1"/>
  <c r="PM17" i="1"/>
  <c r="PL17" i="1"/>
  <c r="PK17" i="1"/>
  <c r="PI17" i="1"/>
  <c r="PH17" i="1"/>
  <c r="PG17" i="1"/>
  <c r="PE17" i="1"/>
  <c r="PD17" i="1"/>
  <c r="PC17" i="1"/>
  <c r="PA17" i="1"/>
  <c r="OZ17" i="1"/>
  <c r="OY17" i="1"/>
  <c r="OW17" i="1"/>
  <c r="OV17" i="1"/>
  <c r="OU17" i="1"/>
  <c r="OT17" i="1"/>
  <c r="OS17" i="1"/>
  <c r="OQ17" i="1"/>
  <c r="OP17" i="1"/>
  <c r="OO17" i="1"/>
  <c r="ON17" i="1"/>
  <c r="OM17" i="1"/>
  <c r="OL17" i="1"/>
  <c r="OK17" i="1"/>
  <c r="OJ17" i="1"/>
  <c r="OI17" i="1"/>
  <c r="OH17" i="1"/>
  <c r="OG17" i="1"/>
  <c r="OF17" i="1"/>
  <c r="OE17" i="1"/>
  <c r="OD17" i="1"/>
  <c r="OB17" i="1"/>
  <c r="OA17" i="1"/>
  <c r="OC17" i="1" s="1"/>
  <c r="NZ17" i="1"/>
  <c r="NX17" i="1"/>
  <c r="NW17" i="1"/>
  <c r="NV17" i="1"/>
  <c r="NT17" i="1"/>
  <c r="NS17" i="1"/>
  <c r="NU17" i="1" s="1"/>
  <c r="NR17" i="1"/>
  <c r="NP17" i="1"/>
  <c r="NO17" i="1"/>
  <c r="NN17" i="1"/>
  <c r="NL17" i="1"/>
  <c r="NK17" i="1"/>
  <c r="NM17" i="1" s="1"/>
  <c r="NJ17" i="1"/>
  <c r="NH17" i="1"/>
  <c r="NG17" i="1"/>
  <c r="NF17" i="1"/>
  <c r="ND17" i="1"/>
  <c r="NC17" i="1"/>
  <c r="NE17" i="1" s="1"/>
  <c r="NB17" i="1"/>
  <c r="MZ17" i="1"/>
  <c r="MY17" i="1"/>
  <c r="MX17" i="1"/>
  <c r="MV17" i="1"/>
  <c r="MU17" i="1"/>
  <c r="MT17" i="1"/>
  <c r="MS17" i="1"/>
  <c r="MR17" i="1"/>
  <c r="MQ17" i="1"/>
  <c r="MP17" i="1"/>
  <c r="MO17" i="1"/>
  <c r="MN17" i="1"/>
  <c r="MM17" i="1"/>
  <c r="MK17" i="1"/>
  <c r="ML17" i="1" s="1"/>
  <c r="MI17" i="1"/>
  <c r="MJ17" i="1" s="1"/>
  <c r="MG17" i="1"/>
  <c r="MH17" i="1" s="1"/>
  <c r="ME17" i="1"/>
  <c r="MF17" i="1" s="1"/>
  <c r="MC17" i="1"/>
  <c r="MD17" i="1" s="1"/>
  <c r="MA17" i="1"/>
  <c r="LZ17" i="1"/>
  <c r="LY17" i="1"/>
  <c r="LW17" i="1"/>
  <c r="LV17" i="1"/>
  <c r="LU17" i="1"/>
  <c r="LS17" i="1"/>
  <c r="LR17" i="1"/>
  <c r="LQ17" i="1"/>
  <c r="LO17" i="1"/>
  <c r="LN17" i="1"/>
  <c r="LM17" i="1"/>
  <c r="LK17" i="1"/>
  <c r="LJ17" i="1"/>
  <c r="LI17" i="1"/>
  <c r="LG17" i="1"/>
  <c r="LF17" i="1"/>
  <c r="LE17" i="1"/>
  <c r="LC17" i="1"/>
  <c r="LB17" i="1"/>
  <c r="LA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E17" i="1"/>
  <c r="JD17" i="1"/>
  <c r="JC17" i="1"/>
  <c r="JA17" i="1"/>
  <c r="IZ17" i="1"/>
  <c r="IY17" i="1"/>
  <c r="IW17" i="1"/>
  <c r="IV17" i="1"/>
  <c r="IU17" i="1"/>
  <c r="IS17" i="1"/>
  <c r="IR17" i="1"/>
  <c r="IQ17" i="1"/>
  <c r="IP17" i="1"/>
  <c r="IN17" i="1"/>
  <c r="IM17" i="1"/>
  <c r="IL17" i="1"/>
  <c r="IK17" i="1"/>
  <c r="II17" i="1"/>
  <c r="IH17" i="1"/>
  <c r="IG17" i="1"/>
  <c r="IF17" i="1"/>
  <c r="ID17" i="1"/>
  <c r="IC17" i="1"/>
  <c r="IB17" i="1"/>
  <c r="IA17" i="1"/>
  <c r="HY17" i="1"/>
  <c r="HX17" i="1"/>
  <c r="HW17" i="1"/>
  <c r="HU17" i="1"/>
  <c r="HT17" i="1"/>
  <c r="HS17" i="1"/>
  <c r="HR17" i="1"/>
  <c r="HP17" i="1"/>
  <c r="HO17" i="1"/>
  <c r="HN17" i="1"/>
  <c r="HM17" i="1"/>
  <c r="HK17" i="1"/>
  <c r="HJ17" i="1"/>
  <c r="HL17" i="1" s="1"/>
  <c r="HI17" i="1"/>
  <c r="HH17" i="1"/>
  <c r="HF17" i="1"/>
  <c r="HE17" i="1"/>
  <c r="HD17" i="1"/>
  <c r="HC17" i="1"/>
  <c r="HA17" i="1"/>
  <c r="GZ17" i="1"/>
  <c r="GY17" i="1"/>
  <c r="GX17" i="1"/>
  <c r="GV17" i="1"/>
  <c r="GU17" i="1"/>
  <c r="GT17" i="1"/>
  <c r="GS17" i="1"/>
  <c r="GQ17" i="1"/>
  <c r="GP17" i="1"/>
  <c r="GO17" i="1"/>
  <c r="GM17" i="1"/>
  <c r="GL17" i="1"/>
  <c r="GK17" i="1"/>
  <c r="GJ17" i="1"/>
  <c r="GI17" i="1"/>
  <c r="GH17" i="1"/>
  <c r="GG17" i="1"/>
  <c r="GF17" i="1"/>
  <c r="GD17" i="1"/>
  <c r="GC17" i="1"/>
  <c r="GA17" i="1"/>
  <c r="FZ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J17" i="1"/>
  <c r="FI17" i="1"/>
  <c r="FK17" i="1" s="1"/>
  <c r="FH17" i="1"/>
  <c r="FF17" i="1"/>
  <c r="FE17" i="1"/>
  <c r="FD17" i="1"/>
  <c r="FG17" i="1" s="1"/>
  <c r="FC17" i="1"/>
  <c r="FB17" i="1"/>
  <c r="FA17" i="1"/>
  <c r="EZ17" i="1"/>
  <c r="EY17" i="1"/>
  <c r="EX17" i="1"/>
  <c r="EW17" i="1"/>
  <c r="EV17" i="1"/>
  <c r="ET17" i="1"/>
  <c r="ES17" i="1"/>
  <c r="EQ17" i="1"/>
  <c r="EP17" i="1"/>
  <c r="ER17" i="1" s="1"/>
  <c r="EN17" i="1"/>
  <c r="EM17" i="1"/>
  <c r="EK17" i="1"/>
  <c r="EJ17" i="1"/>
  <c r="EL17" i="1" s="1"/>
  <c r="EI17" i="1"/>
  <c r="EG17" i="1"/>
  <c r="EF17" i="1"/>
  <c r="EE17" i="1"/>
  <c r="ED17" i="1"/>
  <c r="EC17" i="1"/>
  <c r="EB17" i="1"/>
  <c r="DZ17" i="1"/>
  <c r="DY17" i="1"/>
  <c r="DX17" i="1"/>
  <c r="DV17" i="1"/>
  <c r="DU17" i="1"/>
  <c r="DT17" i="1"/>
  <c r="DS17" i="1"/>
  <c r="DR17" i="1"/>
  <c r="DQ17" i="1"/>
  <c r="DP17" i="1"/>
  <c r="DO17" i="1"/>
  <c r="DN17" i="1"/>
  <c r="DM17" i="1"/>
  <c r="DL17" i="1"/>
  <c r="DJ17" i="1"/>
  <c r="DI17" i="1"/>
  <c r="DG17" i="1"/>
  <c r="DF17" i="1"/>
  <c r="DD17" i="1"/>
  <c r="DC17" i="1"/>
  <c r="DA17" i="1"/>
  <c r="CZ17" i="1"/>
  <c r="CY17" i="1"/>
  <c r="CW17" i="1"/>
  <c r="CV17" i="1"/>
  <c r="CU17" i="1"/>
  <c r="CT17" i="1"/>
  <c r="CS17" i="1"/>
  <c r="CR17" i="1"/>
  <c r="CP17" i="1"/>
  <c r="CO17" i="1"/>
  <c r="CN17" i="1"/>
  <c r="CM17" i="1"/>
  <c r="CK17" i="1"/>
  <c r="CJ17" i="1"/>
  <c r="CI17" i="1"/>
  <c r="CL17" i="1" s="1"/>
  <c r="CH17" i="1"/>
  <c r="CG17" i="1"/>
  <c r="CF17" i="1"/>
  <c r="CE17" i="1"/>
  <c r="CD17" i="1"/>
  <c r="CB17" i="1"/>
  <c r="CA17" i="1"/>
  <c r="BY17" i="1"/>
  <c r="BX17" i="1"/>
  <c r="BV17" i="1"/>
  <c r="BU17" i="1"/>
  <c r="BT17" i="1"/>
  <c r="BR17" i="1"/>
  <c r="BQ17" i="1"/>
  <c r="BP17" i="1"/>
  <c r="BO17" i="1"/>
  <c r="BN17" i="1"/>
  <c r="BM17" i="1"/>
  <c r="BK17" i="1"/>
  <c r="BJ17" i="1"/>
  <c r="BL17" i="1" s="1"/>
  <c r="BI17" i="1"/>
  <c r="BH17" i="1"/>
  <c r="BG17" i="1"/>
  <c r="BF17" i="1"/>
  <c r="BE17" i="1"/>
  <c r="BC17" i="1"/>
  <c r="BB17" i="1"/>
  <c r="BA17" i="1"/>
  <c r="AZ17" i="1"/>
  <c r="AY17" i="1"/>
  <c r="AX17" i="1"/>
  <c r="AW17" i="1"/>
  <c r="AV17" i="1"/>
  <c r="AT17" i="1"/>
  <c r="AS17" i="1"/>
  <c r="AR17" i="1"/>
  <c r="AQ17" i="1"/>
  <c r="AO17" i="1"/>
  <c r="AN17" i="1"/>
  <c r="AM17" i="1"/>
  <c r="AK17" i="1"/>
  <c r="AJ17" i="1"/>
  <c r="AI17" i="1"/>
  <c r="AG17" i="1"/>
  <c r="AF17" i="1"/>
  <c r="AE17" i="1"/>
  <c r="AC17" i="1"/>
  <c r="AB17" i="1"/>
  <c r="AD17" i="1" s="1"/>
  <c r="Z17" i="1"/>
  <c r="Y17" i="1"/>
  <c r="W17" i="1"/>
  <c r="V17" i="1"/>
  <c r="X17" i="1" s="1"/>
  <c r="U17" i="1"/>
  <c r="S17" i="1"/>
  <c r="R17" i="1"/>
  <c r="Q17" i="1"/>
  <c r="P17" i="1"/>
  <c r="N17" i="1"/>
  <c r="M17" i="1"/>
  <c r="K17" i="1"/>
  <c r="J17" i="1"/>
  <c r="I17" i="1"/>
  <c r="G17" i="1"/>
  <c r="F17" i="1"/>
  <c r="E17" i="1"/>
  <c r="UC16" i="1"/>
  <c r="UB16" i="1"/>
  <c r="UA16" i="1"/>
  <c r="TZ16" i="1"/>
  <c r="TY16" i="1"/>
  <c r="TX16" i="1"/>
  <c r="TW16" i="1"/>
  <c r="TV16" i="1"/>
  <c r="TU16" i="1"/>
  <c r="TT16" i="1"/>
  <c r="TS16" i="1"/>
  <c r="TR16" i="1"/>
  <c r="TQ16" i="1"/>
  <c r="TP16" i="1"/>
  <c r="TO16" i="1"/>
  <c r="TN16" i="1"/>
  <c r="TM16" i="1"/>
  <c r="TL16" i="1"/>
  <c r="TK16" i="1"/>
  <c r="TJ16" i="1"/>
  <c r="TI16" i="1"/>
  <c r="TH16" i="1"/>
  <c r="TG16" i="1"/>
  <c r="TF16" i="1"/>
  <c r="TE16" i="1"/>
  <c r="TD16" i="1"/>
  <c r="TC16" i="1"/>
  <c r="TB16" i="1"/>
  <c r="SZ16" i="1"/>
  <c r="SY16" i="1"/>
  <c r="TA16" i="1" s="1"/>
  <c r="SW16" i="1"/>
  <c r="SV16" i="1"/>
  <c r="ST16" i="1"/>
  <c r="SS16" i="1"/>
  <c r="SU16" i="1" s="1"/>
  <c r="SQ16" i="1"/>
  <c r="SP16" i="1"/>
  <c r="SO16" i="1"/>
  <c r="SM16" i="1"/>
  <c r="SL16" i="1"/>
  <c r="SK16" i="1"/>
  <c r="SJ16" i="1"/>
  <c r="SI16" i="1"/>
  <c r="SH16" i="1"/>
  <c r="SF16" i="1"/>
  <c r="SE16" i="1"/>
  <c r="SD16" i="1"/>
  <c r="SB16" i="1"/>
  <c r="SA16" i="1"/>
  <c r="RZ16" i="1"/>
  <c r="RY16" i="1"/>
  <c r="RX16" i="1"/>
  <c r="RW16" i="1"/>
  <c r="RV16" i="1"/>
  <c r="RT16" i="1"/>
  <c r="RS16" i="1"/>
  <c r="RR16" i="1"/>
  <c r="RQ16" i="1"/>
  <c r="RP16" i="1"/>
  <c r="RO16" i="1"/>
  <c r="RM16" i="1"/>
  <c r="RL16" i="1"/>
  <c r="RK16" i="1"/>
  <c r="RJ16" i="1"/>
  <c r="RI16" i="1"/>
  <c r="RH16" i="1"/>
  <c r="RF16" i="1"/>
  <c r="RE16" i="1"/>
  <c r="RD16" i="1"/>
  <c r="RC16" i="1"/>
  <c r="RB16" i="1"/>
  <c r="RA16" i="1"/>
  <c r="QY16" i="1"/>
  <c r="QX16" i="1"/>
  <c r="QW16" i="1"/>
  <c r="QV16" i="1"/>
  <c r="QU16" i="1"/>
  <c r="QT16" i="1"/>
  <c r="QR16" i="1"/>
  <c r="QQ16" i="1"/>
  <c r="QP16" i="1"/>
  <c r="QO16" i="1"/>
  <c r="QN16" i="1"/>
  <c r="QM16" i="1"/>
  <c r="QK16" i="1"/>
  <c r="QJ16" i="1"/>
  <c r="QI16" i="1"/>
  <c r="QH16" i="1"/>
  <c r="QG16" i="1"/>
  <c r="QF16" i="1"/>
  <c r="QE16" i="1"/>
  <c r="QC16" i="1"/>
  <c r="QB16" i="1"/>
  <c r="QA16" i="1"/>
  <c r="PY16" i="1"/>
  <c r="PX16" i="1"/>
  <c r="PW16" i="1"/>
  <c r="PU16" i="1"/>
  <c r="PT16" i="1"/>
  <c r="PS16" i="1"/>
  <c r="PQ16" i="1"/>
  <c r="PP16" i="1"/>
  <c r="PO16" i="1"/>
  <c r="PM16" i="1"/>
  <c r="PL16" i="1"/>
  <c r="PK16" i="1"/>
  <c r="PI16" i="1"/>
  <c r="PH16" i="1"/>
  <c r="PG16" i="1"/>
  <c r="PE16" i="1"/>
  <c r="PD16" i="1"/>
  <c r="PC16" i="1"/>
  <c r="PA16" i="1"/>
  <c r="OZ16" i="1"/>
  <c r="OY16" i="1"/>
  <c r="OW16" i="1"/>
  <c r="OV16" i="1"/>
  <c r="OU16" i="1"/>
  <c r="OT16" i="1"/>
  <c r="OS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B16" i="1"/>
  <c r="OA16" i="1"/>
  <c r="NZ16" i="1"/>
  <c r="NX16" i="1"/>
  <c r="NW16" i="1"/>
  <c r="NV16" i="1"/>
  <c r="NT16" i="1"/>
  <c r="NS16" i="1"/>
  <c r="NR16" i="1"/>
  <c r="NP16" i="1"/>
  <c r="NO16" i="1"/>
  <c r="NN16" i="1"/>
  <c r="NL16" i="1"/>
  <c r="NK16" i="1"/>
  <c r="NJ16" i="1"/>
  <c r="NH16" i="1"/>
  <c r="NG16" i="1"/>
  <c r="NF16" i="1"/>
  <c r="ND16" i="1"/>
  <c r="NC16" i="1"/>
  <c r="NB16" i="1"/>
  <c r="MZ16" i="1"/>
  <c r="MY16" i="1"/>
  <c r="MX16" i="1"/>
  <c r="MV16" i="1"/>
  <c r="MU16" i="1"/>
  <c r="MT16" i="1"/>
  <c r="MS16" i="1"/>
  <c r="MR16" i="1"/>
  <c r="MQ16" i="1"/>
  <c r="MP16" i="1"/>
  <c r="MO16" i="1"/>
  <c r="MN16" i="1"/>
  <c r="MM16" i="1"/>
  <c r="MK16" i="1"/>
  <c r="ML16" i="1" s="1"/>
  <c r="MI16" i="1"/>
  <c r="MJ16" i="1" s="1"/>
  <c r="MG16" i="1"/>
  <c r="MH16" i="1" s="1"/>
  <c r="ME16" i="1"/>
  <c r="MF16" i="1" s="1"/>
  <c r="MC16" i="1"/>
  <c r="MD16" i="1" s="1"/>
  <c r="MA16" i="1"/>
  <c r="LZ16" i="1"/>
  <c r="LY16" i="1"/>
  <c r="MB16" i="1" s="1"/>
  <c r="LW16" i="1"/>
  <c r="LV16" i="1"/>
  <c r="LU16" i="1"/>
  <c r="LX16" i="1" s="1"/>
  <c r="LS16" i="1"/>
  <c r="LR16" i="1"/>
  <c r="LQ16" i="1"/>
  <c r="LO16" i="1"/>
  <c r="LN16" i="1"/>
  <c r="LM16" i="1"/>
  <c r="LK16" i="1"/>
  <c r="LJ16" i="1"/>
  <c r="LI16" i="1"/>
  <c r="LL16" i="1" s="1"/>
  <c r="LG16" i="1"/>
  <c r="LF16" i="1"/>
  <c r="LE16" i="1"/>
  <c r="LH16" i="1" s="1"/>
  <c r="LC16" i="1"/>
  <c r="LB16" i="1"/>
  <c r="LA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E16" i="1"/>
  <c r="JD16" i="1"/>
  <c r="JC16" i="1"/>
  <c r="JA16" i="1"/>
  <c r="IZ16" i="1"/>
  <c r="IY16" i="1"/>
  <c r="IW16" i="1"/>
  <c r="IV16" i="1"/>
  <c r="IU16" i="1"/>
  <c r="IS16" i="1"/>
  <c r="IR16" i="1"/>
  <c r="IQ16" i="1"/>
  <c r="IP16" i="1"/>
  <c r="IN16" i="1"/>
  <c r="IM16" i="1"/>
  <c r="IL16" i="1"/>
  <c r="IK16" i="1"/>
  <c r="II16" i="1"/>
  <c r="IH16" i="1"/>
  <c r="IG16" i="1"/>
  <c r="IF16" i="1"/>
  <c r="ID16" i="1"/>
  <c r="IC16" i="1"/>
  <c r="IB16" i="1"/>
  <c r="IA16" i="1"/>
  <c r="HY16" i="1"/>
  <c r="HX16" i="1"/>
  <c r="HW16" i="1"/>
  <c r="HU16" i="1"/>
  <c r="HT16" i="1"/>
  <c r="HS16" i="1"/>
  <c r="HR16" i="1"/>
  <c r="HP16" i="1"/>
  <c r="HO16" i="1"/>
  <c r="HN16" i="1"/>
  <c r="HM16" i="1"/>
  <c r="HK16" i="1"/>
  <c r="HJ16" i="1"/>
  <c r="HI16" i="1"/>
  <c r="HH16" i="1"/>
  <c r="HF16" i="1"/>
  <c r="HE16" i="1"/>
  <c r="HD16" i="1"/>
  <c r="HC16" i="1"/>
  <c r="HA16" i="1"/>
  <c r="GZ16" i="1"/>
  <c r="GY16" i="1"/>
  <c r="GX16" i="1"/>
  <c r="GV16" i="1"/>
  <c r="GU16" i="1"/>
  <c r="GT16" i="1"/>
  <c r="GS16" i="1"/>
  <c r="GQ16" i="1"/>
  <c r="GP16" i="1"/>
  <c r="GO16" i="1"/>
  <c r="GM16" i="1"/>
  <c r="GL16" i="1"/>
  <c r="GK16" i="1"/>
  <c r="GJ16" i="1"/>
  <c r="GI16" i="1"/>
  <c r="GH16" i="1"/>
  <c r="GG16" i="1"/>
  <c r="GF16" i="1"/>
  <c r="GD16" i="1"/>
  <c r="GC16" i="1"/>
  <c r="GA16" i="1"/>
  <c r="FZ16" i="1"/>
  <c r="GB16" i="1" s="1"/>
  <c r="FX16" i="1"/>
  <c r="FW16" i="1"/>
  <c r="FU16" i="1"/>
  <c r="FT16" i="1"/>
  <c r="FS16" i="1"/>
  <c r="FQ16" i="1"/>
  <c r="FP16" i="1"/>
  <c r="FO16" i="1"/>
  <c r="FN16" i="1"/>
  <c r="FM16" i="1"/>
  <c r="FL16" i="1"/>
  <c r="FJ16" i="1"/>
  <c r="FI16" i="1"/>
  <c r="FH16" i="1"/>
  <c r="FF16" i="1"/>
  <c r="FE16" i="1"/>
  <c r="FD16" i="1"/>
  <c r="FC16" i="1"/>
  <c r="FB16" i="1"/>
  <c r="FA16" i="1"/>
  <c r="EZ16" i="1"/>
  <c r="EY16" i="1"/>
  <c r="EX16" i="1"/>
  <c r="EW16" i="1"/>
  <c r="EV16" i="1"/>
  <c r="ET16" i="1"/>
  <c r="ES16" i="1"/>
  <c r="EQ16" i="1"/>
  <c r="EP16" i="1"/>
  <c r="ER16" i="1" s="1"/>
  <c r="EN16" i="1"/>
  <c r="EM16" i="1"/>
  <c r="EO16" i="1" s="1"/>
  <c r="EK16" i="1"/>
  <c r="EJ16" i="1"/>
  <c r="EI16" i="1"/>
  <c r="EG16" i="1"/>
  <c r="EF16" i="1"/>
  <c r="EE16" i="1"/>
  <c r="ED16" i="1"/>
  <c r="EC16" i="1"/>
  <c r="EB16" i="1"/>
  <c r="DZ16" i="1"/>
  <c r="DY16" i="1"/>
  <c r="DX16" i="1"/>
  <c r="DV16" i="1"/>
  <c r="DU16" i="1"/>
  <c r="DT16" i="1"/>
  <c r="DS16" i="1"/>
  <c r="DR16" i="1"/>
  <c r="DQ16" i="1"/>
  <c r="DP16" i="1"/>
  <c r="DO16" i="1"/>
  <c r="DN16" i="1"/>
  <c r="DM16" i="1"/>
  <c r="DL16" i="1"/>
  <c r="DJ16" i="1"/>
  <c r="DI16" i="1"/>
  <c r="DG16" i="1"/>
  <c r="DF16" i="1"/>
  <c r="DD16" i="1"/>
  <c r="DE16" i="1" s="1"/>
  <c r="DC16" i="1"/>
  <c r="DA16" i="1"/>
  <c r="CZ16" i="1"/>
  <c r="CY16" i="1"/>
  <c r="CW16" i="1"/>
  <c r="CV16" i="1"/>
  <c r="CX16" i="1" s="1"/>
  <c r="CU16" i="1"/>
  <c r="CT16" i="1"/>
  <c r="CS16" i="1"/>
  <c r="CR16" i="1"/>
  <c r="CP16" i="1"/>
  <c r="CO16" i="1"/>
  <c r="CQ16" i="1" s="1"/>
  <c r="CN16" i="1"/>
  <c r="CM16" i="1"/>
  <c r="CK16" i="1"/>
  <c r="CJ16" i="1"/>
  <c r="CL16" i="1" s="1"/>
  <c r="CI16" i="1"/>
  <c r="CH16" i="1"/>
  <c r="CG16" i="1"/>
  <c r="CF16" i="1"/>
  <c r="CE16" i="1"/>
  <c r="CD16" i="1"/>
  <c r="CB16" i="1"/>
  <c r="CA16" i="1"/>
  <c r="BY16" i="1"/>
  <c r="BX16" i="1"/>
  <c r="BV16" i="1"/>
  <c r="BU16" i="1"/>
  <c r="BW16" i="1" s="1"/>
  <c r="BT16" i="1"/>
  <c r="BR16" i="1"/>
  <c r="BQ16" i="1"/>
  <c r="BP16" i="1"/>
  <c r="BO16" i="1"/>
  <c r="BN16" i="1"/>
  <c r="BM16" i="1"/>
  <c r="BK16" i="1"/>
  <c r="BJ16" i="1"/>
  <c r="BI16" i="1"/>
  <c r="BH16" i="1"/>
  <c r="BG16" i="1"/>
  <c r="BF16" i="1"/>
  <c r="BE16" i="1"/>
  <c r="BC16" i="1"/>
  <c r="BB16" i="1"/>
  <c r="BD16" i="1" s="1"/>
  <c r="BA16" i="1"/>
  <c r="AZ16" i="1"/>
  <c r="AY16" i="1"/>
  <c r="AX16" i="1"/>
  <c r="AW16" i="1"/>
  <c r="AV16" i="1"/>
  <c r="AT16" i="1"/>
  <c r="AS16" i="1"/>
  <c r="AR16" i="1"/>
  <c r="AQ16" i="1"/>
  <c r="AO16" i="1"/>
  <c r="AN16" i="1"/>
  <c r="AM16" i="1"/>
  <c r="AK16" i="1"/>
  <c r="AJ16" i="1"/>
  <c r="AI16" i="1"/>
  <c r="AG16" i="1"/>
  <c r="AF16" i="1"/>
  <c r="AE16" i="1"/>
  <c r="AC16" i="1"/>
  <c r="AB16" i="1"/>
  <c r="Z16" i="1"/>
  <c r="Y16" i="1"/>
  <c r="W16" i="1"/>
  <c r="V16" i="1"/>
  <c r="X16" i="1" s="1"/>
  <c r="U16" i="1"/>
  <c r="S16" i="1"/>
  <c r="R16" i="1"/>
  <c r="Q16" i="1"/>
  <c r="P16" i="1"/>
  <c r="N16" i="1"/>
  <c r="M16" i="1"/>
  <c r="K16" i="1"/>
  <c r="J16" i="1"/>
  <c r="I16" i="1"/>
  <c r="G16" i="1"/>
  <c r="F16" i="1"/>
  <c r="H16" i="1" s="1"/>
  <c r="E16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SZ14" i="1"/>
  <c r="SY14" i="1"/>
  <c r="TA14" i="1" s="1"/>
  <c r="SX14" i="1"/>
  <c r="SW14" i="1"/>
  <c r="SV14" i="1"/>
  <c r="SU14" i="1"/>
  <c r="ST14" i="1"/>
  <c r="SS14" i="1"/>
  <c r="SQ14" i="1"/>
  <c r="SP14" i="1"/>
  <c r="SR14" i="1" s="1"/>
  <c r="SO14" i="1"/>
  <c r="SM14" i="1"/>
  <c r="SL14" i="1"/>
  <c r="SN14" i="1" s="1"/>
  <c r="SK14" i="1"/>
  <c r="SJ14" i="1"/>
  <c r="SI14" i="1"/>
  <c r="SH14" i="1"/>
  <c r="SF14" i="1"/>
  <c r="SE14" i="1"/>
  <c r="SG14" i="1" s="1"/>
  <c r="SD14" i="1"/>
  <c r="SB14" i="1"/>
  <c r="SA14" i="1"/>
  <c r="RZ14" i="1"/>
  <c r="RY14" i="1"/>
  <c r="RX14" i="1"/>
  <c r="RW14" i="1"/>
  <c r="RV14" i="1"/>
  <c r="RT14" i="1"/>
  <c r="RS14" i="1"/>
  <c r="RR14" i="1"/>
  <c r="RQ14" i="1"/>
  <c r="RP14" i="1"/>
  <c r="RO14" i="1"/>
  <c r="RM14" i="1"/>
  <c r="RL14" i="1"/>
  <c r="RK14" i="1"/>
  <c r="RJ14" i="1"/>
  <c r="RN14" i="1" s="1"/>
  <c r="RI14" i="1"/>
  <c r="RH14" i="1"/>
  <c r="RF14" i="1"/>
  <c r="RE14" i="1"/>
  <c r="RD14" i="1"/>
  <c r="RC14" i="1"/>
  <c r="RB14" i="1"/>
  <c r="RG14" i="1" s="1"/>
  <c r="RA14" i="1"/>
  <c r="QY14" i="1"/>
  <c r="QX14" i="1"/>
  <c r="QW14" i="1"/>
  <c r="QV14" i="1"/>
  <c r="QU14" i="1"/>
  <c r="QT14" i="1"/>
  <c r="QZ14" i="1" s="1"/>
  <c r="QR14" i="1"/>
  <c r="QQ14" i="1"/>
  <c r="QP14" i="1"/>
  <c r="QO14" i="1"/>
  <c r="QN14" i="1"/>
  <c r="QM14" i="1"/>
  <c r="QK14" i="1"/>
  <c r="QJ14" i="1"/>
  <c r="QI14" i="1"/>
  <c r="QH14" i="1"/>
  <c r="QL14" i="1" s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W14" i="1"/>
  <c r="OV14" i="1"/>
  <c r="OU14" i="1"/>
  <c r="OT14" i="1"/>
  <c r="OX14" i="1" s="1"/>
  <c r="OS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B14" i="1"/>
  <c r="OA14" i="1"/>
  <c r="NZ14" i="1"/>
  <c r="OC14" i="1" s="1"/>
  <c r="NX14" i="1"/>
  <c r="NW14" i="1"/>
  <c r="NV14" i="1"/>
  <c r="NY14" i="1" s="1"/>
  <c r="NT14" i="1"/>
  <c r="NS14" i="1"/>
  <c r="NR14" i="1"/>
  <c r="NU14" i="1" s="1"/>
  <c r="NP14" i="1"/>
  <c r="NO14" i="1"/>
  <c r="NN14" i="1"/>
  <c r="NL14" i="1"/>
  <c r="NK14" i="1"/>
  <c r="NJ14" i="1"/>
  <c r="NM14" i="1" s="1"/>
  <c r="NH14" i="1"/>
  <c r="NG14" i="1"/>
  <c r="NF14" i="1"/>
  <c r="NI14" i="1" s="1"/>
  <c r="ND14" i="1"/>
  <c r="NC14" i="1"/>
  <c r="NB14" i="1"/>
  <c r="NE14" i="1" s="1"/>
  <c r="MZ14" i="1"/>
  <c r="MY14" i="1"/>
  <c r="MX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I14" i="1"/>
  <c r="MJ14" i="1" s="1"/>
  <c r="MH14" i="1"/>
  <c r="MG14" i="1"/>
  <c r="ME14" i="1"/>
  <c r="MF14" i="1" s="1"/>
  <c r="MD14" i="1"/>
  <c r="MC14" i="1"/>
  <c r="MA14" i="1"/>
  <c r="LZ14" i="1"/>
  <c r="LY14" i="1"/>
  <c r="LW14" i="1"/>
  <c r="LV14" i="1"/>
  <c r="LX14" i="1" s="1"/>
  <c r="LU14" i="1"/>
  <c r="LS14" i="1"/>
  <c r="LR14" i="1"/>
  <c r="LT14" i="1" s="1"/>
  <c r="LQ14" i="1"/>
  <c r="LO14" i="1"/>
  <c r="LN14" i="1"/>
  <c r="LP14" i="1" s="1"/>
  <c r="LM14" i="1"/>
  <c r="LK14" i="1"/>
  <c r="LJ14" i="1"/>
  <c r="LI14" i="1"/>
  <c r="LG14" i="1"/>
  <c r="LF14" i="1"/>
  <c r="LH14" i="1" s="1"/>
  <c r="LE14" i="1"/>
  <c r="LC14" i="1"/>
  <c r="LB14" i="1"/>
  <c r="LD14" i="1" s="1"/>
  <c r="LA14" i="1"/>
  <c r="KY14" i="1"/>
  <c r="KX14" i="1"/>
  <c r="KZ14" i="1" s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E14" i="1"/>
  <c r="JD14" i="1"/>
  <c r="JF14" i="1" s="1"/>
  <c r="JC14" i="1"/>
  <c r="JA14" i="1"/>
  <c r="IZ14" i="1"/>
  <c r="JB14" i="1" s="1"/>
  <c r="IY14" i="1"/>
  <c r="IW14" i="1"/>
  <c r="IV14" i="1"/>
  <c r="IX14" i="1" s="1"/>
  <c r="IU14" i="1"/>
  <c r="IS14" i="1"/>
  <c r="IR14" i="1"/>
  <c r="IT14" i="1" s="1"/>
  <c r="IQ14" i="1"/>
  <c r="IP14" i="1"/>
  <c r="IN14" i="1"/>
  <c r="IM14" i="1"/>
  <c r="IL14" i="1"/>
  <c r="IK14" i="1"/>
  <c r="II14" i="1"/>
  <c r="IJ14" i="1" s="1"/>
  <c r="IH14" i="1"/>
  <c r="IG14" i="1"/>
  <c r="IF14" i="1"/>
  <c r="IE14" i="1"/>
  <c r="ID14" i="1"/>
  <c r="IC14" i="1"/>
  <c r="IB14" i="1"/>
  <c r="IA14" i="1"/>
  <c r="HY14" i="1"/>
  <c r="HX14" i="1"/>
  <c r="HW14" i="1"/>
  <c r="HZ14" i="1" s="1"/>
  <c r="HU14" i="1"/>
  <c r="HT14" i="1"/>
  <c r="HS14" i="1"/>
  <c r="HV14" i="1" s="1"/>
  <c r="HR14" i="1"/>
  <c r="HP14" i="1"/>
  <c r="HO14" i="1"/>
  <c r="HN14" i="1"/>
  <c r="HQ14" i="1" s="1"/>
  <c r="HM14" i="1"/>
  <c r="HK14" i="1"/>
  <c r="HJ14" i="1"/>
  <c r="HL14" i="1" s="1"/>
  <c r="HI14" i="1"/>
  <c r="HH14" i="1"/>
  <c r="HF14" i="1"/>
  <c r="HG14" i="1" s="1"/>
  <c r="HE14" i="1"/>
  <c r="HD14" i="1"/>
  <c r="HC14" i="1"/>
  <c r="HB14" i="1"/>
  <c r="HA14" i="1"/>
  <c r="GZ14" i="1"/>
  <c r="GY14" i="1"/>
  <c r="GX14" i="1"/>
  <c r="GV14" i="1"/>
  <c r="GU14" i="1"/>
  <c r="GT14" i="1"/>
  <c r="GW14" i="1" s="1"/>
  <c r="GS14" i="1"/>
  <c r="GQ14" i="1"/>
  <c r="GP14" i="1"/>
  <c r="GR14" i="1" s="1"/>
  <c r="GO14" i="1"/>
  <c r="GM14" i="1"/>
  <c r="GL14" i="1"/>
  <c r="GN14" i="1" s="1"/>
  <c r="GK14" i="1"/>
  <c r="GJ14" i="1"/>
  <c r="GI14" i="1"/>
  <c r="GH14" i="1"/>
  <c r="GG14" i="1"/>
  <c r="GF14" i="1"/>
  <c r="GD14" i="1"/>
  <c r="GE14" i="1" s="1"/>
  <c r="GC14" i="1"/>
  <c r="GA14" i="1"/>
  <c r="FZ14" i="1"/>
  <c r="GB14" i="1" s="1"/>
  <c r="FX14" i="1"/>
  <c r="FW14" i="1"/>
  <c r="FU14" i="1"/>
  <c r="FT14" i="1"/>
  <c r="FV14" i="1" s="1"/>
  <c r="FS14" i="1"/>
  <c r="FQ14" i="1"/>
  <c r="FP14" i="1"/>
  <c r="FR14" i="1" s="1"/>
  <c r="FO14" i="1"/>
  <c r="FN14" i="1"/>
  <c r="FM14" i="1"/>
  <c r="FL14" i="1"/>
  <c r="FJ14" i="1"/>
  <c r="FK14" i="1" s="1"/>
  <c r="FI14" i="1"/>
  <c r="FH14" i="1"/>
  <c r="FF14" i="1"/>
  <c r="FE14" i="1"/>
  <c r="FD14" i="1"/>
  <c r="FG14" i="1" s="1"/>
  <c r="FC14" i="1"/>
  <c r="FB14" i="1"/>
  <c r="FA14" i="1"/>
  <c r="EZ14" i="1"/>
  <c r="EY14" i="1"/>
  <c r="EX14" i="1"/>
  <c r="EW14" i="1"/>
  <c r="EV14" i="1"/>
  <c r="ET14" i="1"/>
  <c r="EU14" i="1" s="1"/>
  <c r="ES14" i="1"/>
  <c r="ER14" i="1"/>
  <c r="EQ14" i="1"/>
  <c r="EP14" i="1"/>
  <c r="EN14" i="1"/>
  <c r="EM14" i="1"/>
  <c r="EO14" i="1" s="1"/>
  <c r="EK14" i="1"/>
  <c r="EJ14" i="1"/>
  <c r="EL14" i="1" s="1"/>
  <c r="EI14" i="1"/>
  <c r="EG14" i="1"/>
  <c r="EF14" i="1"/>
  <c r="EE14" i="1"/>
  <c r="EH14" i="1" s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G14" i="1"/>
  <c r="DH14" i="1" s="1"/>
  <c r="DF14" i="1"/>
  <c r="DD14" i="1"/>
  <c r="DC14" i="1"/>
  <c r="DE14" i="1" s="1"/>
  <c r="DB14" i="1"/>
  <c r="DA14" i="1"/>
  <c r="CZ14" i="1"/>
  <c r="CY14" i="1"/>
  <c r="CX14" i="1"/>
  <c r="CW14" i="1"/>
  <c r="CV14" i="1"/>
  <c r="CU14" i="1"/>
  <c r="CT14" i="1"/>
  <c r="CS14" i="1"/>
  <c r="CR14" i="1"/>
  <c r="CP14" i="1"/>
  <c r="CQ14" i="1" s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B14" i="1"/>
  <c r="CA14" i="1"/>
  <c r="CC14" i="1" s="1"/>
  <c r="BZ14" i="1"/>
  <c r="BY14" i="1"/>
  <c r="BX14" i="1"/>
  <c r="BV14" i="1"/>
  <c r="BW14" i="1" s="1"/>
  <c r="BU14" i="1"/>
  <c r="BT14" i="1"/>
  <c r="BR14" i="1"/>
  <c r="BS14" i="1" s="1"/>
  <c r="BQ14" i="1"/>
  <c r="BP14" i="1"/>
  <c r="BO14" i="1"/>
  <c r="BN14" i="1"/>
  <c r="BM14" i="1"/>
  <c r="BK14" i="1"/>
  <c r="BJ14" i="1"/>
  <c r="BL14" i="1" s="1"/>
  <c r="BI14" i="1"/>
  <c r="BH14" i="1"/>
  <c r="BG14" i="1"/>
  <c r="BF14" i="1"/>
  <c r="BE14" i="1"/>
  <c r="BC14" i="1"/>
  <c r="BB14" i="1"/>
  <c r="BD14" i="1" s="1"/>
  <c r="BA14" i="1"/>
  <c r="AZ14" i="1"/>
  <c r="AY14" i="1"/>
  <c r="AX14" i="1"/>
  <c r="AW14" i="1"/>
  <c r="AV14" i="1"/>
  <c r="AT14" i="1"/>
  <c r="AU14" i="1" s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Z14" i="1"/>
  <c r="AA14" i="1" s="1"/>
  <c r="Y14" i="1"/>
  <c r="W14" i="1"/>
  <c r="V14" i="1"/>
  <c r="X14" i="1" s="1"/>
  <c r="U14" i="1"/>
  <c r="S14" i="1"/>
  <c r="R14" i="1"/>
  <c r="T14" i="1" s="1"/>
  <c r="Q14" i="1"/>
  <c r="P14" i="1"/>
  <c r="N14" i="1"/>
  <c r="O14" i="1" s="1"/>
  <c r="M14" i="1"/>
  <c r="K14" i="1"/>
  <c r="J14" i="1"/>
  <c r="L14" i="1" s="1"/>
  <c r="I14" i="1"/>
  <c r="G14" i="1"/>
  <c r="F14" i="1"/>
  <c r="H14" i="1" s="1"/>
  <c r="E14" i="1"/>
  <c r="UB13" i="1"/>
  <c r="UA13" i="1"/>
  <c r="UA12" i="1" s="1"/>
  <c r="TZ13" i="1"/>
  <c r="TX13" i="1"/>
  <c r="TX12" i="1" s="1"/>
  <c r="TV13" i="1"/>
  <c r="TT13" i="1"/>
  <c r="TT12" i="1" s="1"/>
  <c r="TR13" i="1"/>
  <c r="TP13" i="1"/>
  <c r="TP12" i="1" s="1"/>
  <c r="TN13" i="1"/>
  <c r="TL13" i="1"/>
  <c r="TJ13" i="1"/>
  <c r="TH13" i="1"/>
  <c r="TH12" i="1" s="1"/>
  <c r="TF13" i="1"/>
  <c r="TF12" i="1" s="1"/>
  <c r="TD13" i="1"/>
  <c r="TD12" i="1" s="1"/>
  <c r="TB13" i="1"/>
  <c r="SZ13" i="1"/>
  <c r="SZ12" i="1" s="1"/>
  <c r="SY13" i="1"/>
  <c r="SV13" i="1"/>
  <c r="SV12" i="1" s="1"/>
  <c r="ST13" i="1"/>
  <c r="ST12" i="1" s="1"/>
  <c r="SS13" i="1"/>
  <c r="SS12" i="1" s="1"/>
  <c r="SP13" i="1"/>
  <c r="SO13" i="1"/>
  <c r="SO12" i="1" s="1"/>
  <c r="SM13" i="1"/>
  <c r="SK13" i="1"/>
  <c r="SK12" i="1" s="1"/>
  <c r="SJ13" i="1"/>
  <c r="SJ12" i="1" s="1"/>
  <c r="SI13" i="1"/>
  <c r="SI12" i="1" s="1"/>
  <c r="SF13" i="1"/>
  <c r="SF12" i="1" s="1"/>
  <c r="SE13" i="1"/>
  <c r="SE12" i="1" s="1"/>
  <c r="RY13" i="1"/>
  <c r="RY12" i="1" s="1"/>
  <c r="RT13" i="1"/>
  <c r="RT12" i="1" s="1"/>
  <c r="RQ13" i="1"/>
  <c r="RQ12" i="1" s="1"/>
  <c r="RP13" i="1"/>
  <c r="RP12" i="1" s="1"/>
  <c r="RM13" i="1"/>
  <c r="RL13" i="1"/>
  <c r="RL12" i="1" s="1"/>
  <c r="RK13" i="1"/>
  <c r="RK12" i="1" s="1"/>
  <c r="RI13" i="1"/>
  <c r="RI12" i="1" s="1"/>
  <c r="RH13" i="1"/>
  <c r="RF13" i="1"/>
  <c r="RF12" i="1" s="1"/>
  <c r="RD13" i="1"/>
  <c r="RC13" i="1"/>
  <c r="RC12" i="1" s="1"/>
  <c r="RB13" i="1"/>
  <c r="QY13" i="1"/>
  <c r="QY12" i="1" s="1"/>
  <c r="QX13" i="1"/>
  <c r="QV13" i="1"/>
  <c r="QV12" i="1" s="1"/>
  <c r="QU13" i="1"/>
  <c r="QT13" i="1"/>
  <c r="QT12" i="1" s="1"/>
  <c r="QQ13" i="1"/>
  <c r="QP13" i="1"/>
  <c r="QP12" i="1" s="1"/>
  <c r="QO13" i="1"/>
  <c r="QM13" i="1"/>
  <c r="QM12" i="1" s="1"/>
  <c r="QK13" i="1"/>
  <c r="QJ13" i="1"/>
  <c r="QJ12" i="1" s="1"/>
  <c r="QG13" i="1"/>
  <c r="QF13" i="1"/>
  <c r="QC13" i="1"/>
  <c r="QB13" i="1"/>
  <c r="PY13" i="1"/>
  <c r="PX13" i="1"/>
  <c r="PX12" i="1" s="1"/>
  <c r="PU13" i="1"/>
  <c r="PT13" i="1"/>
  <c r="PT12" i="1" s="1"/>
  <c r="PS13" i="1"/>
  <c r="PQ13" i="1"/>
  <c r="PQ12" i="1" s="1"/>
  <c r="PP13" i="1"/>
  <c r="PP12" i="1" s="1"/>
  <c r="PM13" i="1"/>
  <c r="PM12" i="1" s="1"/>
  <c r="PL13" i="1"/>
  <c r="PI13" i="1"/>
  <c r="PI12" i="1" s="1"/>
  <c r="PH13" i="1"/>
  <c r="PE13" i="1"/>
  <c r="PE12" i="1" s="1"/>
  <c r="PD13" i="1"/>
  <c r="PD12" i="1" s="1"/>
  <c r="PA13" i="1"/>
  <c r="PA12" i="1" s="1"/>
  <c r="OZ13" i="1"/>
  <c r="OZ12" i="1" s="1"/>
  <c r="OW13" i="1"/>
  <c r="OW12" i="1" s="1"/>
  <c r="OV13" i="1"/>
  <c r="OS13" i="1"/>
  <c r="OS12" i="1" s="1"/>
  <c r="OQ13" i="1"/>
  <c r="OO13" i="1"/>
  <c r="ON13" i="1"/>
  <c r="OM13" i="1"/>
  <c r="OM12" i="1" s="1"/>
  <c r="OK13" i="1"/>
  <c r="OJ13" i="1"/>
  <c r="OI13" i="1"/>
  <c r="OG13" i="1"/>
  <c r="OG12" i="1" s="1"/>
  <c r="OF13" i="1"/>
  <c r="OE13" i="1"/>
  <c r="OB13" i="1"/>
  <c r="OA13" i="1"/>
  <c r="OC13" i="1" s="1"/>
  <c r="NZ13" i="1"/>
  <c r="NW13" i="1"/>
  <c r="NY13" i="1" s="1"/>
  <c r="NV13" i="1"/>
  <c r="NT13" i="1"/>
  <c r="NT12" i="1" s="1"/>
  <c r="NP13" i="1"/>
  <c r="NP12" i="1" s="1"/>
  <c r="NO13" i="1"/>
  <c r="NO12" i="1" s="1"/>
  <c r="NL13" i="1"/>
  <c r="NL12" i="1" s="1"/>
  <c r="NK13" i="1"/>
  <c r="NK12" i="1" s="1"/>
  <c r="NJ13" i="1"/>
  <c r="NG13" i="1"/>
  <c r="NF13" i="1"/>
  <c r="ND13" i="1"/>
  <c r="ND12" i="1" s="1"/>
  <c r="MZ13" i="1"/>
  <c r="MZ12" i="1" s="1"/>
  <c r="MY13" i="1"/>
  <c r="MV13" i="1"/>
  <c r="MV12" i="1" s="1"/>
  <c r="MU13" i="1"/>
  <c r="MU12" i="1" s="1"/>
  <c r="MT13" i="1"/>
  <c r="MR13" i="1"/>
  <c r="MR12" i="1" s="1"/>
  <c r="MQ13" i="1"/>
  <c r="MQ12" i="1" s="1"/>
  <c r="MP13" i="1"/>
  <c r="MN13" i="1"/>
  <c r="MN12" i="1" s="1"/>
  <c r="MM13" i="1"/>
  <c r="MM12" i="1" s="1"/>
  <c r="MK13" i="1"/>
  <c r="ML13" i="1" s="1"/>
  <c r="MG13" i="1"/>
  <c r="MH13" i="1" s="1"/>
  <c r="ME13" i="1"/>
  <c r="MF13" i="1" s="1"/>
  <c r="MA13" i="1"/>
  <c r="LZ13" i="1"/>
  <c r="LY13" i="1"/>
  <c r="LY12" i="1" s="1"/>
  <c r="LV13" i="1"/>
  <c r="LU13" i="1"/>
  <c r="LU12" i="1" s="1"/>
  <c r="LS13" i="1"/>
  <c r="LQ13" i="1"/>
  <c r="LO13" i="1"/>
  <c r="LK13" i="1"/>
  <c r="LK12" i="1" s="1"/>
  <c r="LJ13" i="1"/>
  <c r="LI13" i="1"/>
  <c r="LI12" i="1" s="1"/>
  <c r="LF13" i="1"/>
  <c r="LE13" i="1"/>
  <c r="LE12" i="1" s="1"/>
  <c r="LC13" i="1"/>
  <c r="LC12" i="1" s="1"/>
  <c r="LA13" i="1"/>
  <c r="LA12" i="1" s="1"/>
  <c r="KY13" i="1"/>
  <c r="KV13" i="1"/>
  <c r="KV12" i="1" s="1"/>
  <c r="KU13" i="1"/>
  <c r="KR13" i="1"/>
  <c r="KR12" i="1" s="1"/>
  <c r="KQ13" i="1"/>
  <c r="KQ12" i="1" s="1"/>
  <c r="KN13" i="1"/>
  <c r="KN12" i="1" s="1"/>
  <c r="KM13" i="1"/>
  <c r="KM12" i="1" s="1"/>
  <c r="KJ13" i="1"/>
  <c r="KJ12" i="1" s="1"/>
  <c r="KI13" i="1"/>
  <c r="KF13" i="1"/>
  <c r="KF12" i="1" s="1"/>
  <c r="KE13" i="1"/>
  <c r="KB13" i="1"/>
  <c r="KB12" i="1" s="1"/>
  <c r="KA13" i="1"/>
  <c r="KA12" i="1" s="1"/>
  <c r="JX13" i="1"/>
  <c r="JW13" i="1"/>
  <c r="JW12" i="1" s="1"/>
  <c r="JT13" i="1"/>
  <c r="JS13" i="1"/>
  <c r="JP13" i="1"/>
  <c r="JP12" i="1" s="1"/>
  <c r="JO13" i="1"/>
  <c r="JL13" i="1"/>
  <c r="JL12" i="1" s="1"/>
  <c r="JK13" i="1"/>
  <c r="JK12" i="1" s="1"/>
  <c r="JH13" i="1"/>
  <c r="JH12" i="1" s="1"/>
  <c r="JG13" i="1"/>
  <c r="JG12" i="1" s="1"/>
  <c r="JD13" i="1"/>
  <c r="JD12" i="1" s="1"/>
  <c r="JC13" i="1"/>
  <c r="JA13" i="1"/>
  <c r="JA12" i="1" s="1"/>
  <c r="IZ13" i="1"/>
  <c r="IZ12" i="1" s="1"/>
  <c r="IY13" i="1"/>
  <c r="IV13" i="1"/>
  <c r="IV12" i="1" s="1"/>
  <c r="IU13" i="1"/>
  <c r="IU12" i="1" s="1"/>
  <c r="IR13" i="1"/>
  <c r="IR12" i="1" s="1"/>
  <c r="IQ13" i="1"/>
  <c r="IQ12" i="1" s="1"/>
  <c r="IP13" i="1"/>
  <c r="IM13" i="1"/>
  <c r="IL13" i="1"/>
  <c r="IK13" i="1"/>
  <c r="IK12" i="1" s="1"/>
  <c r="IH13" i="1"/>
  <c r="IG13" i="1"/>
  <c r="IJ13" i="1" s="1"/>
  <c r="IF13" i="1"/>
  <c r="IF12" i="1" s="1"/>
  <c r="IC13" i="1"/>
  <c r="IC12" i="1" s="1"/>
  <c r="IB13" i="1"/>
  <c r="IA13" i="1"/>
  <c r="IA12" i="1" s="1"/>
  <c r="HX13" i="1"/>
  <c r="HX12" i="1" s="1"/>
  <c r="HW13" i="1"/>
  <c r="HU13" i="1"/>
  <c r="HS13" i="1"/>
  <c r="HR13" i="1"/>
  <c r="HP13" i="1"/>
  <c r="HP12" i="1" s="1"/>
  <c r="HN13" i="1"/>
  <c r="HM13" i="1"/>
  <c r="HM12" i="1" s="1"/>
  <c r="HK13" i="1"/>
  <c r="HI13" i="1"/>
  <c r="HI12" i="1" s="1"/>
  <c r="HH13" i="1"/>
  <c r="HH12" i="1" s="1"/>
  <c r="HF13" i="1"/>
  <c r="HD13" i="1"/>
  <c r="HC13" i="1"/>
  <c r="GY13" i="1"/>
  <c r="GX13" i="1"/>
  <c r="GX12" i="1" s="1"/>
  <c r="GU13" i="1"/>
  <c r="GT13" i="1"/>
  <c r="GT12" i="1" s="1"/>
  <c r="GQ13" i="1"/>
  <c r="GQ12" i="1" s="1"/>
  <c r="GP13" i="1"/>
  <c r="GP12" i="1" s="1"/>
  <c r="GO13" i="1"/>
  <c r="GM13" i="1"/>
  <c r="GM12" i="1" s="1"/>
  <c r="GL13" i="1"/>
  <c r="GK13" i="1"/>
  <c r="GK12" i="1" s="1"/>
  <c r="GI13" i="1"/>
  <c r="GH13" i="1"/>
  <c r="GH12" i="1" s="1"/>
  <c r="GG13" i="1"/>
  <c r="GC13" i="1"/>
  <c r="GE13" i="1" s="1"/>
  <c r="FZ13" i="1"/>
  <c r="FX13" i="1"/>
  <c r="FX12" i="1" s="1"/>
  <c r="FW13" i="1"/>
  <c r="FT13" i="1"/>
  <c r="FT12" i="1" s="1"/>
  <c r="FS13" i="1"/>
  <c r="FQ13" i="1"/>
  <c r="FQ12" i="1" s="1"/>
  <c r="FO13" i="1"/>
  <c r="FN13" i="1"/>
  <c r="FN12" i="1" s="1"/>
  <c r="FM13" i="1"/>
  <c r="FJ13" i="1"/>
  <c r="FJ12" i="1" s="1"/>
  <c r="FI13" i="1"/>
  <c r="FH13" i="1"/>
  <c r="FH12" i="1" s="1"/>
  <c r="FE13" i="1"/>
  <c r="FD13" i="1"/>
  <c r="FC13" i="1"/>
  <c r="FA13" i="1"/>
  <c r="FA12" i="1" s="1"/>
  <c r="EZ13" i="1"/>
  <c r="EZ12" i="1" s="1"/>
  <c r="EY13" i="1"/>
  <c r="EY12" i="1" s="1"/>
  <c r="EW13" i="1"/>
  <c r="EV13" i="1"/>
  <c r="EV12" i="1" s="1"/>
  <c r="ET13" i="1"/>
  <c r="EQ13" i="1"/>
  <c r="EQ12" i="1" s="1"/>
  <c r="EP13" i="1"/>
  <c r="EM13" i="1"/>
  <c r="EM12" i="1" s="1"/>
  <c r="EK13" i="1"/>
  <c r="EK12" i="1" s="1"/>
  <c r="EJ13" i="1"/>
  <c r="EJ12" i="1" s="1"/>
  <c r="EF13" i="1"/>
  <c r="EF12" i="1" s="1"/>
  <c r="EE13" i="1"/>
  <c r="EE12" i="1" s="1"/>
  <c r="EB13" i="1"/>
  <c r="EB12" i="1" s="1"/>
  <c r="DZ13" i="1"/>
  <c r="DY13" i="1"/>
  <c r="DX13" i="1"/>
  <c r="DX12" i="1" s="1"/>
  <c r="DV13" i="1"/>
  <c r="DU13" i="1"/>
  <c r="DU12" i="1" s="1"/>
  <c r="DT13" i="1"/>
  <c r="DS13" i="1"/>
  <c r="DR13" i="1"/>
  <c r="DQ13" i="1"/>
  <c r="DQ12" i="1" s="1"/>
  <c r="DP13" i="1"/>
  <c r="DP12" i="1" s="1"/>
  <c r="DO13" i="1"/>
  <c r="DO12" i="1" s="1"/>
  <c r="DN13" i="1"/>
  <c r="DN12" i="1" s="1"/>
  <c r="DM13" i="1"/>
  <c r="DM12" i="1" s="1"/>
  <c r="DL13" i="1"/>
  <c r="DL12" i="1" s="1"/>
  <c r="DI13" i="1"/>
  <c r="DI12" i="1" s="1"/>
  <c r="DG13" i="1"/>
  <c r="DF13" i="1"/>
  <c r="DH13" i="1" s="1"/>
  <c r="DD13" i="1"/>
  <c r="DD12" i="1" s="1"/>
  <c r="DC13" i="1"/>
  <c r="DC12" i="1" s="1"/>
  <c r="DA13" i="1"/>
  <c r="CZ13" i="1"/>
  <c r="CZ12" i="1" s="1"/>
  <c r="CY13" i="1"/>
  <c r="CW13" i="1"/>
  <c r="CW12" i="1" s="1"/>
  <c r="CV13" i="1"/>
  <c r="CV12" i="1" s="1"/>
  <c r="CU13" i="1"/>
  <c r="CT13" i="1"/>
  <c r="CS13" i="1"/>
  <c r="CS12" i="1" s="1"/>
  <c r="CR13" i="1"/>
  <c r="CR12" i="1" s="1"/>
  <c r="CP13" i="1"/>
  <c r="CP12" i="1" s="1"/>
  <c r="CO13" i="1"/>
  <c r="CN13" i="1"/>
  <c r="CN12" i="1" s="1"/>
  <c r="CM13" i="1"/>
  <c r="CK13" i="1"/>
  <c r="CK12" i="1" s="1"/>
  <c r="CJ13" i="1"/>
  <c r="CJ12" i="1" s="1"/>
  <c r="CI13" i="1"/>
  <c r="CI12" i="1" s="1"/>
  <c r="CH13" i="1"/>
  <c r="CG13" i="1"/>
  <c r="CG12" i="1" s="1"/>
  <c r="CF13" i="1"/>
  <c r="CF12" i="1" s="1"/>
  <c r="CE13" i="1"/>
  <c r="CE12" i="1" s="1"/>
  <c r="CD13" i="1"/>
  <c r="CB13" i="1"/>
  <c r="CB12" i="1" s="1"/>
  <c r="CA13" i="1"/>
  <c r="BY13" i="1"/>
  <c r="BV13" i="1"/>
  <c r="BV12" i="1" s="1"/>
  <c r="BU13" i="1"/>
  <c r="BU12" i="1" s="1"/>
  <c r="BT13" i="1"/>
  <c r="BT12" i="1" s="1"/>
  <c r="BQ13" i="1"/>
  <c r="BQ12" i="1" s="1"/>
  <c r="BP13" i="1"/>
  <c r="BO13" i="1"/>
  <c r="BM13" i="1"/>
  <c r="BK13" i="1"/>
  <c r="BK12" i="1" s="1"/>
  <c r="BJ13" i="1"/>
  <c r="BH13" i="1"/>
  <c r="BH12" i="1" s="1"/>
  <c r="BG13" i="1"/>
  <c r="BF13" i="1"/>
  <c r="BF12" i="1" s="1"/>
  <c r="BC13" i="1"/>
  <c r="BB13" i="1"/>
  <c r="BB12" i="1" s="1"/>
  <c r="BD12" i="1" s="1"/>
  <c r="BA13" i="1"/>
  <c r="BA12" i="1" s="1"/>
  <c r="AY13" i="1"/>
  <c r="AY12" i="1" s="1"/>
  <c r="AX13" i="1"/>
  <c r="AW13" i="1"/>
  <c r="AW12" i="1" s="1"/>
  <c r="AT13" i="1"/>
  <c r="AT12" i="1" s="1"/>
  <c r="AS13" i="1"/>
  <c r="AS12" i="1" s="1"/>
  <c r="AR13" i="1"/>
  <c r="AO13" i="1"/>
  <c r="AN13" i="1"/>
  <c r="AN12" i="1" s="1"/>
  <c r="AM13" i="1"/>
  <c r="AM12" i="1" s="1"/>
  <c r="AJ13" i="1"/>
  <c r="AJ12" i="1" s="1"/>
  <c r="AI13" i="1"/>
  <c r="AG13" i="1"/>
  <c r="AG12" i="1" s="1"/>
  <c r="AE13" i="1"/>
  <c r="AE12" i="1" s="1"/>
  <c r="AC13" i="1"/>
  <c r="AB13" i="1"/>
  <c r="AB12" i="1" s="1"/>
  <c r="W13" i="1"/>
  <c r="V13" i="1"/>
  <c r="V12" i="1" s="1"/>
  <c r="R13" i="1"/>
  <c r="P13" i="1"/>
  <c r="P12" i="1" s="1"/>
  <c r="N13" i="1"/>
  <c r="N12" i="1" s="1"/>
  <c r="M13" i="1"/>
  <c r="M12" i="1" s="1"/>
  <c r="K13" i="1"/>
  <c r="K12" i="1" s="1"/>
  <c r="I13" i="1"/>
  <c r="G13" i="1"/>
  <c r="G12" i="1" s="1"/>
  <c r="UB12" i="1"/>
  <c r="TZ12" i="1"/>
  <c r="TV12" i="1"/>
  <c r="TR12" i="1"/>
  <c r="TN12" i="1"/>
  <c r="TL12" i="1"/>
  <c r="TJ12" i="1"/>
  <c r="TB12" i="1"/>
  <c r="SP12" i="1"/>
  <c r="SM12" i="1"/>
  <c r="SD12" i="1"/>
  <c r="RX12" i="1"/>
  <c r="RM12" i="1"/>
  <c r="RH12" i="1"/>
  <c r="RD12" i="1"/>
  <c r="RB12" i="1"/>
  <c r="QX12" i="1"/>
  <c r="QU12" i="1"/>
  <c r="QQ12" i="1"/>
  <c r="QO12" i="1"/>
  <c r="QK12" i="1"/>
  <c r="QG12" i="1"/>
  <c r="QC12" i="1"/>
  <c r="QB12" i="1"/>
  <c r="PY12" i="1"/>
  <c r="PU12" i="1"/>
  <c r="PS12" i="1"/>
  <c r="PL12" i="1"/>
  <c r="PH12" i="1"/>
  <c r="OV12" i="1"/>
  <c r="OT12" i="1"/>
  <c r="OQ12" i="1"/>
  <c r="OO12" i="1"/>
  <c r="ON12" i="1"/>
  <c r="OK12" i="1"/>
  <c r="OJ12" i="1"/>
  <c r="OI12" i="1"/>
  <c r="OF12" i="1"/>
  <c r="OB12" i="1"/>
  <c r="NZ12" i="1"/>
  <c r="NX12" i="1"/>
  <c r="NV12" i="1"/>
  <c r="NG12" i="1"/>
  <c r="MK12" i="1"/>
  <c r="ML12" i="1" s="1"/>
  <c r="MA12" i="1"/>
  <c r="LZ12" i="1"/>
  <c r="LS12" i="1"/>
  <c r="LR12" i="1"/>
  <c r="LQ12" i="1"/>
  <c r="LJ12" i="1"/>
  <c r="LF12" i="1"/>
  <c r="LB12" i="1"/>
  <c r="KY12" i="1"/>
  <c r="KX12" i="1"/>
  <c r="KU12" i="1"/>
  <c r="KP12" i="1"/>
  <c r="KK12" i="1"/>
  <c r="KI12" i="1"/>
  <c r="KH12" i="1"/>
  <c r="KE12" i="1"/>
  <c r="JZ12" i="1"/>
  <c r="JX12" i="1"/>
  <c r="JU12" i="1"/>
  <c r="JT12" i="1"/>
  <c r="JS12" i="1"/>
  <c r="JR12" i="1"/>
  <c r="JO12" i="1"/>
  <c r="JN12" i="1"/>
  <c r="JJ12" i="1"/>
  <c r="JC12" i="1"/>
  <c r="IY12" i="1"/>
  <c r="IP12" i="1"/>
  <c r="IM12" i="1"/>
  <c r="IL12" i="1"/>
  <c r="IH12" i="1"/>
  <c r="HW12" i="1"/>
  <c r="HU12" i="1"/>
  <c r="HR12" i="1"/>
  <c r="HN12" i="1"/>
  <c r="HK12" i="1"/>
  <c r="HF12" i="1"/>
  <c r="HE12" i="1"/>
  <c r="HC12" i="1"/>
  <c r="GY12" i="1"/>
  <c r="GU12" i="1"/>
  <c r="GO12" i="1"/>
  <c r="GL12" i="1"/>
  <c r="GI12" i="1"/>
  <c r="GG12" i="1"/>
  <c r="FZ12" i="1"/>
  <c r="FW12" i="1"/>
  <c r="FS12" i="1"/>
  <c r="FO12" i="1"/>
  <c r="FM12" i="1"/>
  <c r="FE12" i="1"/>
  <c r="FC12" i="1"/>
  <c r="EW12" i="1"/>
  <c r="EP12" i="1"/>
  <c r="DZ12" i="1"/>
  <c r="DY12" i="1"/>
  <c r="DV12" i="1"/>
  <c r="DS12" i="1"/>
  <c r="DR12" i="1"/>
  <c r="DG12" i="1"/>
  <c r="DA12" i="1"/>
  <c r="CY12" i="1"/>
  <c r="CT12" i="1"/>
  <c r="CO12" i="1"/>
  <c r="CM12" i="1"/>
  <c r="CH12" i="1"/>
  <c r="CD12" i="1"/>
  <c r="CA12" i="1"/>
  <c r="BY12" i="1"/>
  <c r="BM12" i="1"/>
  <c r="BJ12" i="1"/>
  <c r="BG12" i="1"/>
  <c r="BC12" i="1"/>
  <c r="AX12" i="1"/>
  <c r="AO12" i="1"/>
  <c r="AC12" i="1"/>
  <c r="W12" i="1"/>
  <c r="R12" i="1"/>
  <c r="I12" i="1"/>
  <c r="CC12" i="1" l="1"/>
  <c r="OX16" i="1"/>
  <c r="PJ16" i="1"/>
  <c r="PZ16" i="1"/>
  <c r="QZ16" i="1"/>
  <c r="RG16" i="1"/>
  <c r="SR16" i="1"/>
  <c r="H17" i="1"/>
  <c r="FY17" i="1"/>
  <c r="GE17" i="1"/>
  <c r="NA17" i="1"/>
  <c r="NQ17" i="1"/>
  <c r="SG17" i="1"/>
  <c r="AA18" i="1"/>
  <c r="DW18" i="1"/>
  <c r="EL18" i="1"/>
  <c r="FK18" i="1"/>
  <c r="GE18" i="1"/>
  <c r="IO18" i="1"/>
  <c r="LL18" i="1"/>
  <c r="MB18" i="1"/>
  <c r="AA12" i="1"/>
  <c r="PB13" i="1"/>
  <c r="PR13" i="1"/>
  <c r="SX12" i="1"/>
  <c r="ET12" i="1"/>
  <c r="MP12" i="1"/>
  <c r="MT12" i="1"/>
  <c r="NB12" i="1"/>
  <c r="NE12" i="1" s="1"/>
  <c r="NF12" i="1"/>
  <c r="NJ12" i="1"/>
  <c r="NM12" i="1" s="1"/>
  <c r="NR12" i="1"/>
  <c r="X12" i="1"/>
  <c r="OR13" i="1"/>
  <c r="GW16" i="1"/>
  <c r="LD16" i="1"/>
  <c r="LT16" i="1"/>
  <c r="IJ17" i="1"/>
  <c r="LH17" i="1"/>
  <c r="LX17" i="1"/>
  <c r="AU18" i="1"/>
  <c r="HQ18" i="1"/>
  <c r="KZ16" i="1"/>
  <c r="LP16" i="1"/>
  <c r="PB16" i="1"/>
  <c r="PR16" i="1"/>
  <c r="SG16" i="1"/>
  <c r="HZ17" i="1"/>
  <c r="NI17" i="1"/>
  <c r="NY17" i="1"/>
  <c r="SU17" i="1"/>
  <c r="TA17" i="1"/>
  <c r="BW18" i="1"/>
  <c r="CC18" i="1"/>
  <c r="CQ18" i="1"/>
  <c r="EU18" i="1"/>
  <c r="MG12" i="1"/>
  <c r="MH12" i="1" s="1"/>
  <c r="DW13" i="1"/>
  <c r="EA13" i="1"/>
  <c r="ER13" i="1"/>
  <c r="FK13" i="1"/>
  <c r="LX13" i="1"/>
  <c r="L16" i="1"/>
  <c r="EA16" i="1"/>
  <c r="HQ16" i="1"/>
  <c r="IT16" i="1"/>
  <c r="NE16" i="1"/>
  <c r="NU16" i="1"/>
  <c r="T17" i="1"/>
  <c r="GN17" i="1"/>
  <c r="LD17" i="1"/>
  <c r="LT17" i="1"/>
  <c r="RU17" i="1"/>
  <c r="AH12" i="1"/>
  <c r="EO12" i="1"/>
  <c r="OR16" i="1"/>
  <c r="NA16" i="1"/>
  <c r="NQ16" i="1"/>
  <c r="SC16" i="1"/>
  <c r="AA17" i="1"/>
  <c r="AL17" i="1"/>
  <c r="HQ17" i="1"/>
  <c r="IO17" i="1"/>
  <c r="KZ17" i="1"/>
  <c r="LP17" i="1"/>
  <c r="BZ12" i="1"/>
  <c r="QD13" i="1"/>
  <c r="OC12" i="1"/>
  <c r="AD12" i="1"/>
  <c r="DB12" i="1"/>
  <c r="FY12" i="1"/>
  <c r="EA12" i="1"/>
  <c r="OA12" i="1"/>
  <c r="AU13" i="1"/>
  <c r="BD13" i="1"/>
  <c r="BL13" i="1"/>
  <c r="MB13" i="1"/>
  <c r="BL16" i="1"/>
  <c r="DK16" i="1"/>
  <c r="JB16" i="1"/>
  <c r="SX16" i="1"/>
  <c r="L17" i="1"/>
  <c r="DB17" i="1"/>
  <c r="DH17" i="1"/>
  <c r="GB17" i="1"/>
  <c r="GW17" i="1"/>
  <c r="HB17" i="1"/>
  <c r="LL17" i="1"/>
  <c r="MB17" i="1"/>
  <c r="SX17" i="1"/>
  <c r="FR12" i="1"/>
  <c r="JF12" i="1"/>
  <c r="PN13" i="1"/>
  <c r="SR13" i="1"/>
  <c r="KZ13" i="1"/>
  <c r="KW12" i="1"/>
  <c r="KZ12" i="1" s="1"/>
  <c r="NU13" i="1"/>
  <c r="NS12" i="1"/>
  <c r="NU12" i="1" s="1"/>
  <c r="EU13" i="1"/>
  <c r="ES12" i="1"/>
  <c r="GB13" i="1"/>
  <c r="GA12" i="1"/>
  <c r="GB12" i="1" s="1"/>
  <c r="PJ12" i="1"/>
  <c r="SU12" i="1"/>
  <c r="RG13" i="1"/>
  <c r="MX12" i="1"/>
  <c r="NI12" i="1"/>
  <c r="NN12" i="1"/>
  <c r="NQ12" i="1" s="1"/>
  <c r="CQ12" i="1"/>
  <c r="DF12" i="1"/>
  <c r="DH12" i="1" s="1"/>
  <c r="GC12" i="1"/>
  <c r="GE12" i="1" s="1"/>
  <c r="GN12" i="1"/>
  <c r="LH12" i="1"/>
  <c r="QS12" i="1"/>
  <c r="QZ12" i="1"/>
  <c r="AP12" i="1"/>
  <c r="FV12" i="1"/>
  <c r="GN13" i="1"/>
  <c r="GR13" i="1"/>
  <c r="IE13" i="1"/>
  <c r="LT13" i="1"/>
  <c r="NM16" i="1"/>
  <c r="OC16" i="1"/>
  <c r="BZ17" i="1"/>
  <c r="SN17" i="1"/>
  <c r="SR17" i="1"/>
  <c r="IE18" i="1"/>
  <c r="FG13" i="1"/>
  <c r="O12" i="1"/>
  <c r="BL12" i="1"/>
  <c r="FI12" i="1"/>
  <c r="FK12" i="1" s="1"/>
  <c r="MC12" i="1"/>
  <c r="MD12" i="1" s="1"/>
  <c r="OE12" i="1"/>
  <c r="X13" i="1"/>
  <c r="AL12" i="1"/>
  <c r="HL13" i="1"/>
  <c r="IJ16" i="1"/>
  <c r="NI16" i="1"/>
  <c r="NY16" i="1"/>
  <c r="EH17" i="1"/>
  <c r="HG18" i="1"/>
  <c r="GR12" i="1"/>
  <c r="PZ12" i="1"/>
  <c r="GW12" i="1"/>
  <c r="IO12" i="1"/>
  <c r="BW12" i="1"/>
  <c r="HL12" i="1"/>
  <c r="ER12" i="1"/>
  <c r="IG12" i="1"/>
  <c r="IJ12" i="1" s="1"/>
  <c r="LL12" i="1"/>
  <c r="LT12" i="1"/>
  <c r="MB12" i="1"/>
  <c r="ME12" i="1"/>
  <c r="MF12" i="1" s="1"/>
  <c r="NW12" i="1"/>
  <c r="NY12" i="1" s="1"/>
  <c r="OX12" i="1"/>
  <c r="RA12" i="1"/>
  <c r="RG12" i="1" s="1"/>
  <c r="SQ12" i="1"/>
  <c r="SR12" i="1" s="1"/>
  <c r="O13" i="1"/>
  <c r="BW13" i="1"/>
  <c r="CL12" i="1"/>
  <c r="CQ13" i="1"/>
  <c r="DE12" i="1"/>
  <c r="EL12" i="1"/>
  <c r="HG13" i="1"/>
  <c r="DH16" i="1"/>
  <c r="O17" i="1"/>
  <c r="BD17" i="1"/>
  <c r="HZ12" i="1"/>
  <c r="OX13" i="1"/>
  <c r="PF12" i="1"/>
  <c r="PV12" i="1"/>
  <c r="QS13" i="1"/>
  <c r="AA16" i="1"/>
  <c r="AL16" i="1"/>
  <c r="EL16" i="1"/>
  <c r="EU16" i="1"/>
  <c r="FR16" i="1"/>
  <c r="GR16" i="1"/>
  <c r="IO16" i="1"/>
  <c r="SN16" i="1"/>
  <c r="AH17" i="1"/>
  <c r="CX17" i="1"/>
  <c r="GR17" i="1"/>
  <c r="IE17" i="1"/>
  <c r="JB17" i="1"/>
  <c r="MW17" i="1"/>
  <c r="PB17" i="1"/>
  <c r="PR17" i="1"/>
  <c r="QL17" i="1"/>
  <c r="QS17" i="1"/>
  <c r="RN17" i="1"/>
  <c r="AP18" i="1"/>
  <c r="HL18" i="1"/>
  <c r="IJ18" i="1"/>
  <c r="LH18" i="1"/>
  <c r="LX18" i="1"/>
  <c r="NE18" i="1"/>
  <c r="NU18" i="1"/>
  <c r="PN18" i="1"/>
  <c r="QD18" i="1"/>
  <c r="QL18" i="1"/>
  <c r="RG18" i="1"/>
  <c r="AI12" i="1"/>
  <c r="BO12" i="1"/>
  <c r="CU12" i="1"/>
  <c r="CX12" i="1" s="1"/>
  <c r="IT12" i="1"/>
  <c r="LD13" i="1"/>
  <c r="QZ13" i="1"/>
  <c r="T16" i="1"/>
  <c r="GN16" i="1"/>
  <c r="HG16" i="1"/>
  <c r="HL16" i="1"/>
  <c r="MW16" i="1"/>
  <c r="QL16" i="1"/>
  <c r="QS16" i="1"/>
  <c r="RN16" i="1"/>
  <c r="RU16" i="1"/>
  <c r="AU17" i="1"/>
  <c r="CX18" i="1"/>
  <c r="EH18" i="1"/>
  <c r="FR18" i="1"/>
  <c r="HB18" i="1"/>
  <c r="IX18" i="1"/>
  <c r="LD18" i="1"/>
  <c r="LT18" i="1"/>
  <c r="OR18" i="1"/>
  <c r="PJ18" i="1"/>
  <c r="PZ18" i="1"/>
  <c r="QZ18" i="1"/>
  <c r="HQ12" i="1"/>
  <c r="JB12" i="1"/>
  <c r="LP13" i="1"/>
  <c r="NA13" i="1"/>
  <c r="SU13" i="1"/>
  <c r="TA13" i="1"/>
  <c r="O16" i="1"/>
  <c r="AD16" i="1"/>
  <c r="AU16" i="1"/>
  <c r="CC16" i="1"/>
  <c r="FG16" i="1"/>
  <c r="FK16" i="1"/>
  <c r="FY16" i="1"/>
  <c r="GE16" i="1"/>
  <c r="HZ16" i="1"/>
  <c r="AP17" i="1"/>
  <c r="CC17" i="1"/>
  <c r="DE17" i="1"/>
  <c r="DK17" i="1"/>
  <c r="EO17" i="1"/>
  <c r="HV17" i="1"/>
  <c r="IT17" i="1"/>
  <c r="OR17" i="1"/>
  <c r="OX17" i="1"/>
  <c r="PJ17" i="1"/>
  <c r="PZ17" i="1"/>
  <c r="RG17" i="1"/>
  <c r="SC17" i="1"/>
  <c r="AH18" i="1"/>
  <c r="BS18" i="1"/>
  <c r="CL18" i="1"/>
  <c r="DH18" i="1"/>
  <c r="ER18" i="1"/>
  <c r="IT18" i="1"/>
  <c r="KZ18" i="1"/>
  <c r="LP18" i="1"/>
  <c r="NM18" i="1"/>
  <c r="OC18" i="1"/>
  <c r="RU18" i="1"/>
  <c r="SX18" i="1"/>
  <c r="J13" i="1"/>
  <c r="L13" i="1" s="1"/>
  <c r="BE13" i="1"/>
  <c r="BE12" i="1" s="1"/>
  <c r="BI13" i="1"/>
  <c r="BI12" i="1" s="1"/>
  <c r="BN13" i="1"/>
  <c r="BN12" i="1" s="1"/>
  <c r="BR13" i="1"/>
  <c r="BR12" i="1" s="1"/>
  <c r="SH13" i="1"/>
  <c r="SH12" i="1" s="1"/>
  <c r="SL13" i="1"/>
  <c r="SL12" i="1" s="1"/>
  <c r="SN12" i="1" s="1"/>
  <c r="RW13" i="1"/>
  <c r="RW12" i="1" s="1"/>
  <c r="SA13" i="1"/>
  <c r="SA12" i="1" s="1"/>
  <c r="MW12" i="1"/>
  <c r="EU12" i="1"/>
  <c r="DK12" i="1"/>
  <c r="LD12" i="1"/>
  <c r="AA13" i="1"/>
  <c r="DK13" i="1"/>
  <c r="SG12" i="1"/>
  <c r="Q12" i="1"/>
  <c r="T12" i="1" s="1"/>
  <c r="T13" i="1"/>
  <c r="DE13" i="1"/>
  <c r="GW13" i="1"/>
  <c r="IW13" i="1"/>
  <c r="IW12" i="1" s="1"/>
  <c r="IX12" i="1" s="1"/>
  <c r="NE13" i="1"/>
  <c r="NQ13" i="1"/>
  <c r="AP16" i="1"/>
  <c r="BZ16" i="1"/>
  <c r="DB16" i="1"/>
  <c r="EH16" i="1"/>
  <c r="HB16" i="1"/>
  <c r="IE16" i="1"/>
  <c r="JF16" i="1"/>
  <c r="PN16" i="1"/>
  <c r="QD16" i="1"/>
  <c r="IX17" i="1"/>
  <c r="PF17" i="1"/>
  <c r="PV17" i="1"/>
  <c r="QZ17" i="1"/>
  <c r="HV18" i="1"/>
  <c r="SC18" i="1"/>
  <c r="LX70" i="1"/>
  <c r="LW69" i="1"/>
  <c r="LW12" i="1" s="1"/>
  <c r="PB70" i="1"/>
  <c r="PB69" i="1" s="1"/>
  <c r="OY69" i="1"/>
  <c r="PR70" i="1"/>
  <c r="PR69" i="1" s="1"/>
  <c r="PO69" i="1"/>
  <c r="CC13" i="1"/>
  <c r="EG13" i="1"/>
  <c r="EG12" i="1" s="1"/>
  <c r="EH12" i="1" s="1"/>
  <c r="EO13" i="1"/>
  <c r="FY13" i="1"/>
  <c r="HQ13" i="1"/>
  <c r="IO13" i="1"/>
  <c r="NI13" i="1"/>
  <c r="RU14" i="1"/>
  <c r="LO12" i="1"/>
  <c r="LP12" i="1" s="1"/>
  <c r="MY12" i="1"/>
  <c r="NA12" i="1" s="1"/>
  <c r="OY12" i="1"/>
  <c r="PB12" i="1" s="1"/>
  <c r="PO12" i="1"/>
  <c r="PR12" i="1" s="1"/>
  <c r="AD13" i="1"/>
  <c r="AH13" i="1"/>
  <c r="AL13" i="1"/>
  <c r="AP13" i="1"/>
  <c r="BZ13" i="1"/>
  <c r="CL13" i="1"/>
  <c r="CX13" i="1"/>
  <c r="DB13" i="1"/>
  <c r="EL13" i="1"/>
  <c r="FR13" i="1"/>
  <c r="FV13" i="1"/>
  <c r="HV13" i="1"/>
  <c r="HZ13" i="1"/>
  <c r="IT13" i="1"/>
  <c r="IX13" i="1"/>
  <c r="JF13" i="1"/>
  <c r="LH13" i="1"/>
  <c r="LL13" i="1"/>
  <c r="MJ13" i="1"/>
  <c r="MW13" i="1"/>
  <c r="PJ13" i="1"/>
  <c r="PZ13" i="1"/>
  <c r="SG13" i="1"/>
  <c r="MW14" i="1"/>
  <c r="SC20" i="1"/>
  <c r="RZ13" i="1"/>
  <c r="E13" i="1"/>
  <c r="HA13" i="1"/>
  <c r="HA12" i="1" s="1"/>
  <c r="HB12" i="1" s="1"/>
  <c r="NM13" i="1"/>
  <c r="QL13" i="1"/>
  <c r="SY12" i="1"/>
  <c r="TA12" i="1" s="1"/>
  <c r="AR12" i="1"/>
  <c r="AU12" i="1" s="1"/>
  <c r="BP12" i="1"/>
  <c r="DT12" i="1"/>
  <c r="DW12" i="1" s="1"/>
  <c r="FD12" i="1"/>
  <c r="FG12" i="1" s="1"/>
  <c r="HD12" i="1"/>
  <c r="HG12" i="1" s="1"/>
  <c r="IB12" i="1"/>
  <c r="IE12" i="1" s="1"/>
  <c r="QF12" i="1"/>
  <c r="QL12" i="1" s="1"/>
  <c r="JB13" i="1"/>
  <c r="PF13" i="1"/>
  <c r="PV13" i="1"/>
  <c r="SX13" i="1"/>
  <c r="FY14" i="1"/>
  <c r="IO14" i="1"/>
  <c r="LL14" i="1"/>
  <c r="MB14" i="1"/>
  <c r="NA14" i="1"/>
  <c r="NQ14" i="1"/>
  <c r="OR14" i="1"/>
  <c r="QS14" i="1"/>
  <c r="SC14" i="1"/>
  <c r="AH16" i="1"/>
  <c r="BS16" i="1"/>
  <c r="DW16" i="1"/>
  <c r="FV16" i="1"/>
  <c r="HV16" i="1"/>
  <c r="IX16" i="1"/>
  <c r="PF16" i="1"/>
  <c r="PV16" i="1"/>
  <c r="BS17" i="1"/>
  <c r="BW17" i="1"/>
  <c r="DW17" i="1"/>
  <c r="EA17" i="1"/>
  <c r="JF17" i="1"/>
  <c r="PN17" i="1"/>
  <c r="QD17" i="1"/>
  <c r="PB18" i="1"/>
  <c r="PR18" i="1"/>
  <c r="RJ13" i="1"/>
  <c r="RJ12" i="1" s="1"/>
  <c r="RN12" i="1" s="1"/>
  <c r="RN20" i="1"/>
  <c r="RR13" i="1"/>
  <c r="RR12" i="1" s="1"/>
  <c r="RU12" i="1" s="1"/>
  <c r="QS19" i="1"/>
  <c r="PN70" i="1"/>
  <c r="PN69" i="1" s="1"/>
  <c r="PK69" i="1"/>
  <c r="PK12" i="1" s="1"/>
  <c r="PN12" i="1" s="1"/>
  <c r="QD70" i="1"/>
  <c r="QD69" i="1" s="1"/>
  <c r="QA69" i="1"/>
  <c r="QA12" i="1" s="1"/>
  <c r="QD12" i="1" s="1"/>
  <c r="LX77" i="1"/>
  <c r="LV76" i="1"/>
  <c r="LV12" i="1" s="1"/>
  <c r="OR77" i="1"/>
  <c r="OD76" i="1"/>
  <c r="HG17" i="1"/>
  <c r="QZ20" i="1"/>
  <c r="T60" i="1"/>
  <c r="AL60" i="1"/>
  <c r="CX60" i="1"/>
  <c r="IT60" i="1"/>
  <c r="LD60" i="1"/>
  <c r="LH60" i="1"/>
  <c r="DB60" i="1"/>
  <c r="IX60" i="1"/>
  <c r="LL60" i="1"/>
  <c r="CQ17" i="1"/>
  <c r="EU17" i="1"/>
  <c r="EO18" i="1"/>
  <c r="GW18" i="1"/>
  <c r="HZ18" i="1"/>
  <c r="JB18" i="1"/>
  <c r="MW18" i="1"/>
  <c r="NI18" i="1"/>
  <c r="NY18" i="1"/>
  <c r="OX18" i="1"/>
  <c r="PF18" i="1"/>
  <c r="PV18" i="1"/>
  <c r="QS18" i="1"/>
  <c r="RN18" i="1"/>
  <c r="SG18" i="1"/>
  <c r="L19" i="1"/>
  <c r="BL19" i="1"/>
  <c r="GN19" i="1"/>
  <c r="HQ19" i="1"/>
  <c r="LD19" i="1"/>
  <c r="LT19" i="1"/>
  <c r="NI19" i="1"/>
  <c r="NY19" i="1"/>
  <c r="QZ19" i="1"/>
  <c r="RU19" i="1"/>
  <c r="SN19" i="1"/>
  <c r="L20" i="1"/>
  <c r="AA20" i="1"/>
  <c r="BS20" i="1"/>
  <c r="DK20" i="1"/>
  <c r="EU20" i="1"/>
  <c r="GE20" i="1"/>
  <c r="HL20" i="1"/>
  <c r="LD20" i="1"/>
  <c r="LT20" i="1"/>
  <c r="OR20" i="1"/>
  <c r="SN20" i="1"/>
  <c r="OX60" i="1"/>
  <c r="DE65" i="1"/>
  <c r="LD65" i="1"/>
  <c r="MF65" i="1"/>
  <c r="PF60" i="1"/>
  <c r="PV60" i="1"/>
  <c r="LX65" i="1"/>
  <c r="OR65" i="1"/>
  <c r="IO65" i="1"/>
  <c r="LX69" i="1"/>
  <c r="HV70" i="1"/>
  <c r="HS69" i="1"/>
  <c r="PF70" i="1"/>
  <c r="PF69" i="1" s="1"/>
  <c r="PV70" i="1"/>
  <c r="PV69" i="1" s="1"/>
  <c r="GN76" i="1"/>
  <c r="LX76" i="1"/>
  <c r="LD69" i="1"/>
  <c r="MF69" i="1"/>
  <c r="PJ70" i="1"/>
  <c r="PJ69" i="1" s="1"/>
  <c r="PZ70" i="1"/>
  <c r="PZ69" i="1" s="1"/>
  <c r="EH13" i="1" l="1"/>
  <c r="J12" i="1"/>
  <c r="L12" i="1" s="1"/>
  <c r="BS13" i="1"/>
  <c r="BS12" i="1"/>
  <c r="SN13" i="1"/>
  <c r="LX12" i="1"/>
  <c r="OR76" i="1"/>
  <c r="OD12" i="1"/>
  <c r="OR12" i="1" s="1"/>
  <c r="RN13" i="1"/>
  <c r="HV69" i="1"/>
  <c r="HS12" i="1"/>
  <c r="HV12" i="1" s="1"/>
  <c r="E12" i="1"/>
  <c r="H12" i="1" s="1"/>
  <c r="H13" i="1"/>
  <c r="HB13" i="1"/>
  <c r="SC13" i="1"/>
  <c r="RZ12" i="1"/>
  <c r="SC12" i="1" s="1"/>
  <c r="RU13" i="1"/>
</calcChain>
</file>

<file path=xl/sharedStrings.xml><?xml version="1.0" encoding="utf-8"?>
<sst xmlns="http://schemas.openxmlformats.org/spreadsheetml/2006/main" count="870" uniqueCount="250">
  <si>
    <t xml:space="preserve">MES : </t>
  </si>
  <si>
    <t>Ubigeo</t>
  </si>
  <si>
    <t>UBIGEO y Código RENAES</t>
  </si>
  <si>
    <t>Dpto, Provincias, Distritos y Establecimientos</t>
  </si>
  <si>
    <t>A.-  Menores de 01 Año</t>
  </si>
  <si>
    <t>B-  01 Año</t>
  </si>
  <si>
    <t>Pob. Prog.</t>
  </si>
  <si>
    <t>C.- 02 Años</t>
  </si>
  <si>
    <t>D.- 03 Años</t>
  </si>
  <si>
    <t>E.- 04 Años</t>
  </si>
  <si>
    <t>F.dT ADULTO EN MUJERES EN EDAD REPRODUCTIVA (M.E.R.) DE 10 A 60 AÑOS</t>
  </si>
  <si>
    <t>G. dT ADULTO</t>
  </si>
  <si>
    <t>H.- INFLUENZA ESTACIONAL EN OTROS GRUPOS (MAYORES DE 5 AÑOS)</t>
  </si>
  <si>
    <t xml:space="preserve">G. DT Adulto </t>
  </si>
  <si>
    <t>O.- NEUMOCOCO</t>
  </si>
  <si>
    <t>P.- DT</t>
  </si>
  <si>
    <t>Q.-VARICELA</t>
  </si>
  <si>
    <t>N2.- VPH-9 AÑOS A MAS</t>
  </si>
  <si>
    <t>E2.- 05 A 07 AÑOS</t>
  </si>
  <si>
    <t>J.1.HEPATITIS / PERSONAS DE RIESGO</t>
  </si>
  <si>
    <t>C-  02 Año</t>
  </si>
  <si>
    <t>D-  03 Año</t>
  </si>
  <si>
    <t>E-  04 Año</t>
  </si>
  <si>
    <t>S.- Haemophilus Influenzae tipo b (Hib)</t>
  </si>
  <si>
    <t>REFUERZO DE PENTAVALENTE</t>
  </si>
  <si>
    <t>SPR-SARAMPION</t>
  </si>
  <si>
    <t>BCG</t>
  </si>
  <si>
    <t>HvB</t>
  </si>
  <si>
    <t>Antipolio</t>
  </si>
  <si>
    <t>Pentavalente</t>
  </si>
  <si>
    <t>Para reacciones adversas a Pentavalente</t>
  </si>
  <si>
    <t>SPR Dosis Cero 6 -11 M</t>
  </si>
  <si>
    <t>Rotavirus</t>
  </si>
  <si>
    <t>Neumococo</t>
  </si>
  <si>
    <t>Influenza</t>
  </si>
  <si>
    <t>Antipolio (IPV) (Población en Riesgo)</t>
  </si>
  <si>
    <t>SPR</t>
  </si>
  <si>
    <t xml:space="preserve">INFLUENZA </t>
  </si>
  <si>
    <t xml:space="preserve">VARICELA </t>
  </si>
  <si>
    <t>12 a 23 Meses</t>
  </si>
  <si>
    <t>15 Meses</t>
  </si>
  <si>
    <t>18 Meses</t>
  </si>
  <si>
    <t>Niños que no fueron vacunados oportunamente según Calendario</t>
  </si>
  <si>
    <t>VARICELA</t>
  </si>
  <si>
    <t>AMA (Los q viajan  zonas endemicas)</t>
  </si>
  <si>
    <t>Ref. DPT</t>
  </si>
  <si>
    <t>Ref. IPV</t>
  </si>
  <si>
    <t>Ref. APO</t>
  </si>
  <si>
    <t>B2.-  01 AÑO</t>
  </si>
  <si>
    <t>C2.-  DE 02 AÑOS</t>
  </si>
  <si>
    <t>D2.-  DE 03 AÑOS</t>
  </si>
  <si>
    <t>E2.-  DE 04 AÑOS</t>
  </si>
  <si>
    <t>F2.-  DE 05 - 07 AÑOS</t>
  </si>
  <si>
    <t>DU</t>
  </si>
  <si>
    <t>IPV</t>
  </si>
  <si>
    <t>APO</t>
  </si>
  <si>
    <t>Dt (p)</t>
  </si>
  <si>
    <t>HiB</t>
  </si>
  <si>
    <t>Neumococo (Iniciaron vacunación después de 01a)</t>
  </si>
  <si>
    <t>Anti Amarílica</t>
  </si>
  <si>
    <t>Ref.</t>
  </si>
  <si>
    <t>BCG (Contactos de TB-P)</t>
  </si>
  <si>
    <t>Con Comorbilidad</t>
  </si>
  <si>
    <t>Sin Comorbilidad</t>
  </si>
  <si>
    <t>Con Morbilidad</t>
  </si>
  <si>
    <t>Sin Morbilidad</t>
  </si>
  <si>
    <t>Refuerzo DPT</t>
  </si>
  <si>
    <t>Refuerzo Antipolio (IPV)</t>
  </si>
  <si>
    <t>I.SR-SARAMIPON - RUBEOLA</t>
  </si>
  <si>
    <t>J.- Población de 12 a 59 Años:  Vacunación contra la Hepatitis B /Personas en Riesgo</t>
  </si>
  <si>
    <t>K.- Antiamarilica (Población no Vacunada y Persona que viaja a zonas endémicas)</t>
  </si>
  <si>
    <t>L.- Solo Gestantes -  Vacuna combinada dtpa</t>
  </si>
  <si>
    <t>M.- MAYORES DE 60 AÑOS NEUMOCOCO</t>
  </si>
  <si>
    <t>Vacunación Antirrabica Humana</t>
  </si>
  <si>
    <t xml:space="preserve">N1. Niñas con Vacunación contra el Virus del Papiloma Humano 5to Grado 
</t>
  </si>
  <si>
    <t>1º</t>
  </si>
  <si>
    <t>2º</t>
  </si>
  <si>
    <t>TOTAL</t>
  </si>
  <si>
    <t>3º</t>
  </si>
  <si>
    <t>Prot.</t>
  </si>
  <si>
    <t>2m</t>
  </si>
  <si>
    <t>4m</t>
  </si>
  <si>
    <t>TOT</t>
  </si>
  <si>
    <t>PROT</t>
  </si>
  <si>
    <t>3m</t>
  </si>
  <si>
    <t>5m</t>
  </si>
  <si>
    <t>6m</t>
  </si>
  <si>
    <t>DPT</t>
  </si>
  <si>
    <t>HBV</t>
  </si>
  <si>
    <t>HIB</t>
  </si>
  <si>
    <t>Tot.</t>
  </si>
  <si>
    <t>NO GESTANTES</t>
  </si>
  <si>
    <t>GESTANTES</t>
  </si>
  <si>
    <t>Varones en Riesgo</t>
  </si>
  <si>
    <t>Otros Grupos en Riesgo</t>
  </si>
  <si>
    <t>Poblacion  de 5 a 49 Años y Grupos de Riesgo</t>
  </si>
  <si>
    <t xml:space="preserve">Varones en Riesgo </t>
  </si>
  <si>
    <t>Vacuna neumococo</t>
  </si>
  <si>
    <t>DOSIS ADICIONALES</t>
  </si>
  <si>
    <t>EDAD</t>
  </si>
  <si>
    <t>ANTIPOLIO</t>
  </si>
  <si>
    <t>9 años</t>
  </si>
  <si>
    <t>10 años</t>
  </si>
  <si>
    <t>11 años</t>
  </si>
  <si>
    <t>12 años</t>
  </si>
  <si>
    <t>13 años</t>
  </si>
  <si>
    <t>14 años a mas</t>
  </si>
  <si>
    <t>24H</t>
  </si>
  <si>
    <t>28d</t>
  </si>
  <si>
    <t>1m a 11m</t>
  </si>
  <si>
    <t>12H</t>
  </si>
  <si>
    <t>7 DIAS</t>
  </si>
  <si>
    <t>DOSIS 0</t>
  </si>
  <si>
    <t>3 dosis</t>
  </si>
  <si>
    <t>1°</t>
  </si>
  <si>
    <t>2°</t>
  </si>
  <si>
    <t>Total</t>
  </si>
  <si>
    <t>total</t>
  </si>
  <si>
    <t>1ª</t>
  </si>
  <si>
    <t>5-9 Años</t>
  </si>
  <si>
    <t>10-11 Años</t>
  </si>
  <si>
    <t>DT.3ra</t>
  </si>
  <si>
    <t>12-17 Años</t>
  </si>
  <si>
    <t>DT.3ta</t>
  </si>
  <si>
    <t>18-29 Años</t>
  </si>
  <si>
    <t>30-49 Años</t>
  </si>
  <si>
    <t>50-59 Años</t>
  </si>
  <si>
    <t>60+ Años</t>
  </si>
  <si>
    <t>DT.5ra</t>
  </si>
  <si>
    <t xml:space="preserve">18-29 Años </t>
  </si>
  <si>
    <t>50-60 Años</t>
  </si>
  <si>
    <t>12 - 17 Años</t>
  </si>
  <si>
    <t>18 - 29 Años</t>
  </si>
  <si>
    <t>30 - 59 Años</t>
  </si>
  <si>
    <t>60A mas</t>
  </si>
  <si>
    <t>5 a 11 Años</t>
  </si>
  <si>
    <t>12 a 17 Años</t>
  </si>
  <si>
    <t>18 a 29 Años</t>
  </si>
  <si>
    <t>30 a 49 Años</t>
  </si>
  <si>
    <t>50 a 59 Años</t>
  </si>
  <si>
    <t>Mayores de 60 Años</t>
  </si>
  <si>
    <t>Gestantes</t>
  </si>
  <si>
    <t>Puerperas</t>
  </si>
  <si>
    <t>Personal de Salud</t>
  </si>
  <si>
    <t>Fenómeno del Niño</t>
  </si>
  <si>
    <t>Policia Nacional</t>
  </si>
  <si>
    <t>Fuerzas Armadas</t>
  </si>
  <si>
    <t>Bombero</t>
  </si>
  <si>
    <t>Defensa Civil</t>
  </si>
  <si>
    <t>Estudiantes de Salud</t>
  </si>
  <si>
    <t>Cruz Roja</t>
  </si>
  <si>
    <t>Persona Privada de su Libertad</t>
  </si>
  <si>
    <t>Casa Reposo, de Rehabilitación</t>
  </si>
  <si>
    <t>Heladas y Friaje</t>
  </si>
  <si>
    <t>Comunidades Nativas</t>
  </si>
  <si>
    <t>Serenazgo</t>
  </si>
  <si>
    <t>Persona Discapacitada</t>
  </si>
  <si>
    <t>Otros</t>
  </si>
  <si>
    <t xml:space="preserve">Solo los que no completaron su esquema </t>
  </si>
  <si>
    <t xml:space="preserve">50 a 59 años </t>
  </si>
  <si>
    <t>Personal Aeropuerto</t>
  </si>
  <si>
    <t>Personal Terrapuerto</t>
  </si>
  <si>
    <t>Zona de Frontera</t>
  </si>
  <si>
    <t>Particip. eventos Masivos</t>
  </si>
  <si>
    <t>POBLACION QUE VIAJA A ZONAS EDEMICAS</t>
  </si>
  <si>
    <t>Pobla. Indigena</t>
  </si>
  <si>
    <t>De 5 a 11 Años</t>
  </si>
  <si>
    <t>De 12 a 17 Años</t>
  </si>
  <si>
    <t>De 18 a 29 Años</t>
  </si>
  <si>
    <t>De 30 a 59 Años</t>
  </si>
  <si>
    <t>De 60 años a mas</t>
  </si>
  <si>
    <t>Personal Viviendo con VIH</t>
  </si>
  <si>
    <t>30 a 59 Años</t>
  </si>
  <si>
    <t>12-17 años</t>
  </si>
  <si>
    <t>18 - 29 años</t>
  </si>
  <si>
    <t>30 - 49 años</t>
  </si>
  <si>
    <t>50 - mas</t>
  </si>
  <si>
    <t>60 mas</t>
  </si>
  <si>
    <t xml:space="preserve">De 0 a 11 </t>
  </si>
  <si>
    <t>De 12 a 17</t>
  </si>
  <si>
    <t>De 18 a 29</t>
  </si>
  <si>
    <t>De 30 a 59</t>
  </si>
  <si>
    <t>De 60+ a</t>
  </si>
  <si>
    <t>9 Años</t>
  </si>
  <si>
    <t>10 Años</t>
  </si>
  <si>
    <t>11 Años</t>
  </si>
  <si>
    <t>12 Años</t>
  </si>
  <si>
    <t>13 Años</t>
  </si>
  <si>
    <t>Mayores de 13 Años</t>
  </si>
  <si>
    <t xml:space="preserve">5 - 9 años </t>
  </si>
  <si>
    <t xml:space="preserve">10 - 14 años </t>
  </si>
  <si>
    <t>CON COMORBI 5-11a</t>
  </si>
  <si>
    <t>SIN COMORBi 50-59a</t>
  </si>
  <si>
    <t>60 A + AÑOS</t>
  </si>
  <si>
    <t>PER.VIVE C/ VIH(5-59a)</t>
  </si>
  <si>
    <t>PAC. ESPLÉNICOS Y
ONCOHEMATOLÓGICOS
(5-59a)</t>
  </si>
  <si>
    <t>PERSONAL DE SALUD</t>
  </si>
  <si>
    <t>CON COMORBI 12-17a</t>
  </si>
  <si>
    <t>CON COMORBI 18-29a</t>
  </si>
  <si>
    <t>CON COMORBI 30-49a</t>
  </si>
  <si>
    <t>CON COMORBI 50-59a</t>
  </si>
  <si>
    <t>SIN COMORBI 05-11a</t>
  </si>
  <si>
    <t>SIN COMORBI 12-17a</t>
  </si>
  <si>
    <t>SIN COMORBI 18-29a</t>
  </si>
  <si>
    <t>SIN COMORBI 30-49a</t>
  </si>
  <si>
    <t>1  año</t>
  </si>
  <si>
    <t>2 años</t>
  </si>
  <si>
    <t>3 años</t>
  </si>
  <si>
    <t>4 años</t>
  </si>
  <si>
    <t>5 años</t>
  </si>
  <si>
    <t>6 años a mas</t>
  </si>
  <si>
    <t>3°</t>
  </si>
  <si>
    <t>Hepatitis A</t>
  </si>
  <si>
    <t>1 año</t>
  </si>
  <si>
    <t>4años</t>
  </si>
  <si>
    <t>5-6 años</t>
  </si>
  <si>
    <t>5-10 años</t>
  </si>
  <si>
    <t>11-59 años</t>
  </si>
  <si>
    <t>Trabajador de Salud</t>
  </si>
  <si>
    <t>Tot</t>
  </si>
  <si>
    <t>Nº</t>
  </si>
  <si>
    <t>Dosis Única</t>
  </si>
  <si>
    <t>1</t>
  </si>
  <si>
    <t xml:space="preserve">Total </t>
  </si>
  <si>
    <t>M</t>
  </si>
  <si>
    <t>F</t>
  </si>
  <si>
    <t>RED</t>
  </si>
  <si>
    <t>RED DE SALUD CHANCHAMAYO</t>
  </si>
  <si>
    <t>PROV</t>
  </si>
  <si>
    <t>PROVINCIA CHANCHAMAYO</t>
  </si>
  <si>
    <t>ZS LM</t>
  </si>
  <si>
    <t>ZONA SANITARIA LA MERCED</t>
  </si>
  <si>
    <t>ZS PE</t>
  </si>
  <si>
    <t>ZONA SANITARIA PERENE</t>
  </si>
  <si>
    <t>ZS PY</t>
  </si>
  <si>
    <t>ZONA SANITARIA PUERTO YURINAKI</t>
  </si>
  <si>
    <t>ZS KI</t>
  </si>
  <si>
    <t>ZONA SANITARIA SAN FERNANDO DE KIVINAKI</t>
  </si>
  <si>
    <t>ZS SL</t>
  </si>
  <si>
    <t>ZONA SANITARIA SAN LUIS DE SHUARO</t>
  </si>
  <si>
    <t>ZS SR</t>
  </si>
  <si>
    <t>ZONA SANITARIA SAN RAMON</t>
  </si>
  <si>
    <t>DISTRITO CHANCHAMAYO</t>
  </si>
  <si>
    <t>C.S. LA MERCED</t>
  </si>
  <si>
    <t>ESSALUD</t>
  </si>
  <si>
    <t>P.S.  VILLA DORADA</t>
  </si>
  <si>
    <t>P.S.  VILLA PROGRESO</t>
  </si>
  <si>
    <t>P.S.  PUEBLO PARDO</t>
  </si>
  <si>
    <t>LUZ DE CHANCHAMAYO</t>
  </si>
  <si>
    <t>DISTRITO PERENE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</si>
</sst>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\-??_ ;_ @_ "/>
  </numFmts>
  <fonts count="6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i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Arial"/>
      <family val="2"/>
    </font>
    <font>
      <sz val="7.5"/>
      <name val="Arial Narrow"/>
      <family val="2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8"/>
      <color indexed="12"/>
      <name val="Arial"/>
      <family val="2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Verdana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</font>
    <font>
      <b/>
      <sz val="10"/>
      <color rgb="FF1F3964"/>
      <name val="Calibri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0"/>
      <color theme="1"/>
      <name val="Calibri"/>
      <family val="2"/>
      <charset val="1"/>
      <scheme val="minor"/>
    </font>
    <font>
      <b/>
      <sz val="8"/>
      <color rgb="FF5C9BD5"/>
      <name val="Calibri"/>
      <family val="2"/>
    </font>
    <font>
      <b/>
      <sz val="8"/>
      <name val="Calibri"/>
      <family val="2"/>
    </font>
    <font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FFFFFF"/>
      <name val="Calibri"/>
      <family val="2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8"/>
      <color rgb="FFFF0000"/>
      <name val="Arial"/>
      <family val="2"/>
    </font>
    <font>
      <b/>
      <sz val="1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8"/>
      <color indexed="12"/>
      <name val="Arial"/>
      <family val="2"/>
    </font>
    <font>
      <sz val="10"/>
      <name val="Calibri"/>
      <family val="2"/>
    </font>
    <font>
      <sz val="12"/>
      <name val="Courier"/>
      <family val="3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sz val="12"/>
      <name val="Arial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7"/>
      <name val="Arial"/>
      <family val="2"/>
    </font>
    <font>
      <sz val="11"/>
      <name val="Arial"/>
      <family val="2"/>
    </font>
    <font>
      <sz val="10"/>
      <color theme="8" tint="-0.499984740745262"/>
      <name val="Calibri"/>
      <family val="2"/>
      <scheme val="minor"/>
    </font>
    <font>
      <sz val="8"/>
      <color theme="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FF3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FFF"/>
        <bgColor rgb="FFDEEBF7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38" fillId="0" borderId="0"/>
    <xf numFmtId="0" fontId="56" fillId="0" borderId="0"/>
  </cellStyleXfs>
  <cellXfs count="271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0" xfId="0" applyFill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2" borderId="0" xfId="0" applyFont="1" applyFill="1" applyAlignment="1">
      <alignment horizontal="left"/>
    </xf>
    <xf numFmtId="0" fontId="11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1" fontId="17" fillId="6" borderId="1" xfId="0" applyNumberFormat="1" applyFont="1" applyFill="1" applyBorder="1" applyAlignment="1">
      <alignment horizontal="center"/>
    </xf>
    <xf numFmtId="1" fontId="17" fillId="8" borderId="1" xfId="0" applyNumberFormat="1" applyFont="1" applyFill="1" applyBorder="1" applyAlignment="1">
      <alignment horizontal="center"/>
    </xf>
    <xf numFmtId="1" fontId="21" fillId="5" borderId="1" xfId="0" applyNumberFormat="1" applyFont="1" applyFill="1" applyBorder="1" applyAlignment="1">
      <alignment horizontal="center"/>
    </xf>
    <xf numFmtId="1" fontId="17" fillId="8" borderId="9" xfId="0" applyNumberFormat="1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7" borderId="1" xfId="0" applyNumberFormat="1" applyFont="1" applyFill="1" applyBorder="1" applyAlignment="1">
      <alignment horizontal="center"/>
    </xf>
    <xf numFmtId="0" fontId="22" fillId="11" borderId="1" xfId="3" applyFont="1" applyFill="1" applyBorder="1" applyAlignment="1">
      <alignment horizontal="center" vertical="center"/>
    </xf>
    <xf numFmtId="0" fontId="23" fillId="11" borderId="1" xfId="4" applyFont="1" applyFill="1" applyBorder="1" applyAlignment="1">
      <alignment horizontal="center" vertical="center"/>
    </xf>
    <xf numFmtId="0" fontId="23" fillId="11" borderId="1" xfId="4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/>
    </xf>
    <xf numFmtId="1" fontId="25" fillId="9" borderId="1" xfId="3" applyNumberFormat="1" applyFont="1" applyFill="1" applyBorder="1" applyAlignment="1">
      <alignment horizontal="center" vertical="center"/>
    </xf>
    <xf numFmtId="1" fontId="26" fillId="9" borderId="13" xfId="4" applyNumberFormat="1" applyFont="1" applyFill="1" applyBorder="1" applyAlignment="1">
      <alignment horizontal="center" vertical="center"/>
    </xf>
    <xf numFmtId="1" fontId="26" fillId="9" borderId="1" xfId="4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1" fontId="28" fillId="0" borderId="1" xfId="5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30" fillId="0" borderId="1" xfId="0" applyFont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30" fillId="9" borderId="2" xfId="0" applyFont="1" applyFill="1" applyBorder="1" applyAlignment="1">
      <alignment horizontal="center"/>
    </xf>
    <xf numFmtId="0" fontId="30" fillId="9" borderId="4" xfId="0" applyFont="1" applyFill="1" applyBorder="1" applyAlignment="1">
      <alignment horizontal="center"/>
    </xf>
    <xf numFmtId="1" fontId="17" fillId="9" borderId="9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1" fontId="34" fillId="0" borderId="1" xfId="5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13" borderId="1" xfId="0" applyFont="1" applyFill="1" applyBorder="1" applyAlignment="1">
      <alignment horizontal="center" vertical="center"/>
    </xf>
    <xf numFmtId="164" fontId="38" fillId="13" borderId="1" xfId="6" applyNumberFormat="1" applyFill="1" applyBorder="1" applyAlignment="1">
      <alignment horizontal="left"/>
    </xf>
    <xf numFmtId="0" fontId="39" fillId="13" borderId="1" xfId="0" applyFont="1" applyFill="1" applyBorder="1" applyAlignment="1">
      <alignment horizontal="center"/>
    </xf>
    <xf numFmtId="1" fontId="40" fillId="14" borderId="1" xfId="0" applyNumberFormat="1" applyFont="1" applyFill="1" applyBorder="1" applyAlignment="1">
      <alignment horizontal="center"/>
    </xf>
    <xf numFmtId="164" fontId="38" fillId="13" borderId="1" xfId="6" applyNumberFormat="1" applyFill="1" applyBorder="1"/>
    <xf numFmtId="164" fontId="38" fillId="13" borderId="1" xfId="6" applyNumberFormat="1" applyFill="1" applyBorder="1" applyAlignment="1">
      <alignment horizontal="center"/>
    </xf>
    <xf numFmtId="0" fontId="40" fillId="13" borderId="1" xfId="0" applyFont="1" applyFill="1" applyBorder="1" applyAlignment="1">
      <alignment horizontal="center"/>
    </xf>
    <xf numFmtId="0" fontId="38" fillId="13" borderId="1" xfId="6" applyFill="1" applyBorder="1" applyAlignment="1">
      <alignment horizontal="center"/>
    </xf>
    <xf numFmtId="164" fontId="38" fillId="8" borderId="1" xfId="6" applyNumberFormat="1" applyFill="1" applyBorder="1"/>
    <xf numFmtId="164" fontId="38" fillId="10" borderId="1" xfId="6" applyNumberFormat="1" applyFill="1" applyBorder="1"/>
    <xf numFmtId="164" fontId="41" fillId="5" borderId="1" xfId="6" applyNumberFormat="1" applyFont="1" applyFill="1" applyBorder="1"/>
    <xf numFmtId="1" fontId="42" fillId="5" borderId="1" xfId="0" applyNumberFormat="1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1" fontId="40" fillId="8" borderId="1" xfId="0" applyNumberFormat="1" applyFont="1" applyFill="1" applyBorder="1" applyAlignment="1">
      <alignment horizontal="center"/>
    </xf>
    <xf numFmtId="1" fontId="40" fillId="8" borderId="9" xfId="0" applyNumberFormat="1" applyFont="1" applyFill="1" applyBorder="1" applyAlignment="1">
      <alignment horizontal="center"/>
    </xf>
    <xf numFmtId="0" fontId="38" fillId="13" borderId="1" xfId="6" applyFill="1" applyBorder="1"/>
    <xf numFmtId="0" fontId="43" fillId="0" borderId="1" xfId="6" applyFont="1" applyBorder="1"/>
    <xf numFmtId="1" fontId="40" fillId="13" borderId="1" xfId="0" applyNumberFormat="1" applyFont="1" applyFill="1" applyBorder="1" applyAlignment="1">
      <alignment horizontal="center"/>
    </xf>
    <xf numFmtId="0" fontId="44" fillId="5" borderId="1" xfId="0" applyFont="1" applyFill="1" applyBorder="1"/>
    <xf numFmtId="1" fontId="45" fillId="13" borderId="1" xfId="0" applyNumberFormat="1" applyFont="1" applyFill="1" applyBorder="1" applyAlignment="1">
      <alignment horizontal="center"/>
    </xf>
    <xf numFmtId="0" fontId="46" fillId="13" borderId="1" xfId="0" applyFont="1" applyFill="1" applyBorder="1"/>
    <xf numFmtId="1" fontId="45" fillId="0" borderId="1" xfId="0" applyNumberFormat="1" applyFont="1" applyBorder="1" applyAlignment="1">
      <alignment horizontal="center"/>
    </xf>
    <xf numFmtId="0" fontId="46" fillId="0" borderId="1" xfId="0" applyFont="1" applyBorder="1"/>
    <xf numFmtId="0" fontId="45" fillId="15" borderId="1" xfId="0" applyFont="1" applyFill="1" applyBorder="1" applyAlignment="1">
      <alignment horizontal="center"/>
    </xf>
    <xf numFmtId="1" fontId="45" fillId="15" borderId="1" xfId="0" applyNumberFormat="1" applyFont="1" applyFill="1" applyBorder="1" applyAlignment="1">
      <alignment horizontal="center"/>
    </xf>
    <xf numFmtId="0" fontId="47" fillId="13" borderId="2" xfId="0" applyFont="1" applyFill="1" applyBorder="1"/>
    <xf numFmtId="0" fontId="47" fillId="13" borderId="1" xfId="0" applyFont="1" applyFill="1" applyBorder="1"/>
    <xf numFmtId="0" fontId="47" fillId="13" borderId="4" xfId="0" applyFont="1" applyFill="1" applyBorder="1"/>
    <xf numFmtId="0" fontId="48" fillId="16" borderId="2" xfId="0" applyFont="1" applyFill="1" applyBorder="1"/>
    <xf numFmtId="0" fontId="48" fillId="16" borderId="1" xfId="0" applyFont="1" applyFill="1" applyBorder="1"/>
    <xf numFmtId="0" fontId="48" fillId="16" borderId="4" xfId="0" applyFont="1" applyFill="1" applyBorder="1"/>
    <xf numFmtId="0" fontId="4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164" fontId="38" fillId="0" borderId="1" xfId="6" applyNumberFormat="1" applyBorder="1"/>
    <xf numFmtId="164" fontId="38" fillId="0" borderId="1" xfId="6" applyNumberFormat="1" applyBorder="1" applyAlignment="1">
      <alignment horizontal="left"/>
    </xf>
    <xf numFmtId="164" fontId="38" fillId="0" borderId="1" xfId="6" applyNumberFormat="1" applyBorder="1" applyAlignment="1">
      <alignment horizontal="center"/>
    </xf>
    <xf numFmtId="0" fontId="38" fillId="0" borderId="1" xfId="6" applyBorder="1" applyAlignment="1">
      <alignment horizontal="center"/>
    </xf>
    <xf numFmtId="0" fontId="38" fillId="0" borderId="1" xfId="6" applyBorder="1"/>
    <xf numFmtId="1" fontId="34" fillId="13" borderId="1" xfId="5" applyNumberFormat="1" applyFont="1" applyFill="1" applyBorder="1" applyAlignment="1">
      <alignment horizontal="center" vertical="center"/>
    </xf>
    <xf numFmtId="0" fontId="50" fillId="13" borderId="7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left" vertical="center"/>
    </xf>
    <xf numFmtId="164" fontId="51" fillId="13" borderId="1" xfId="6" applyNumberFormat="1" applyFont="1" applyFill="1" applyBorder="1"/>
    <xf numFmtId="164" fontId="51" fillId="13" borderId="1" xfId="6" applyNumberFormat="1" applyFont="1" applyFill="1" applyBorder="1" applyAlignment="1">
      <alignment horizontal="left"/>
    </xf>
    <xf numFmtId="164" fontId="51" fillId="13" borderId="1" xfId="6" applyNumberFormat="1" applyFont="1" applyFill="1" applyBorder="1" applyAlignment="1">
      <alignment horizontal="center"/>
    </xf>
    <xf numFmtId="0" fontId="51" fillId="13" borderId="1" xfId="6" applyFont="1" applyFill="1" applyBorder="1" applyAlignment="1">
      <alignment horizontal="center"/>
    </xf>
    <xf numFmtId="164" fontId="51" fillId="8" borderId="1" xfId="6" applyNumberFormat="1" applyFont="1" applyFill="1" applyBorder="1"/>
    <xf numFmtId="164" fontId="51" fillId="10" borderId="1" xfId="6" applyNumberFormat="1" applyFont="1" applyFill="1" applyBorder="1"/>
    <xf numFmtId="164" fontId="52" fillId="5" borderId="1" xfId="6" applyNumberFormat="1" applyFont="1" applyFill="1" applyBorder="1"/>
    <xf numFmtId="164" fontId="43" fillId="13" borderId="1" xfId="6" applyNumberFormat="1" applyFont="1" applyFill="1" applyBorder="1"/>
    <xf numFmtId="164" fontId="53" fillId="13" borderId="1" xfId="6" applyNumberFormat="1" applyFont="1" applyFill="1" applyBorder="1"/>
    <xf numFmtId="0" fontId="51" fillId="13" borderId="1" xfId="6" applyFont="1" applyFill="1" applyBorder="1"/>
    <xf numFmtId="0" fontId="37" fillId="0" borderId="1" xfId="0" applyFont="1" applyBorder="1" applyAlignment="1">
      <alignment horizontal="center" vertical="center"/>
    </xf>
    <xf numFmtId="1" fontId="54" fillId="13" borderId="1" xfId="0" applyNumberFormat="1" applyFont="1" applyFill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7" fillId="13" borderId="13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/>
    </xf>
    <xf numFmtId="1" fontId="17" fillId="17" borderId="9" xfId="0" applyNumberFormat="1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164" fontId="30" fillId="10" borderId="1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164" fontId="38" fillId="0" borderId="0" xfId="6" applyNumberFormat="1"/>
    <xf numFmtId="0" fontId="40" fillId="0" borderId="1" xfId="0" applyFont="1" applyBorder="1" applyAlignment="1">
      <alignment horizontal="center"/>
    </xf>
    <xf numFmtId="0" fontId="47" fillId="0" borderId="2" xfId="0" applyFont="1" applyBorder="1"/>
    <xf numFmtId="0" fontId="47" fillId="0" borderId="1" xfId="0" applyFont="1" applyBorder="1"/>
    <xf numFmtId="0" fontId="47" fillId="0" borderId="4" xfId="0" applyFont="1" applyBorder="1"/>
    <xf numFmtId="0" fontId="48" fillId="0" borderId="2" xfId="0" applyFont="1" applyBorder="1"/>
    <xf numFmtId="0" fontId="48" fillId="0" borderId="1" xfId="0" applyFont="1" applyBorder="1"/>
    <xf numFmtId="0" fontId="48" fillId="0" borderId="4" xfId="0" applyFont="1" applyBorder="1"/>
    <xf numFmtId="1" fontId="24" fillId="9" borderId="1" xfId="0" applyNumberFormat="1" applyFont="1" applyFill="1" applyBorder="1" applyAlignment="1">
      <alignment horizontal="center" vertical="center"/>
    </xf>
    <xf numFmtId="1" fontId="30" fillId="9" borderId="1" xfId="0" applyNumberFormat="1" applyFont="1" applyFill="1" applyBorder="1" applyAlignment="1">
      <alignment horizontal="center"/>
    </xf>
    <xf numFmtId="164" fontId="30" fillId="8" borderId="1" xfId="0" applyNumberFormat="1" applyFont="1" applyFill="1" applyBorder="1" applyAlignment="1">
      <alignment horizontal="center"/>
    </xf>
    <xf numFmtId="164" fontId="30" fillId="9" borderId="1" xfId="0" applyNumberFormat="1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1" fontId="55" fillId="0" borderId="1" xfId="5" applyNumberFormat="1" applyFont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57" fillId="0" borderId="1" xfId="7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8" borderId="0" xfId="0" applyFill="1"/>
    <xf numFmtId="0" fontId="0" fillId="10" borderId="0" xfId="0" applyFill="1"/>
    <xf numFmtId="1" fontId="25" fillId="9" borderId="9" xfId="3" applyNumberFormat="1" applyFont="1" applyFill="1" applyBorder="1" applyAlignment="1">
      <alignment horizontal="center" vertical="center"/>
    </xf>
    <xf numFmtId="1" fontId="26" fillId="9" borderId="10" xfId="4" applyNumberFormat="1" applyFont="1" applyFill="1" applyBorder="1" applyAlignment="1">
      <alignment horizontal="center" vertical="center"/>
    </xf>
    <xf numFmtId="1" fontId="26" fillId="9" borderId="9" xfId="4" applyNumberFormat="1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center" vertical="center"/>
    </xf>
    <xf numFmtId="0" fontId="30" fillId="9" borderId="9" xfId="0" applyFont="1" applyFill="1" applyBorder="1" applyAlignment="1">
      <alignment horizontal="center"/>
    </xf>
    <xf numFmtId="0" fontId="30" fillId="8" borderId="9" xfId="0" applyFont="1" applyFill="1" applyBorder="1" applyAlignment="1">
      <alignment horizontal="center"/>
    </xf>
    <xf numFmtId="0" fontId="30" fillId="10" borderId="9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1" fontId="21" fillId="5" borderId="9" xfId="0" applyNumberFormat="1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1" fontId="16" fillId="7" borderId="9" xfId="0" applyNumberFormat="1" applyFont="1" applyFill="1" applyBorder="1" applyAlignment="1">
      <alignment horizontal="center"/>
    </xf>
    <xf numFmtId="0" fontId="21" fillId="9" borderId="8" xfId="0" applyFont="1" applyFill="1" applyBorder="1" applyAlignment="1">
      <alignment horizontal="center"/>
    </xf>
    <xf numFmtId="0" fontId="21" fillId="9" borderId="15" xfId="0" applyFont="1" applyFill="1" applyBorder="1" applyAlignment="1">
      <alignment horizontal="center"/>
    </xf>
    <xf numFmtId="1" fontId="28" fillId="0" borderId="0" xfId="5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1" fillId="0" borderId="0" xfId="0" applyFont="1"/>
    <xf numFmtId="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33" fillId="0" borderId="0" xfId="5" applyFont="1" applyAlignment="1">
      <alignment horizontal="center" vertical="center"/>
    </xf>
    <xf numFmtId="1" fontId="25" fillId="0" borderId="0" xfId="3" applyNumberFormat="1" applyFont="1" applyAlignment="1">
      <alignment horizontal="center" vertical="center"/>
    </xf>
    <xf numFmtId="1" fontId="26" fillId="0" borderId="0" xfId="4" applyNumberFormat="1" applyFont="1" applyAlignment="1">
      <alignment horizontal="center" vertical="center"/>
    </xf>
    <xf numFmtId="1" fontId="26" fillId="0" borderId="0" xfId="4" applyNumberFormat="1" applyFont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19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/>
    <xf numFmtId="0" fontId="33" fillId="0" borderId="1" xfId="0" applyFont="1" applyBorder="1"/>
    <xf numFmtId="0" fontId="58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vertical="center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8" fillId="0" borderId="0" xfId="0" applyFont="1"/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/>
    </xf>
    <xf numFmtId="0" fontId="19" fillId="0" borderId="1" xfId="2" applyFont="1" applyBorder="1" applyAlignment="1">
      <alignment vertical="center" wrapText="1"/>
    </xf>
    <xf numFmtId="0" fontId="6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justify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49" fontId="3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8" fillId="6" borderId="9" xfId="3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9" xfId="4" applyFont="1" applyFill="1" applyBorder="1" applyAlignment="1">
      <alignment horizontal="left" vertical="center"/>
    </xf>
    <xf numFmtId="1" fontId="5" fillId="6" borderId="9" xfId="2" applyNumberFormat="1" applyFont="1" applyFill="1" applyBorder="1" applyAlignment="1">
      <alignment horizontal="center" vertical="center"/>
    </xf>
    <xf numFmtId="1" fontId="33" fillId="6" borderId="9" xfId="0" applyNumberFormat="1" applyFont="1" applyFill="1" applyBorder="1" applyAlignment="1">
      <alignment horizontal="center"/>
    </xf>
    <xf numFmtId="1" fontId="33" fillId="8" borderId="9" xfId="0" applyNumberFormat="1" applyFont="1" applyFill="1" applyBorder="1" applyAlignment="1">
      <alignment horizontal="center"/>
    </xf>
    <xf numFmtId="1" fontId="33" fillId="10" borderId="9" xfId="0" applyNumberFormat="1" applyFont="1" applyFill="1" applyBorder="1" applyAlignment="1">
      <alignment horizontal="center"/>
    </xf>
    <xf numFmtId="1" fontId="33" fillId="5" borderId="9" xfId="0" applyNumberFormat="1" applyFont="1" applyFill="1" applyBorder="1" applyAlignment="1">
      <alignment horizontal="center"/>
    </xf>
    <xf numFmtId="1" fontId="33" fillId="4" borderId="9" xfId="0" applyNumberFormat="1" applyFont="1" applyFill="1" applyBorder="1" applyAlignment="1">
      <alignment horizontal="center"/>
    </xf>
    <xf numFmtId="1" fontId="33" fillId="3" borderId="9" xfId="0" applyNumberFormat="1" applyFont="1" applyFill="1" applyBorder="1" applyAlignment="1">
      <alignment horizontal="center"/>
    </xf>
    <xf numFmtId="1" fontId="33" fillId="0" borderId="9" xfId="0" applyNumberFormat="1" applyFont="1" applyBorder="1" applyAlignment="1">
      <alignment horizontal="center"/>
    </xf>
    <xf numFmtId="1" fontId="33" fillId="7" borderId="9" xfId="0" applyNumberFormat="1" applyFont="1" applyFill="1" applyBorder="1" applyAlignment="1">
      <alignment horizontal="center"/>
    </xf>
    <xf numFmtId="1" fontId="33" fillId="0" borderId="14" xfId="0" applyNumberFormat="1" applyFont="1" applyBorder="1" applyAlignment="1">
      <alignment horizontal="center"/>
    </xf>
    <xf numFmtId="1" fontId="33" fillId="0" borderId="8" xfId="0" applyNumberFormat="1" applyFont="1" applyBorder="1" applyAlignment="1">
      <alignment horizontal="center"/>
    </xf>
    <xf numFmtId="1" fontId="33" fillId="0" borderId="15" xfId="0" applyNumberFormat="1" applyFont="1" applyBorder="1" applyAlignment="1">
      <alignment horizontal="center"/>
    </xf>
    <xf numFmtId="0" fontId="28" fillId="11" borderId="1" xfId="3" applyFont="1" applyFill="1" applyBorder="1" applyAlignment="1">
      <alignment horizontal="center" vertical="center"/>
    </xf>
    <xf numFmtId="0" fontId="29" fillId="11" borderId="1" xfId="4" applyFont="1" applyFill="1" applyBorder="1" applyAlignment="1">
      <alignment horizontal="center" vertical="center"/>
    </xf>
    <xf numFmtId="0" fontId="29" fillId="11" borderId="1" xfId="4" applyFont="1" applyFill="1" applyBorder="1" applyAlignment="1">
      <alignment horizontal="left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/>
    </xf>
    <xf numFmtId="1" fontId="33" fillId="6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1" fontId="33" fillId="5" borderId="1" xfId="0" applyNumberFormat="1" applyFont="1" applyFill="1" applyBorder="1" applyAlignment="1">
      <alignment horizontal="center"/>
    </xf>
    <xf numFmtId="1" fontId="33" fillId="3" borderId="1" xfId="0" applyNumberFormat="1" applyFont="1" applyFill="1" applyBorder="1" applyAlignment="1">
      <alignment horizontal="center"/>
    </xf>
    <xf numFmtId="1" fontId="33" fillId="0" borderId="1" xfId="0" applyNumberFormat="1" applyFont="1" applyBorder="1" applyAlignment="1">
      <alignment horizontal="center"/>
    </xf>
    <xf numFmtId="1" fontId="33" fillId="7" borderId="1" xfId="0" applyNumberFormat="1" applyFont="1" applyFill="1" applyBorder="1" applyAlignment="1">
      <alignment horizontal="center"/>
    </xf>
    <xf numFmtId="1" fontId="33" fillId="0" borderId="7" xfId="0" applyNumberFormat="1" applyFont="1" applyBorder="1" applyAlignment="1">
      <alignment horizontal="center"/>
    </xf>
    <xf numFmtId="1" fontId="33" fillId="0" borderId="2" xfId="0" applyNumberFormat="1" applyFont="1" applyBorder="1" applyAlignment="1">
      <alignment horizontal="center"/>
    </xf>
    <xf numFmtId="1" fontId="33" fillId="0" borderId="4" xfId="0" applyNumberFormat="1" applyFont="1" applyBorder="1" applyAlignment="1">
      <alignment horizontal="center"/>
    </xf>
    <xf numFmtId="0" fontId="33" fillId="12" borderId="1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center"/>
    </xf>
    <xf numFmtId="0" fontId="33" fillId="12" borderId="4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left"/>
    </xf>
    <xf numFmtId="1" fontId="28" fillId="0" borderId="1" xfId="3" applyNumberFormat="1" applyFont="1" applyBorder="1" applyAlignment="1">
      <alignment horizontal="center" vertical="center"/>
    </xf>
    <xf numFmtId="1" fontId="29" fillId="0" borderId="1" xfId="4" applyNumberFormat="1" applyFont="1" applyBorder="1" applyAlignment="1">
      <alignment horizontal="center" vertical="center"/>
    </xf>
    <xf numFmtId="1" fontId="29" fillId="0" borderId="1" xfId="4" applyNumberFormat="1" applyFont="1" applyBorder="1" applyAlignment="1">
      <alignment horizontal="left" vertical="center"/>
    </xf>
    <xf numFmtId="1" fontId="3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8" fillId="0" borderId="1" xfId="0" applyFont="1" applyBorder="1" applyAlignment="1">
      <alignment horizontal="center" vertical="center" wrapText="1"/>
    </xf>
    <xf numFmtId="0" fontId="63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textRotation="255" wrapText="1"/>
    </xf>
    <xf numFmtId="0" fontId="19" fillId="0" borderId="1" xfId="2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/>
    </xf>
    <xf numFmtId="0" fontId="64" fillId="0" borderId="1" xfId="0" quotePrefix="1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shrinkToFit="1"/>
    </xf>
    <xf numFmtId="0" fontId="65" fillId="0" borderId="1" xfId="0" applyFont="1" applyBorder="1" applyAlignment="1">
      <alignment horizontal="center" vertical="center" wrapText="1"/>
    </xf>
    <xf numFmtId="0" fontId="62" fillId="0" borderId="1" xfId="2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0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" fontId="60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/>
    <xf numFmtId="1" fontId="21" fillId="9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0" fillId="0" borderId="1" xfId="0" applyFont="1" applyFill="1" applyBorder="1" applyAlignment="1">
      <alignment horizontal="center"/>
    </xf>
  </cellXfs>
  <cellStyles count="8">
    <cellStyle name="Normal" xfId="0" builtinId="0"/>
    <cellStyle name="Normal 13" xfId="6" xr:uid="{2ADE5B83-BCA6-44A7-98B6-06E3C33100B6}"/>
    <cellStyle name="Normal 2" xfId="2" xr:uid="{07D7EC36-32CF-4379-8B65-5F3FFFE82144}"/>
    <cellStyle name="Normal 2 2" xfId="5" xr:uid="{9D0290C2-D30B-4518-9596-2988557E1A9D}"/>
    <cellStyle name="Normal 5 2 2" xfId="3" xr:uid="{023141FD-5AC4-4FDE-9933-37840237F89D}"/>
    <cellStyle name="Normal 7" xfId="4" xr:uid="{8E1CECBA-2144-4A74-82E8-4E6F360991BF}"/>
    <cellStyle name="Normal_ATEND y ATENC 2009" xfId="1" xr:uid="{20C2DAFF-18E4-4C45-B219-D37F66FC6514}"/>
    <cellStyle name="Normal_POBLACION UTES-TARMA 99" xfId="7" xr:uid="{F17F31F6-F7B7-45D5-B68F-E067774E7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C7629"/>
  <sheetViews>
    <sheetView tabSelected="1" topLeftCell="A8" zoomScale="90" zoomScaleNormal="90" workbookViewId="0">
      <selection activeCell="RO28" sqref="RO28"/>
    </sheetView>
  </sheetViews>
  <sheetFormatPr baseColWidth="10" defaultRowHeight="15" x14ac:dyDescent="0.25"/>
  <cols>
    <col min="1" max="1" width="11.85546875" customWidth="1"/>
    <col min="2" max="2" width="7.85546875" customWidth="1"/>
    <col min="3" max="3" width="26.5703125" customWidth="1"/>
    <col min="4" max="5" width="5.7109375" customWidth="1"/>
    <col min="6" max="6" width="6.5703125" customWidth="1"/>
    <col min="7" max="7" width="6.42578125" customWidth="1"/>
    <col min="8" max="8" width="8" bestFit="1" customWidth="1"/>
    <col min="9" max="9" width="6.5703125" customWidth="1"/>
    <col min="10" max="10" width="7.42578125" customWidth="1"/>
    <col min="11" max="11" width="5.7109375" customWidth="1"/>
    <col min="12" max="12" width="8" bestFit="1" customWidth="1"/>
    <col min="13" max="13" width="6.7109375" customWidth="1"/>
    <col min="14" max="14" width="6.42578125" customWidth="1"/>
    <col min="15" max="15" width="8" bestFit="1" customWidth="1"/>
    <col min="16" max="16" width="8.140625" customWidth="1"/>
    <col min="17" max="17" width="7" customWidth="1"/>
    <col min="18" max="18" width="5.7109375" customWidth="1"/>
    <col min="19" max="19" width="6.85546875" customWidth="1"/>
    <col min="20" max="20" width="8" bestFit="1" customWidth="1"/>
    <col min="21" max="21" width="6.28515625" customWidth="1"/>
    <col min="22" max="23" width="5.7109375" customWidth="1"/>
    <col min="24" max="24" width="6.28515625" bestFit="1" customWidth="1"/>
    <col min="25" max="25" width="7.28515625" customWidth="1"/>
    <col min="26" max="26" width="5.7109375" customWidth="1"/>
    <col min="27" max="27" width="7.85546875" customWidth="1"/>
    <col min="28" max="28" width="6.85546875" customWidth="1"/>
    <col min="29" max="30" width="5.7109375" customWidth="1"/>
    <col min="31" max="31" width="7.7109375" customWidth="1"/>
    <col min="32" max="36" width="5.7109375" customWidth="1"/>
    <col min="37" max="37" width="7.42578125" customWidth="1"/>
    <col min="38" max="40" width="5.7109375" customWidth="1"/>
    <col min="41" max="41" width="6.140625" customWidth="1"/>
    <col min="42" max="44" width="5.7109375" customWidth="1"/>
    <col min="45" max="45" width="6.28515625" customWidth="1"/>
    <col min="46" max="48" width="5.7109375" customWidth="1"/>
    <col min="50" max="51" width="5.7109375" customWidth="1"/>
    <col min="52" max="52" width="11.28515625" customWidth="1"/>
    <col min="53" max="53" width="10.140625" customWidth="1"/>
    <col min="55" max="57" width="5.7109375" customWidth="1"/>
    <col min="58" max="58" width="7.7109375" customWidth="1"/>
    <col min="59" max="65" width="5.7109375" customWidth="1"/>
    <col min="66" max="66" width="6.5703125" customWidth="1"/>
    <col min="69" max="70" width="5.7109375" customWidth="1"/>
    <col min="73" max="75" width="5.7109375" customWidth="1"/>
    <col min="77" max="77" width="5.7109375" customWidth="1"/>
    <col min="78" max="78" width="6.42578125" customWidth="1"/>
    <col min="81" max="81" width="5.7109375" customWidth="1"/>
    <col min="84" max="84" width="12.5703125" customWidth="1"/>
    <col min="85" max="85" width="12.85546875" customWidth="1"/>
    <col min="87" max="87" width="5.7109375" customWidth="1"/>
    <col min="90" max="90" width="5.7109375" customWidth="1"/>
    <col min="91" max="91" width="10" customWidth="1"/>
    <col min="94" max="100" width="5.7109375" customWidth="1"/>
    <col min="102" max="105" width="5.7109375" customWidth="1"/>
    <col min="107" max="109" width="5.7109375" customWidth="1"/>
    <col min="111" max="113" width="5.7109375" customWidth="1"/>
    <col min="115" max="115" width="8" customWidth="1"/>
    <col min="118" max="118" width="6.85546875" customWidth="1"/>
    <col min="119" max="119" width="7" customWidth="1"/>
    <col min="120" max="120" width="5.7109375" customWidth="1"/>
    <col min="121" max="121" width="12.5703125" customWidth="1"/>
    <col min="122" max="122" width="12.7109375" customWidth="1"/>
    <col min="123" max="123" width="7.28515625" customWidth="1"/>
    <col min="124" max="124" width="6.7109375" customWidth="1"/>
    <col min="125" max="125" width="5.7109375" customWidth="1"/>
    <col min="126" max="126" width="6.5703125" customWidth="1"/>
    <col min="127" max="127" width="7.7109375" customWidth="1"/>
    <col min="128" max="146" width="5.7109375" customWidth="1"/>
    <col min="147" max="148" width="6.140625" customWidth="1"/>
    <col min="149" max="152" width="5.7109375" customWidth="1"/>
    <col min="153" max="153" width="6.7109375" customWidth="1"/>
    <col min="154" max="154" width="6.5703125" customWidth="1"/>
    <col min="155" max="155" width="7.42578125" customWidth="1"/>
    <col min="156" max="160" width="5.7109375" customWidth="1"/>
    <col min="161" max="161" width="6.28515625" customWidth="1"/>
    <col min="162" max="164" width="5.7109375" customWidth="1"/>
    <col min="165" max="165" width="6.140625" customWidth="1"/>
    <col min="166" max="166" width="4.5703125" customWidth="1"/>
    <col min="167" max="167" width="6.42578125" customWidth="1"/>
    <col min="168" max="168" width="5.140625" customWidth="1"/>
    <col min="169" max="170" width="5.5703125" customWidth="1"/>
    <col min="171" max="171" width="5.28515625" customWidth="1"/>
    <col min="172" max="172" width="5.85546875" customWidth="1"/>
    <col min="173" max="173" width="4.7109375" customWidth="1"/>
    <col min="174" max="174" width="4.5703125" customWidth="1"/>
    <col min="175" max="181" width="5.7109375" customWidth="1"/>
    <col min="182" max="182" width="6.5703125" customWidth="1"/>
    <col min="183" max="188" width="5.7109375" customWidth="1"/>
    <col min="189" max="189" width="5.7109375" style="137" customWidth="1"/>
    <col min="190" max="190" width="5.7109375" style="138" customWidth="1"/>
    <col min="191" max="191" width="5.7109375" style="137" customWidth="1"/>
    <col min="192" max="192" width="5.7109375" customWidth="1"/>
    <col min="193" max="196" width="5.7109375" style="137" customWidth="1"/>
    <col min="197" max="210" width="5.7109375" customWidth="1"/>
    <col min="211" max="211" width="5.5703125" customWidth="1"/>
    <col min="212" max="212" width="5.42578125" customWidth="1"/>
    <col min="213" max="213" width="6.85546875" customWidth="1"/>
    <col min="214" max="214" width="5.85546875" customWidth="1"/>
    <col min="215" max="215" width="5.140625" customWidth="1"/>
    <col min="216" max="217" width="5.7109375" customWidth="1"/>
    <col min="218" max="218" width="6.28515625" customWidth="1"/>
    <col min="219" max="220" width="5.7109375" customWidth="1"/>
    <col min="221" max="221" width="7" customWidth="1"/>
    <col min="222" max="223" width="5.7109375" customWidth="1"/>
    <col min="224" max="224" width="5.42578125" customWidth="1"/>
    <col min="225" max="226" width="5.7109375" customWidth="1"/>
    <col min="227" max="230" width="5.7109375" style="137" customWidth="1"/>
    <col min="231" max="260" width="5.7109375" customWidth="1"/>
    <col min="261" max="261" width="5.5703125" customWidth="1"/>
    <col min="262" max="294" width="5.7109375" customWidth="1"/>
    <col min="295" max="295" width="5.7109375" style="137" customWidth="1"/>
    <col min="296" max="299" width="5.7109375" customWidth="1"/>
    <col min="300" max="300" width="5.7109375" style="137" customWidth="1"/>
    <col min="301" max="332" width="5.7109375" customWidth="1"/>
    <col min="333" max="336" width="5.7109375" style="137" customWidth="1"/>
    <col min="337" max="341" width="5.7109375" customWidth="1"/>
    <col min="342" max="342" width="7.28515625" customWidth="1"/>
    <col min="343" max="343" width="5.7109375" customWidth="1"/>
    <col min="344" max="344" width="7.28515625" customWidth="1"/>
    <col min="345" max="345" width="5.7109375" customWidth="1"/>
    <col min="346" max="346" width="7.7109375" customWidth="1"/>
    <col min="347" max="347" width="7.140625" customWidth="1"/>
    <col min="348" max="348" width="7.5703125" customWidth="1"/>
    <col min="349" max="349" width="5.7109375" customWidth="1"/>
    <col min="350" max="350" width="8.42578125" customWidth="1"/>
    <col min="351" max="354" width="5.7109375" customWidth="1"/>
    <col min="355" max="355" width="8.28515625" customWidth="1"/>
    <col min="356" max="356" width="5.7109375" customWidth="1"/>
    <col min="357" max="361" width="5.5703125" customWidth="1"/>
    <col min="362" max="369" width="5.7109375" customWidth="1"/>
    <col min="370" max="385" width="6.42578125" customWidth="1"/>
    <col min="386" max="393" width="5.7109375" customWidth="1"/>
    <col min="394" max="394" width="7.5703125" customWidth="1"/>
    <col min="395" max="395" width="7.7109375" customWidth="1"/>
    <col min="396" max="396" width="5.42578125" customWidth="1"/>
    <col min="397" max="397" width="9.7109375" customWidth="1"/>
    <col min="398" max="398" width="10.85546875" customWidth="1"/>
    <col min="399" max="399" width="6.42578125" customWidth="1"/>
    <col min="400" max="400" width="7.28515625" customWidth="1"/>
    <col min="401" max="401" width="8" customWidth="1"/>
    <col min="402" max="402" width="7.85546875" customWidth="1"/>
    <col min="403" max="404" width="8.140625" customWidth="1"/>
    <col min="405" max="405" width="7.42578125" customWidth="1"/>
    <col min="406" max="406" width="7.5703125" customWidth="1"/>
    <col min="407" max="407" width="7.85546875" customWidth="1"/>
    <col min="408" max="409" width="5.7109375" customWidth="1"/>
    <col min="410" max="410" width="5.5703125" customWidth="1"/>
    <col min="411" max="414" width="5.85546875" customWidth="1"/>
    <col min="415" max="417" width="5.140625" bestFit="1" customWidth="1"/>
    <col min="418" max="418" width="5.140625" customWidth="1"/>
    <col min="419" max="437" width="5.140625" bestFit="1" customWidth="1"/>
    <col min="438" max="438" width="5.5703125" bestFit="1" customWidth="1"/>
    <col min="439" max="441" width="5.140625" bestFit="1" customWidth="1"/>
    <col min="442" max="442" width="5.5703125" bestFit="1" customWidth="1"/>
    <col min="443" max="445" width="5.140625" bestFit="1" customWidth="1"/>
    <col min="446" max="446" width="5.5703125" bestFit="1" customWidth="1"/>
    <col min="447" max="447" width="5.140625" bestFit="1" customWidth="1"/>
    <col min="448" max="448" width="7.7109375" bestFit="1" customWidth="1"/>
    <col min="449" max="489" width="5.140625" bestFit="1" customWidth="1"/>
    <col min="490" max="490" width="5.7109375" customWidth="1"/>
    <col min="491" max="491" width="6.85546875" customWidth="1"/>
    <col min="492" max="492" width="7.5703125" customWidth="1"/>
    <col min="493" max="493" width="5.28515625" customWidth="1"/>
    <col min="494" max="496" width="5.140625" bestFit="1" customWidth="1"/>
    <col min="497" max="497" width="4.7109375" customWidth="1"/>
    <col min="498" max="498" width="7.140625" customWidth="1"/>
    <col min="499" max="500" width="5.140625" bestFit="1" customWidth="1"/>
    <col min="501" max="501" width="5.5703125" bestFit="1" customWidth="1"/>
    <col min="502" max="502" width="6.28515625" bestFit="1" customWidth="1"/>
    <col min="503" max="503" width="5.140625" bestFit="1" customWidth="1"/>
    <col min="504" max="504" width="6.28515625" bestFit="1" customWidth="1"/>
    <col min="505" max="507" width="5.140625" bestFit="1" customWidth="1"/>
    <col min="508" max="508" width="5.5703125" bestFit="1" customWidth="1"/>
    <col min="509" max="509" width="6.28515625" bestFit="1" customWidth="1"/>
    <col min="510" max="511" width="5.140625" bestFit="1" customWidth="1"/>
    <col min="512" max="512" width="5.28515625" bestFit="1" customWidth="1"/>
    <col min="513" max="514" width="5.140625" bestFit="1" customWidth="1"/>
    <col min="515" max="515" width="5.28515625" bestFit="1" customWidth="1"/>
    <col min="516" max="517" width="5.140625" bestFit="1" customWidth="1"/>
    <col min="518" max="518" width="5.28515625" bestFit="1" customWidth="1"/>
    <col min="519" max="520" width="5.140625" bestFit="1" customWidth="1"/>
    <col min="521" max="521" width="5.28515625" bestFit="1" customWidth="1"/>
    <col min="522" max="522" width="6.42578125" customWidth="1"/>
    <col min="523" max="526" width="5.5703125" bestFit="1" customWidth="1"/>
    <col min="528" max="528" width="12.140625" bestFit="1" customWidth="1"/>
    <col min="529" max="530" width="16.42578125" bestFit="1" customWidth="1"/>
    <col min="531" max="531" width="16.28515625" bestFit="1" customWidth="1"/>
    <col min="532" max="532" width="20" bestFit="1" customWidth="1"/>
    <col min="533" max="533" width="5.140625" bestFit="1" customWidth="1"/>
    <col min="534" max="534" width="5" bestFit="1" customWidth="1"/>
    <col min="535" max="535" width="5.140625" bestFit="1" customWidth="1"/>
    <col min="542" max="542" width="10.5703125" bestFit="1" customWidth="1"/>
    <col min="543" max="544" width="8" bestFit="1" customWidth="1"/>
    <col min="545" max="545" width="7.42578125" customWidth="1"/>
    <col min="546" max="546" width="6.42578125" bestFit="1" customWidth="1"/>
    <col min="547" max="547" width="9.85546875" bestFit="1" customWidth="1"/>
    <col min="548" max="548" width="10.85546875" bestFit="1" customWidth="1"/>
    <col min="549" max="549" width="10.7109375" bestFit="1" customWidth="1"/>
  </cols>
  <sheetData>
    <row r="1" spans="1:549" x14ac:dyDescent="0.25">
      <c r="A1" s="1"/>
      <c r="B1" s="1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4"/>
      <c r="BG1" s="4"/>
      <c r="BH1" s="5"/>
      <c r="BI1" s="5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5"/>
      <c r="CJ1" s="5"/>
      <c r="CK1" s="5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I1"/>
      <c r="KN1"/>
      <c r="LT1" s="6"/>
      <c r="LU1" s="6"/>
      <c r="LV1" s="6"/>
      <c r="LW1" s="6"/>
      <c r="LX1" s="6"/>
      <c r="LY1" s="6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</row>
    <row r="2" spans="1:549" ht="18" x14ac:dyDescent="0.25">
      <c r="A2" s="1"/>
      <c r="B2" s="1"/>
      <c r="C2" s="8"/>
      <c r="D2" s="9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I2"/>
      <c r="KN2"/>
      <c r="LT2" s="6"/>
      <c r="LU2" s="6"/>
      <c r="LV2" s="6"/>
      <c r="LW2" s="6"/>
      <c r="LX2" s="6"/>
      <c r="LY2" s="6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</row>
    <row r="3" spans="1:549" x14ac:dyDescent="0.25">
      <c r="A3" s="11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3"/>
      <c r="T3" s="13"/>
      <c r="U3" s="13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/>
      <c r="AR3" s="13"/>
      <c r="AS3" s="13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"/>
      <c r="BF3" s="12"/>
      <c r="BG3" s="12"/>
      <c r="BH3" s="1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3"/>
      <c r="BV3" s="13"/>
      <c r="BW3" s="13"/>
      <c r="BX3" s="13"/>
      <c r="BY3" s="13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3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I3"/>
      <c r="KN3"/>
      <c r="LT3" s="6"/>
      <c r="LU3" s="6"/>
      <c r="LV3" s="6"/>
      <c r="LW3" s="6"/>
      <c r="LX3" s="6"/>
      <c r="LY3" s="6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</row>
    <row r="4" spans="1:549" x14ac:dyDescent="0.25">
      <c r="A4" s="14"/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5"/>
      <c r="LU4" s="15"/>
      <c r="LV4" s="15"/>
      <c r="LW4" s="15"/>
      <c r="LX4" s="15"/>
      <c r="LY4" s="15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</row>
    <row r="5" spans="1:549" ht="15.75" x14ac:dyDescent="0.25">
      <c r="A5" t="s">
        <v>0</v>
      </c>
      <c r="B5" s="13"/>
      <c r="C5" s="13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</row>
    <row r="6" spans="1:549" s="175" customFormat="1" ht="15.75" customHeight="1" x14ac:dyDescent="0.25">
      <c r="A6" s="264" t="s">
        <v>1</v>
      </c>
      <c r="B6" s="265" t="s">
        <v>2</v>
      </c>
      <c r="C6" s="266" t="s">
        <v>3</v>
      </c>
      <c r="D6" s="248" t="s">
        <v>4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7" t="s">
        <v>5</v>
      </c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 t="s">
        <v>6</v>
      </c>
      <c r="CF6" s="248" t="s">
        <v>7</v>
      </c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 t="s">
        <v>8</v>
      </c>
      <c r="DQ6" s="248"/>
      <c r="DR6" s="248"/>
      <c r="DS6" s="248"/>
      <c r="DT6" s="248"/>
      <c r="DU6" s="248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G6" s="248"/>
      <c r="EH6" s="248"/>
      <c r="EI6" s="248"/>
      <c r="EJ6" s="248"/>
      <c r="EK6" s="248"/>
      <c r="EL6" s="248"/>
      <c r="EM6" s="248"/>
      <c r="EN6" s="248"/>
      <c r="EO6" s="248"/>
      <c r="EP6" s="248"/>
      <c r="EQ6" s="248"/>
      <c r="ER6" s="248"/>
      <c r="ES6" s="248"/>
      <c r="ET6" s="248"/>
      <c r="EU6" s="248"/>
      <c r="EV6" s="248"/>
      <c r="EW6" s="248"/>
      <c r="EX6" s="248"/>
      <c r="EY6" s="248"/>
      <c r="EZ6" s="248" t="s">
        <v>9</v>
      </c>
      <c r="FA6" s="248"/>
      <c r="FB6" s="248"/>
      <c r="FC6" s="248"/>
      <c r="FD6" s="248"/>
      <c r="FE6" s="248"/>
      <c r="FF6" s="248"/>
      <c r="FG6" s="248"/>
      <c r="FH6" s="248"/>
      <c r="FI6" s="248"/>
      <c r="FJ6" s="248"/>
      <c r="FK6" s="248"/>
      <c r="FL6" s="248"/>
      <c r="FM6" s="248"/>
      <c r="FN6" s="248"/>
      <c r="FO6" s="248"/>
      <c r="FP6" s="248"/>
      <c r="FQ6" s="248"/>
      <c r="FR6" s="248"/>
      <c r="FS6" s="248"/>
      <c r="FT6" s="248"/>
      <c r="FU6" s="248"/>
      <c r="FV6" s="248"/>
      <c r="FW6" s="248"/>
      <c r="FX6" s="248"/>
      <c r="FY6" s="248"/>
      <c r="FZ6" s="248"/>
      <c r="GA6" s="248"/>
      <c r="GB6" s="248"/>
      <c r="GC6" s="248"/>
      <c r="GD6" s="248"/>
      <c r="GE6" s="248"/>
      <c r="GF6" s="248"/>
      <c r="GG6" s="248"/>
      <c r="GH6" s="248"/>
      <c r="GI6" s="248"/>
      <c r="GJ6" s="248"/>
      <c r="GK6" s="263" t="s">
        <v>10</v>
      </c>
      <c r="GL6" s="263"/>
      <c r="GM6" s="263"/>
      <c r="GN6" s="263"/>
      <c r="GO6" s="263"/>
      <c r="GP6" s="263"/>
      <c r="GQ6" s="263"/>
      <c r="GR6" s="263"/>
      <c r="GS6" s="263"/>
      <c r="GT6" s="263"/>
      <c r="GU6" s="263"/>
      <c r="GV6" s="263"/>
      <c r="GW6" s="263"/>
      <c r="GX6" s="263"/>
      <c r="GY6" s="263"/>
      <c r="GZ6" s="263"/>
      <c r="HA6" s="263"/>
      <c r="HB6" s="263"/>
      <c r="HC6" s="263"/>
      <c r="HD6" s="263"/>
      <c r="HE6" s="263"/>
      <c r="HF6" s="263"/>
      <c r="HG6" s="263"/>
      <c r="HH6" s="263"/>
      <c r="HI6" s="263"/>
      <c r="HJ6" s="263"/>
      <c r="HK6" s="263"/>
      <c r="HL6" s="263"/>
      <c r="HM6" s="263"/>
      <c r="HN6" s="263"/>
      <c r="HO6" s="263"/>
      <c r="HP6" s="263"/>
      <c r="HQ6" s="263"/>
      <c r="HR6" s="263"/>
      <c r="HS6" s="263"/>
      <c r="HT6" s="263"/>
      <c r="HU6" s="263"/>
      <c r="HV6" s="263"/>
      <c r="HW6" s="263"/>
      <c r="HX6" s="263"/>
      <c r="HY6" s="263"/>
      <c r="HZ6" s="263"/>
      <c r="IA6" s="263"/>
      <c r="IB6" s="263"/>
      <c r="IC6" s="263"/>
      <c r="ID6" s="263"/>
      <c r="IE6" s="263"/>
      <c r="IF6" s="263"/>
      <c r="IG6" s="263"/>
      <c r="IH6" s="263"/>
      <c r="II6" s="263"/>
      <c r="IJ6" s="263"/>
      <c r="IK6" s="263"/>
      <c r="IL6" s="263"/>
      <c r="IM6" s="263"/>
      <c r="IN6" s="263"/>
      <c r="IO6" s="263"/>
      <c r="IP6" s="263"/>
      <c r="IQ6" s="250" t="s">
        <v>11</v>
      </c>
      <c r="IR6" s="250"/>
      <c r="IS6" s="250"/>
      <c r="IT6" s="250"/>
      <c r="IU6" s="250"/>
      <c r="IV6" s="250"/>
      <c r="IW6" s="250"/>
      <c r="IX6" s="250"/>
      <c r="IY6" s="250"/>
      <c r="IZ6" s="250"/>
      <c r="JA6" s="250"/>
      <c r="JB6" s="250"/>
      <c r="JC6" s="250"/>
      <c r="JD6" s="250"/>
      <c r="JE6" s="250"/>
      <c r="JF6" s="250"/>
      <c r="JG6" s="250" t="s">
        <v>12</v>
      </c>
      <c r="JH6" s="250"/>
      <c r="JI6" s="250"/>
      <c r="JJ6" s="250"/>
      <c r="JK6" s="250"/>
      <c r="JL6" s="250"/>
      <c r="JM6" s="250"/>
      <c r="JN6" s="250"/>
      <c r="JO6" s="250"/>
      <c r="JP6" s="250"/>
      <c r="JQ6" s="250"/>
      <c r="JR6" s="250"/>
      <c r="JS6" s="250"/>
      <c r="JT6" s="250"/>
      <c r="JU6" s="250"/>
      <c r="JV6" s="250"/>
      <c r="JW6" s="250"/>
      <c r="JX6" s="250"/>
      <c r="JY6" s="250"/>
      <c r="JZ6" s="250"/>
      <c r="KA6" s="250"/>
      <c r="KB6" s="250"/>
      <c r="KC6" s="250"/>
      <c r="KD6" s="250"/>
      <c r="KE6" s="250"/>
      <c r="KF6" s="250"/>
      <c r="KG6" s="250"/>
      <c r="KH6" s="250"/>
      <c r="KI6" s="250"/>
      <c r="NV6" s="257" t="s">
        <v>13</v>
      </c>
      <c r="NW6" s="257"/>
      <c r="NX6" s="257"/>
      <c r="NY6" s="257"/>
      <c r="NZ6" s="257"/>
      <c r="OA6" s="257"/>
      <c r="OB6" s="257"/>
      <c r="OC6" s="257"/>
      <c r="OD6" s="260" t="s">
        <v>14</v>
      </c>
      <c r="OE6" s="260"/>
      <c r="OF6" s="260"/>
      <c r="OG6" s="260"/>
      <c r="OH6" s="260"/>
      <c r="OI6" s="260"/>
      <c r="OJ6" s="260"/>
      <c r="OK6" s="260"/>
      <c r="OL6" s="260"/>
      <c r="OM6" s="260"/>
      <c r="ON6" s="260"/>
      <c r="OO6" s="260"/>
      <c r="OP6" s="260"/>
      <c r="OQ6" s="260"/>
      <c r="OR6" s="260"/>
      <c r="OS6" s="252" t="s">
        <v>15</v>
      </c>
      <c r="OT6" s="252"/>
      <c r="OU6" s="252"/>
      <c r="OV6" s="252"/>
      <c r="OW6" s="252"/>
      <c r="OX6" s="252"/>
      <c r="OY6" s="252" t="s">
        <v>16</v>
      </c>
      <c r="OZ6" s="252"/>
      <c r="PA6" s="252"/>
      <c r="PB6" s="252"/>
      <c r="PC6" s="252"/>
      <c r="PD6" s="252"/>
      <c r="PE6" s="252"/>
      <c r="PF6" s="252"/>
      <c r="PG6" s="252"/>
      <c r="PH6" s="252"/>
      <c r="PI6" s="252"/>
      <c r="PJ6" s="252"/>
      <c r="PK6" s="252"/>
      <c r="PL6" s="252"/>
      <c r="PM6" s="252"/>
      <c r="PN6" s="252"/>
      <c r="PO6" s="252"/>
      <c r="PP6" s="252"/>
      <c r="PQ6" s="252"/>
      <c r="PR6" s="252"/>
      <c r="PS6" s="252"/>
      <c r="PT6" s="252"/>
      <c r="PU6" s="252"/>
      <c r="PV6" s="252"/>
      <c r="PW6" s="252"/>
      <c r="PX6" s="252"/>
      <c r="PY6" s="252"/>
      <c r="PZ6" s="252"/>
      <c r="QA6" s="252" t="s">
        <v>4</v>
      </c>
      <c r="QB6" s="252"/>
      <c r="QC6" s="252"/>
      <c r="QD6" s="252"/>
      <c r="QE6" s="252"/>
      <c r="QF6" s="250" t="s">
        <v>17</v>
      </c>
      <c r="QG6" s="250"/>
      <c r="QH6" s="250"/>
      <c r="QI6" s="250"/>
      <c r="QJ6" s="250"/>
      <c r="QK6" s="250"/>
      <c r="QL6" s="250"/>
      <c r="QM6" s="250"/>
      <c r="QN6" s="250"/>
      <c r="QO6" s="250"/>
      <c r="QP6" s="250"/>
      <c r="QQ6" s="250"/>
      <c r="QR6" s="250"/>
      <c r="QS6" s="250"/>
      <c r="QT6" s="250"/>
      <c r="QU6" s="250"/>
      <c r="QV6" s="250"/>
      <c r="QW6" s="250"/>
      <c r="QX6" s="250"/>
      <c r="QY6" s="250"/>
      <c r="QZ6" s="250"/>
      <c r="RA6" s="250"/>
      <c r="RB6" s="250"/>
      <c r="RC6" s="250"/>
      <c r="RD6" s="250"/>
      <c r="RE6" s="250"/>
      <c r="RF6" s="250"/>
      <c r="RG6" s="250"/>
      <c r="RH6" s="250"/>
      <c r="RI6" s="250"/>
      <c r="RJ6" s="250"/>
      <c r="RK6" s="250"/>
      <c r="RL6" s="250"/>
      <c r="RM6" s="250"/>
      <c r="RN6" s="250"/>
      <c r="RO6" s="250"/>
      <c r="RP6" s="250"/>
      <c r="RQ6" s="250"/>
      <c r="RR6" s="250"/>
      <c r="RS6" s="250"/>
      <c r="RT6" s="250"/>
      <c r="RU6" s="250"/>
      <c r="RV6" s="248" t="s">
        <v>18</v>
      </c>
      <c r="RW6" s="248"/>
      <c r="RX6" s="248"/>
      <c r="RY6" s="248"/>
      <c r="RZ6" s="248"/>
      <c r="SA6" s="248"/>
      <c r="SB6" s="248"/>
      <c r="SC6" s="248"/>
      <c r="SD6" s="248"/>
      <c r="SE6" s="248"/>
      <c r="SF6" s="248"/>
      <c r="SG6" s="248"/>
      <c r="SH6" s="248"/>
      <c r="SI6" s="248"/>
      <c r="SJ6" s="248"/>
      <c r="SK6" s="248"/>
      <c r="SL6" s="248"/>
      <c r="SM6" s="248"/>
      <c r="SN6" s="248"/>
      <c r="SO6" s="248"/>
      <c r="SP6" s="248"/>
      <c r="SQ6" s="248"/>
      <c r="SR6" s="248"/>
      <c r="SS6" s="248"/>
      <c r="ST6" s="248"/>
      <c r="SU6" s="248"/>
      <c r="SV6" s="248"/>
      <c r="SW6" s="248"/>
      <c r="SX6" s="248"/>
      <c r="SY6" s="248"/>
      <c r="SZ6" s="248"/>
      <c r="TA6" s="248"/>
      <c r="TB6" s="248"/>
      <c r="TC6" s="248"/>
      <c r="TD6" s="248"/>
      <c r="TE6" s="248"/>
      <c r="TF6" s="248"/>
      <c r="TG6" s="175" t="s">
        <v>5</v>
      </c>
      <c r="TH6" s="185"/>
      <c r="TI6" s="185"/>
      <c r="TJ6" s="185"/>
      <c r="TK6" s="185"/>
      <c r="TL6" s="185"/>
      <c r="TM6" s="249" t="s">
        <v>19</v>
      </c>
      <c r="TN6" s="249"/>
      <c r="TO6" s="249"/>
      <c r="TP6" s="175" t="s">
        <v>20</v>
      </c>
      <c r="TQ6" s="175" t="s">
        <v>21</v>
      </c>
      <c r="TR6" s="175" t="s">
        <v>22</v>
      </c>
      <c r="TS6" s="246" t="s">
        <v>23</v>
      </c>
      <c r="TT6" s="246"/>
      <c r="TU6" s="246"/>
      <c r="TV6" s="246" t="s">
        <v>24</v>
      </c>
      <c r="TW6" s="246"/>
      <c r="TX6" s="246"/>
      <c r="TY6" s="246"/>
      <c r="TZ6" s="246"/>
      <c r="UA6" s="262" t="s">
        <v>25</v>
      </c>
      <c r="UB6" s="262"/>
      <c r="UC6" s="262"/>
    </row>
    <row r="7" spans="1:549" s="175" customFormat="1" ht="30" customHeight="1" x14ac:dyDescent="0.25">
      <c r="A7" s="264"/>
      <c r="B7" s="265"/>
      <c r="C7" s="266"/>
      <c r="D7" s="247" t="s">
        <v>6</v>
      </c>
      <c r="E7" s="248" t="s">
        <v>26</v>
      </c>
      <c r="F7" s="248"/>
      <c r="G7" s="248"/>
      <c r="H7" s="248"/>
      <c r="I7" s="248" t="s">
        <v>27</v>
      </c>
      <c r="J7" s="248"/>
      <c r="K7" s="248"/>
      <c r="L7" s="248"/>
      <c r="M7" s="248" t="s">
        <v>28</v>
      </c>
      <c r="N7" s="248"/>
      <c r="O7" s="248"/>
      <c r="P7" s="248"/>
      <c r="Q7" s="247" t="s">
        <v>29</v>
      </c>
      <c r="R7" s="247"/>
      <c r="S7" s="247"/>
      <c r="T7" s="247"/>
      <c r="U7" s="247"/>
      <c r="V7" s="247" t="s">
        <v>30</v>
      </c>
      <c r="W7" s="247"/>
      <c r="X7" s="247"/>
      <c r="Y7" s="247"/>
      <c r="Z7" s="247"/>
      <c r="AA7" s="247"/>
      <c r="AB7" s="247"/>
      <c r="AC7" s="247"/>
      <c r="AD7" s="247"/>
      <c r="AE7" s="247" t="s">
        <v>31</v>
      </c>
      <c r="AF7" s="247" t="s">
        <v>32</v>
      </c>
      <c r="AG7" s="247"/>
      <c r="AH7" s="247"/>
      <c r="AI7" s="247"/>
      <c r="AJ7" s="247" t="s">
        <v>33</v>
      </c>
      <c r="AK7" s="247"/>
      <c r="AL7" s="247"/>
      <c r="AM7" s="247"/>
      <c r="AN7" s="247" t="s">
        <v>34</v>
      </c>
      <c r="AO7" s="247"/>
      <c r="AP7" s="247"/>
      <c r="AQ7" s="247"/>
      <c r="AR7" s="247" t="s">
        <v>35</v>
      </c>
      <c r="AS7" s="247"/>
      <c r="AT7" s="247"/>
      <c r="AU7" s="247"/>
      <c r="AV7" s="247"/>
      <c r="AW7" s="247" t="s">
        <v>6</v>
      </c>
      <c r="AX7" s="247" t="s">
        <v>33</v>
      </c>
      <c r="AY7" s="247" t="s">
        <v>36</v>
      </c>
      <c r="AZ7" s="247" t="s">
        <v>37</v>
      </c>
      <c r="BA7" s="247" t="s">
        <v>38</v>
      </c>
      <c r="BB7" s="247" t="s">
        <v>39</v>
      </c>
      <c r="BC7" s="247"/>
      <c r="BD7" s="247"/>
      <c r="BE7" s="247"/>
      <c r="BF7" s="173" t="s">
        <v>40</v>
      </c>
      <c r="BG7" s="247" t="s">
        <v>41</v>
      </c>
      <c r="BH7" s="247"/>
      <c r="BI7" s="247"/>
      <c r="BJ7" s="247" t="s">
        <v>42</v>
      </c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8" t="s">
        <v>34</v>
      </c>
      <c r="CG7" s="248"/>
      <c r="CH7" s="248" t="s">
        <v>33</v>
      </c>
      <c r="CI7" s="248"/>
      <c r="CJ7" s="248"/>
      <c r="CK7" s="248"/>
      <c r="CL7" s="248"/>
      <c r="CM7" s="247" t="s">
        <v>43</v>
      </c>
      <c r="CN7" s="247" t="s">
        <v>44</v>
      </c>
      <c r="CO7" s="247" t="s">
        <v>42</v>
      </c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 t="s">
        <v>6</v>
      </c>
      <c r="DQ7" s="248" t="s">
        <v>34</v>
      </c>
      <c r="DR7" s="248"/>
      <c r="DS7" s="248" t="s">
        <v>33</v>
      </c>
      <c r="DT7" s="248"/>
      <c r="DU7" s="248"/>
      <c r="DV7" s="248"/>
      <c r="DW7" s="248"/>
      <c r="DX7" s="247" t="s">
        <v>44</v>
      </c>
      <c r="DY7" s="247" t="s">
        <v>42</v>
      </c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 t="s">
        <v>6</v>
      </c>
      <c r="FA7" s="248" t="s">
        <v>34</v>
      </c>
      <c r="FB7" s="248"/>
      <c r="FC7" s="248" t="s">
        <v>33</v>
      </c>
      <c r="FD7" s="248"/>
      <c r="FE7" s="248"/>
      <c r="FF7" s="248"/>
      <c r="FG7" s="248"/>
      <c r="FH7" s="247" t="s">
        <v>44</v>
      </c>
      <c r="FI7" s="247" t="s">
        <v>42</v>
      </c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 t="s">
        <v>45</v>
      </c>
      <c r="GH7" s="247"/>
      <c r="GI7" s="247" t="s">
        <v>46</v>
      </c>
      <c r="GJ7" s="247" t="s">
        <v>47</v>
      </c>
      <c r="GK7" s="263"/>
      <c r="GL7" s="263"/>
      <c r="GM7" s="263"/>
      <c r="GN7" s="263"/>
      <c r="GO7" s="263"/>
      <c r="GP7" s="263"/>
      <c r="GQ7" s="263"/>
      <c r="GR7" s="263"/>
      <c r="GS7" s="263"/>
      <c r="GT7" s="263"/>
      <c r="GU7" s="263"/>
      <c r="GV7" s="263"/>
      <c r="GW7" s="263"/>
      <c r="GX7" s="263"/>
      <c r="GY7" s="263"/>
      <c r="GZ7" s="263"/>
      <c r="HA7" s="263"/>
      <c r="HB7" s="263"/>
      <c r="HC7" s="263"/>
      <c r="HD7" s="263"/>
      <c r="HE7" s="263"/>
      <c r="HF7" s="263"/>
      <c r="HG7" s="263"/>
      <c r="HH7" s="263"/>
      <c r="HI7" s="263"/>
      <c r="HJ7" s="263"/>
      <c r="HK7" s="263"/>
      <c r="HL7" s="263"/>
      <c r="HM7" s="263"/>
      <c r="HN7" s="263"/>
      <c r="HO7" s="263"/>
      <c r="HP7" s="263"/>
      <c r="HQ7" s="263"/>
      <c r="HR7" s="263"/>
      <c r="HS7" s="263"/>
      <c r="HT7" s="263"/>
      <c r="HU7" s="263"/>
      <c r="HV7" s="263"/>
      <c r="HW7" s="263"/>
      <c r="HX7" s="263"/>
      <c r="HY7" s="263"/>
      <c r="HZ7" s="263"/>
      <c r="IA7" s="263"/>
      <c r="IB7" s="263"/>
      <c r="IC7" s="263"/>
      <c r="ID7" s="263"/>
      <c r="IE7" s="263"/>
      <c r="IF7" s="263"/>
      <c r="IG7" s="263"/>
      <c r="IH7" s="263"/>
      <c r="II7" s="263"/>
      <c r="IJ7" s="263"/>
      <c r="IK7" s="263"/>
      <c r="IL7" s="263"/>
      <c r="IM7" s="263"/>
      <c r="IN7" s="263"/>
      <c r="IO7" s="263"/>
      <c r="IP7" s="263"/>
      <c r="IQ7" s="250"/>
      <c r="IR7" s="250"/>
      <c r="IS7" s="250"/>
      <c r="IT7" s="250"/>
      <c r="IU7" s="250"/>
      <c r="IV7" s="250"/>
      <c r="IW7" s="250"/>
      <c r="IX7" s="250"/>
      <c r="IY7" s="250"/>
      <c r="IZ7" s="250"/>
      <c r="JA7" s="250"/>
      <c r="JB7" s="250"/>
      <c r="JC7" s="250"/>
      <c r="JD7" s="250"/>
      <c r="JE7" s="250"/>
      <c r="JF7" s="250"/>
      <c r="JG7" s="250"/>
      <c r="JH7" s="250"/>
      <c r="JI7" s="250"/>
      <c r="JJ7" s="250"/>
      <c r="JK7" s="250"/>
      <c r="JL7" s="250"/>
      <c r="JM7" s="250"/>
      <c r="JN7" s="250"/>
      <c r="JO7" s="250"/>
      <c r="JP7" s="250"/>
      <c r="JQ7" s="250"/>
      <c r="JR7" s="250"/>
      <c r="JS7" s="250"/>
      <c r="JT7" s="250"/>
      <c r="JU7" s="250"/>
      <c r="JV7" s="250"/>
      <c r="JW7" s="250"/>
      <c r="JX7" s="250"/>
      <c r="JY7" s="250"/>
      <c r="JZ7" s="250"/>
      <c r="KA7" s="250"/>
      <c r="KB7" s="250"/>
      <c r="KC7" s="250"/>
      <c r="KD7" s="250"/>
      <c r="KE7" s="250"/>
      <c r="KF7" s="250"/>
      <c r="KG7" s="250"/>
      <c r="KH7" s="250"/>
      <c r="KI7" s="250"/>
      <c r="MC7" s="176"/>
      <c r="MD7" s="176"/>
      <c r="ME7" s="176"/>
      <c r="MF7" s="176"/>
      <c r="MG7" s="176"/>
      <c r="MH7" s="176"/>
      <c r="MI7" s="176"/>
      <c r="MJ7" s="176"/>
      <c r="MK7" s="176"/>
      <c r="ML7" s="176"/>
      <c r="NV7" s="257"/>
      <c r="NW7" s="257"/>
      <c r="NX7" s="257"/>
      <c r="NY7" s="257"/>
      <c r="NZ7" s="257"/>
      <c r="OA7" s="257"/>
      <c r="OB7" s="257"/>
      <c r="OC7" s="257"/>
      <c r="OD7" s="260"/>
      <c r="OE7" s="260"/>
      <c r="OF7" s="260"/>
      <c r="OG7" s="260"/>
      <c r="OH7" s="260"/>
      <c r="OI7" s="260"/>
      <c r="OJ7" s="260"/>
      <c r="OK7" s="260"/>
      <c r="OL7" s="260"/>
      <c r="OM7" s="260"/>
      <c r="ON7" s="260"/>
      <c r="OO7" s="260"/>
      <c r="OP7" s="260"/>
      <c r="OQ7" s="260"/>
      <c r="OR7" s="260"/>
      <c r="OS7" s="252"/>
      <c r="OT7" s="252"/>
      <c r="OU7" s="252"/>
      <c r="OV7" s="252"/>
      <c r="OW7" s="252"/>
      <c r="OX7" s="252"/>
      <c r="OY7" s="252"/>
      <c r="OZ7" s="252"/>
      <c r="PA7" s="252"/>
      <c r="PB7" s="252"/>
      <c r="PC7" s="252"/>
      <c r="PD7" s="252"/>
      <c r="PE7" s="252"/>
      <c r="PF7" s="252"/>
      <c r="PG7" s="252"/>
      <c r="PH7" s="252"/>
      <c r="PI7" s="252"/>
      <c r="PJ7" s="252"/>
      <c r="PK7" s="252"/>
      <c r="PL7" s="252"/>
      <c r="PM7" s="252"/>
      <c r="PN7" s="252"/>
      <c r="PO7" s="252"/>
      <c r="PP7" s="252"/>
      <c r="PQ7" s="252"/>
      <c r="PR7" s="252"/>
      <c r="PS7" s="252"/>
      <c r="PT7" s="252"/>
      <c r="PU7" s="252"/>
      <c r="PV7" s="252"/>
      <c r="PW7" s="252"/>
      <c r="PX7" s="252"/>
      <c r="PY7" s="252"/>
      <c r="PZ7" s="252"/>
      <c r="QA7" s="252"/>
      <c r="QB7" s="252"/>
      <c r="QC7" s="252"/>
      <c r="QD7" s="252"/>
      <c r="QE7" s="252"/>
      <c r="QF7" s="250"/>
      <c r="QG7" s="250"/>
      <c r="QH7" s="250"/>
      <c r="QI7" s="250"/>
      <c r="QJ7" s="250"/>
      <c r="QK7" s="250"/>
      <c r="QL7" s="250"/>
      <c r="QM7" s="250"/>
      <c r="QN7" s="250"/>
      <c r="QO7" s="250"/>
      <c r="QP7" s="250"/>
      <c r="QQ7" s="250"/>
      <c r="QR7" s="250"/>
      <c r="QS7" s="250"/>
      <c r="QT7" s="250"/>
      <c r="QU7" s="250"/>
      <c r="QV7" s="250"/>
      <c r="QW7" s="250"/>
      <c r="QX7" s="250"/>
      <c r="QY7" s="250"/>
      <c r="QZ7" s="250"/>
      <c r="RA7" s="250"/>
      <c r="RB7" s="250"/>
      <c r="RC7" s="250"/>
      <c r="RD7" s="250"/>
      <c r="RE7" s="250"/>
      <c r="RF7" s="250"/>
      <c r="RG7" s="250"/>
      <c r="RH7" s="250"/>
      <c r="RI7" s="250"/>
      <c r="RJ7" s="250"/>
      <c r="RK7" s="250"/>
      <c r="RL7" s="250"/>
      <c r="RM7" s="250"/>
      <c r="RN7" s="250"/>
      <c r="RO7" s="250"/>
      <c r="RP7" s="250"/>
      <c r="RQ7" s="250"/>
      <c r="RR7" s="250"/>
      <c r="RS7" s="250"/>
      <c r="RT7" s="250"/>
      <c r="RU7" s="250"/>
      <c r="RV7" s="247" t="s">
        <v>6</v>
      </c>
      <c r="RW7" s="248" t="s">
        <v>34</v>
      </c>
      <c r="RX7" s="248"/>
      <c r="RY7" s="248" t="s">
        <v>33</v>
      </c>
      <c r="RZ7" s="248"/>
      <c r="SA7" s="248"/>
      <c r="SB7" s="248"/>
      <c r="SC7" s="248"/>
      <c r="SD7" s="247" t="s">
        <v>44</v>
      </c>
      <c r="SE7" s="247" t="s">
        <v>42</v>
      </c>
      <c r="SF7" s="247"/>
      <c r="SG7" s="247"/>
      <c r="SH7" s="247"/>
      <c r="SI7" s="247"/>
      <c r="SJ7" s="247"/>
      <c r="SK7" s="247"/>
      <c r="SL7" s="247"/>
      <c r="SM7" s="247"/>
      <c r="SN7" s="247"/>
      <c r="SO7" s="247"/>
      <c r="SP7" s="247"/>
      <c r="SQ7" s="247"/>
      <c r="SR7" s="247"/>
      <c r="SS7" s="247"/>
      <c r="ST7" s="247"/>
      <c r="SU7" s="247"/>
      <c r="SV7" s="247"/>
      <c r="SW7" s="247"/>
      <c r="SX7" s="247"/>
      <c r="SY7" s="247"/>
      <c r="SZ7" s="247"/>
      <c r="TA7" s="247"/>
      <c r="TB7" s="247"/>
      <c r="TC7" s="247" t="s">
        <v>45</v>
      </c>
      <c r="TD7" s="247"/>
      <c r="TE7" s="247" t="s">
        <v>47</v>
      </c>
      <c r="TF7" s="247"/>
      <c r="TG7" s="247" t="s">
        <v>40</v>
      </c>
      <c r="TH7" s="185" t="s">
        <v>48</v>
      </c>
      <c r="TI7" s="185" t="s">
        <v>49</v>
      </c>
      <c r="TJ7" s="185" t="s">
        <v>50</v>
      </c>
      <c r="TK7" s="185" t="s">
        <v>51</v>
      </c>
      <c r="TL7" s="185" t="s">
        <v>52</v>
      </c>
      <c r="TM7" s="249"/>
      <c r="TN7" s="249"/>
      <c r="TO7" s="249"/>
      <c r="TP7" s="247" t="s">
        <v>53</v>
      </c>
      <c r="TQ7" s="247" t="s">
        <v>53</v>
      </c>
      <c r="TR7" s="247" t="s">
        <v>53</v>
      </c>
      <c r="TS7" s="246"/>
      <c r="TT7" s="246"/>
      <c r="TU7" s="246"/>
      <c r="TV7" s="246"/>
      <c r="TW7" s="246"/>
      <c r="TX7" s="246"/>
      <c r="TY7" s="246"/>
      <c r="TZ7" s="246"/>
      <c r="UA7" s="262"/>
      <c r="UB7" s="262"/>
      <c r="UC7" s="262"/>
    </row>
    <row r="8" spans="1:549" s="175" customFormat="1" ht="34.5" customHeight="1" x14ac:dyDescent="0.25">
      <c r="A8" s="264"/>
      <c r="B8" s="265"/>
      <c r="C8" s="266"/>
      <c r="D8" s="247"/>
      <c r="E8" s="248"/>
      <c r="F8" s="248"/>
      <c r="G8" s="248"/>
      <c r="H8" s="248"/>
      <c r="I8" s="248"/>
      <c r="J8" s="248"/>
      <c r="K8" s="248"/>
      <c r="L8" s="248"/>
      <c r="M8" s="248" t="s">
        <v>54</v>
      </c>
      <c r="N8" s="248"/>
      <c r="O8" s="248"/>
      <c r="P8" s="36" t="s">
        <v>55</v>
      </c>
      <c r="Q8" s="247"/>
      <c r="R8" s="247"/>
      <c r="S8" s="247"/>
      <c r="T8" s="247"/>
      <c r="U8" s="247"/>
      <c r="V8" s="248" t="s">
        <v>56</v>
      </c>
      <c r="W8" s="248"/>
      <c r="X8" s="248"/>
      <c r="Y8" s="247" t="s">
        <v>27</v>
      </c>
      <c r="Z8" s="247"/>
      <c r="AA8" s="247"/>
      <c r="AB8" s="247" t="s">
        <v>57</v>
      </c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 t="s">
        <v>58</v>
      </c>
      <c r="BC8" s="247"/>
      <c r="BD8" s="247"/>
      <c r="BE8" s="247"/>
      <c r="BF8" s="247" t="s">
        <v>59</v>
      </c>
      <c r="BG8" s="173"/>
      <c r="BH8" s="173" t="s">
        <v>60</v>
      </c>
      <c r="BI8" s="173" t="s">
        <v>60</v>
      </c>
      <c r="BJ8" s="247" t="s">
        <v>28</v>
      </c>
      <c r="BK8" s="247"/>
      <c r="BL8" s="247"/>
      <c r="BM8" s="247"/>
      <c r="BN8" s="247"/>
      <c r="BO8" s="247"/>
      <c r="BP8" s="247" t="s">
        <v>29</v>
      </c>
      <c r="BQ8" s="247"/>
      <c r="BR8" s="247"/>
      <c r="BS8" s="247"/>
      <c r="BT8" s="247"/>
      <c r="BU8" s="247" t="s">
        <v>30</v>
      </c>
      <c r="BV8" s="247"/>
      <c r="BW8" s="247"/>
      <c r="BX8" s="247"/>
      <c r="BY8" s="247"/>
      <c r="BZ8" s="247"/>
      <c r="CA8" s="247"/>
      <c r="CB8" s="247"/>
      <c r="CC8" s="247"/>
      <c r="CD8" s="258" t="s">
        <v>61</v>
      </c>
      <c r="CE8" s="247"/>
      <c r="CF8" s="247" t="s">
        <v>62</v>
      </c>
      <c r="CG8" s="247" t="s">
        <v>63</v>
      </c>
      <c r="CH8" s="247" t="s">
        <v>64</v>
      </c>
      <c r="CI8" s="247" t="s">
        <v>65</v>
      </c>
      <c r="CJ8" s="247"/>
      <c r="CK8" s="247"/>
      <c r="CL8" s="247"/>
      <c r="CM8" s="247"/>
      <c r="CN8" s="247"/>
      <c r="CO8" s="248" t="s">
        <v>28</v>
      </c>
      <c r="CP8" s="248"/>
      <c r="CQ8" s="248"/>
      <c r="CR8" s="248"/>
      <c r="CS8" s="248"/>
      <c r="CT8" s="248"/>
      <c r="CU8" s="248" t="s">
        <v>29</v>
      </c>
      <c r="CV8" s="248"/>
      <c r="CW8" s="248"/>
      <c r="CX8" s="248"/>
      <c r="CY8" s="248"/>
      <c r="CZ8" s="247" t="s">
        <v>30</v>
      </c>
      <c r="DA8" s="247"/>
      <c r="DB8" s="247"/>
      <c r="DC8" s="247"/>
      <c r="DD8" s="247"/>
      <c r="DE8" s="247"/>
      <c r="DF8" s="247"/>
      <c r="DG8" s="247"/>
      <c r="DH8" s="247"/>
      <c r="DI8" s="248" t="s">
        <v>36</v>
      </c>
      <c r="DJ8" s="248"/>
      <c r="DK8" s="248"/>
      <c r="DL8" s="248"/>
      <c r="DM8" s="258" t="s">
        <v>61</v>
      </c>
      <c r="DN8" s="247" t="s">
        <v>66</v>
      </c>
      <c r="DO8" s="247" t="s">
        <v>67</v>
      </c>
      <c r="DP8" s="247"/>
      <c r="DQ8" s="247" t="s">
        <v>62</v>
      </c>
      <c r="DR8" s="247" t="s">
        <v>63</v>
      </c>
      <c r="DS8" s="247" t="s">
        <v>64</v>
      </c>
      <c r="DT8" s="247" t="s">
        <v>65</v>
      </c>
      <c r="DU8" s="247"/>
      <c r="DV8" s="247"/>
      <c r="DW8" s="247"/>
      <c r="DX8" s="247"/>
      <c r="DY8" s="248" t="s">
        <v>28</v>
      </c>
      <c r="DZ8" s="248"/>
      <c r="EA8" s="248"/>
      <c r="EB8" s="248"/>
      <c r="EC8" s="248"/>
      <c r="ED8" s="248"/>
      <c r="EE8" s="248" t="s">
        <v>29</v>
      </c>
      <c r="EF8" s="248"/>
      <c r="EG8" s="248"/>
      <c r="EH8" s="248"/>
      <c r="EI8" s="248"/>
      <c r="EJ8" s="247" t="s">
        <v>30</v>
      </c>
      <c r="EK8" s="247"/>
      <c r="EL8" s="247"/>
      <c r="EM8" s="247"/>
      <c r="EN8" s="247"/>
      <c r="EO8" s="247"/>
      <c r="EP8" s="247"/>
      <c r="EQ8" s="247"/>
      <c r="ER8" s="247"/>
      <c r="ES8" s="248" t="s">
        <v>36</v>
      </c>
      <c r="ET8" s="248"/>
      <c r="EU8" s="248"/>
      <c r="EV8" s="248"/>
      <c r="EW8" s="258" t="s">
        <v>61</v>
      </c>
      <c r="EX8" s="247" t="s">
        <v>66</v>
      </c>
      <c r="EY8" s="247" t="s">
        <v>67</v>
      </c>
      <c r="EZ8" s="247"/>
      <c r="FA8" s="247" t="s">
        <v>62</v>
      </c>
      <c r="FB8" s="247" t="s">
        <v>63</v>
      </c>
      <c r="FC8" s="247" t="s">
        <v>64</v>
      </c>
      <c r="FD8" s="247" t="s">
        <v>65</v>
      </c>
      <c r="FE8" s="247"/>
      <c r="FF8" s="247"/>
      <c r="FG8" s="247"/>
      <c r="FH8" s="247"/>
      <c r="FI8" s="248" t="s">
        <v>28</v>
      </c>
      <c r="FJ8" s="248"/>
      <c r="FK8" s="248"/>
      <c r="FL8" s="248"/>
      <c r="FM8" s="248"/>
      <c r="FN8" s="248"/>
      <c r="FO8" s="248" t="s">
        <v>29</v>
      </c>
      <c r="FP8" s="248"/>
      <c r="FQ8" s="248"/>
      <c r="FR8" s="248"/>
      <c r="FS8" s="248"/>
      <c r="FT8" s="247" t="s">
        <v>30</v>
      </c>
      <c r="FU8" s="247"/>
      <c r="FV8" s="247"/>
      <c r="FW8" s="247"/>
      <c r="FX8" s="247"/>
      <c r="FY8" s="247"/>
      <c r="FZ8" s="247"/>
      <c r="GA8" s="247"/>
      <c r="GB8" s="247"/>
      <c r="GC8" s="248" t="s">
        <v>36</v>
      </c>
      <c r="GD8" s="248"/>
      <c r="GE8" s="248"/>
      <c r="GF8" s="258" t="s">
        <v>61</v>
      </c>
      <c r="GG8" s="247"/>
      <c r="GH8" s="247"/>
      <c r="GI8" s="247"/>
      <c r="GJ8" s="247"/>
      <c r="GK8" s="263"/>
      <c r="GL8" s="263"/>
      <c r="GM8" s="263"/>
      <c r="GN8" s="263"/>
      <c r="GO8" s="263"/>
      <c r="GP8" s="263"/>
      <c r="GQ8" s="263"/>
      <c r="GR8" s="263"/>
      <c r="GS8" s="263"/>
      <c r="GT8" s="263"/>
      <c r="GU8" s="263"/>
      <c r="GV8" s="263"/>
      <c r="GW8" s="263"/>
      <c r="GX8" s="263"/>
      <c r="GY8" s="263"/>
      <c r="GZ8" s="263"/>
      <c r="HA8" s="263"/>
      <c r="HB8" s="263"/>
      <c r="HC8" s="263"/>
      <c r="HD8" s="263"/>
      <c r="HE8" s="263"/>
      <c r="HF8" s="263"/>
      <c r="HG8" s="263"/>
      <c r="HH8" s="263"/>
      <c r="HI8" s="263"/>
      <c r="HJ8" s="263"/>
      <c r="HK8" s="263"/>
      <c r="HL8" s="263"/>
      <c r="HM8" s="263"/>
      <c r="HN8" s="263"/>
      <c r="HO8" s="263"/>
      <c r="HP8" s="263"/>
      <c r="HQ8" s="263"/>
      <c r="HR8" s="263"/>
      <c r="HS8" s="263"/>
      <c r="HT8" s="263"/>
      <c r="HU8" s="263"/>
      <c r="HV8" s="263"/>
      <c r="HW8" s="263"/>
      <c r="HX8" s="263"/>
      <c r="HY8" s="263"/>
      <c r="HZ8" s="263"/>
      <c r="IA8" s="263"/>
      <c r="IB8" s="263"/>
      <c r="IC8" s="263"/>
      <c r="ID8" s="263"/>
      <c r="IE8" s="263"/>
      <c r="IF8" s="263"/>
      <c r="IG8" s="263"/>
      <c r="IH8" s="263"/>
      <c r="II8" s="263"/>
      <c r="IJ8" s="263"/>
      <c r="IK8" s="263"/>
      <c r="IL8" s="263"/>
      <c r="IM8" s="263"/>
      <c r="IN8" s="263"/>
      <c r="IO8" s="263"/>
      <c r="IP8" s="263"/>
      <c r="IQ8" s="250"/>
      <c r="IR8" s="250"/>
      <c r="IS8" s="250"/>
      <c r="IT8" s="250"/>
      <c r="IU8" s="250"/>
      <c r="IV8" s="250"/>
      <c r="IW8" s="250"/>
      <c r="IX8" s="250"/>
      <c r="IY8" s="250"/>
      <c r="IZ8" s="250"/>
      <c r="JA8" s="250"/>
      <c r="JB8" s="250"/>
      <c r="JC8" s="250"/>
      <c r="JD8" s="250"/>
      <c r="JE8" s="250"/>
      <c r="JF8" s="250"/>
      <c r="JG8" s="250"/>
      <c r="JH8" s="250"/>
      <c r="JI8" s="250"/>
      <c r="JJ8" s="250"/>
      <c r="JK8" s="250"/>
      <c r="JL8" s="250"/>
      <c r="JM8" s="250"/>
      <c r="JN8" s="250"/>
      <c r="JO8" s="250"/>
      <c r="JP8" s="250"/>
      <c r="JQ8" s="250"/>
      <c r="JR8" s="250"/>
      <c r="JS8" s="250"/>
      <c r="JT8" s="250"/>
      <c r="JU8" s="250"/>
      <c r="JV8" s="250"/>
      <c r="JW8" s="250"/>
      <c r="JX8" s="250"/>
      <c r="JY8" s="250"/>
      <c r="JZ8" s="250"/>
      <c r="KA8" s="250"/>
      <c r="KB8" s="250"/>
      <c r="KC8" s="250"/>
      <c r="KD8" s="250"/>
      <c r="KE8" s="250"/>
      <c r="KF8" s="250"/>
      <c r="KG8" s="250"/>
      <c r="KH8" s="250"/>
      <c r="KI8" s="250"/>
      <c r="KJ8" s="248" t="s">
        <v>68</v>
      </c>
      <c r="KK8" s="248"/>
      <c r="KL8" s="248"/>
      <c r="KM8" s="248"/>
      <c r="KN8" s="248"/>
      <c r="KO8" s="248"/>
      <c r="KP8" s="248"/>
      <c r="KQ8" s="248"/>
      <c r="KR8" s="248"/>
      <c r="KS8" s="248"/>
      <c r="KT8" s="248"/>
      <c r="KU8" s="248"/>
      <c r="KV8" s="248"/>
      <c r="KW8" s="247" t="s">
        <v>69</v>
      </c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9" t="s">
        <v>70</v>
      </c>
      <c r="MD8" s="249"/>
      <c r="ME8" s="249"/>
      <c r="MF8" s="249"/>
      <c r="MG8" s="249"/>
      <c r="MH8" s="249"/>
      <c r="MI8" s="249"/>
      <c r="MJ8" s="249"/>
      <c r="MK8" s="249"/>
      <c r="ML8" s="178"/>
      <c r="MM8" s="261" t="s">
        <v>71</v>
      </c>
      <c r="MN8" s="261"/>
      <c r="MO8" s="261"/>
      <c r="MP8" s="261"/>
      <c r="MQ8" s="261" t="s">
        <v>72</v>
      </c>
      <c r="MR8" s="261" t="s">
        <v>73</v>
      </c>
      <c r="MS8" s="261"/>
      <c r="MT8" s="261"/>
      <c r="MU8" s="261"/>
      <c r="MV8" s="261"/>
      <c r="MW8" s="261"/>
      <c r="MX8" s="259" t="s">
        <v>74</v>
      </c>
      <c r="MY8" s="259"/>
      <c r="MZ8" s="259"/>
      <c r="NA8" s="259"/>
      <c r="NB8" s="259"/>
      <c r="NC8" s="259"/>
      <c r="ND8" s="259"/>
      <c r="NE8" s="259"/>
      <c r="NF8" s="259"/>
      <c r="NG8" s="259"/>
      <c r="NH8" s="259"/>
      <c r="NI8" s="259"/>
      <c r="NJ8" s="259"/>
      <c r="NK8" s="259"/>
      <c r="NL8" s="259"/>
      <c r="NM8" s="259"/>
      <c r="NN8" s="259"/>
      <c r="NO8" s="259"/>
      <c r="NP8" s="259"/>
      <c r="NQ8" s="259"/>
      <c r="NR8" s="259"/>
      <c r="NS8" s="259"/>
      <c r="NT8" s="259"/>
      <c r="NU8" s="259"/>
      <c r="NV8" s="257"/>
      <c r="NW8" s="257"/>
      <c r="NX8" s="257"/>
      <c r="NY8" s="257"/>
      <c r="NZ8" s="257"/>
      <c r="OA8" s="257"/>
      <c r="OB8" s="257"/>
      <c r="OC8" s="257"/>
      <c r="OD8" s="260"/>
      <c r="OE8" s="260"/>
      <c r="OF8" s="260"/>
      <c r="OG8" s="260"/>
      <c r="OH8" s="260"/>
      <c r="OI8" s="260"/>
      <c r="OJ8" s="260"/>
      <c r="OK8" s="260"/>
      <c r="OL8" s="260"/>
      <c r="OM8" s="260"/>
      <c r="ON8" s="260"/>
      <c r="OO8" s="260"/>
      <c r="OP8" s="260"/>
      <c r="OQ8" s="260"/>
      <c r="OR8" s="260"/>
      <c r="OS8" s="252"/>
      <c r="OT8" s="252"/>
      <c r="OU8" s="252"/>
      <c r="OV8" s="252"/>
      <c r="OW8" s="252"/>
      <c r="OX8" s="252"/>
      <c r="OY8" s="252"/>
      <c r="OZ8" s="252"/>
      <c r="PA8" s="252"/>
      <c r="PB8" s="252"/>
      <c r="PC8" s="252"/>
      <c r="PD8" s="252"/>
      <c r="PE8" s="252"/>
      <c r="PF8" s="252"/>
      <c r="PG8" s="252"/>
      <c r="PH8" s="252"/>
      <c r="PI8" s="252"/>
      <c r="PJ8" s="252"/>
      <c r="PK8" s="252"/>
      <c r="PL8" s="252"/>
      <c r="PM8" s="252"/>
      <c r="PN8" s="252"/>
      <c r="PO8" s="252"/>
      <c r="PP8" s="252"/>
      <c r="PQ8" s="252"/>
      <c r="PR8" s="252"/>
      <c r="PS8" s="252"/>
      <c r="PT8" s="252"/>
      <c r="PU8" s="252"/>
      <c r="PV8" s="252"/>
      <c r="PW8" s="252"/>
      <c r="PX8" s="252"/>
      <c r="PY8" s="252"/>
      <c r="PZ8" s="252"/>
      <c r="QA8" s="252"/>
      <c r="QB8" s="252"/>
      <c r="QC8" s="252"/>
      <c r="QD8" s="252"/>
      <c r="QE8" s="252"/>
      <c r="QF8" s="250"/>
      <c r="QG8" s="250"/>
      <c r="QH8" s="250"/>
      <c r="QI8" s="250"/>
      <c r="QJ8" s="250"/>
      <c r="QK8" s="250"/>
      <c r="QL8" s="250"/>
      <c r="QM8" s="250"/>
      <c r="QN8" s="250"/>
      <c r="QO8" s="250"/>
      <c r="QP8" s="250"/>
      <c r="QQ8" s="250"/>
      <c r="QR8" s="250"/>
      <c r="QS8" s="250"/>
      <c r="QT8" s="250"/>
      <c r="QU8" s="250"/>
      <c r="QV8" s="250"/>
      <c r="QW8" s="250"/>
      <c r="QX8" s="250"/>
      <c r="QY8" s="250"/>
      <c r="QZ8" s="250"/>
      <c r="RA8" s="250"/>
      <c r="RB8" s="250"/>
      <c r="RC8" s="250"/>
      <c r="RD8" s="250"/>
      <c r="RE8" s="250"/>
      <c r="RF8" s="250"/>
      <c r="RG8" s="250"/>
      <c r="RH8" s="250"/>
      <c r="RI8" s="250"/>
      <c r="RJ8" s="250"/>
      <c r="RK8" s="250"/>
      <c r="RL8" s="250"/>
      <c r="RM8" s="250"/>
      <c r="RN8" s="250"/>
      <c r="RO8" s="250"/>
      <c r="RP8" s="250"/>
      <c r="RQ8" s="250"/>
      <c r="RR8" s="250"/>
      <c r="RS8" s="250"/>
      <c r="RT8" s="250"/>
      <c r="RU8" s="250"/>
      <c r="RV8" s="247"/>
      <c r="RW8" s="247" t="s">
        <v>62</v>
      </c>
      <c r="RX8" s="247" t="s">
        <v>63</v>
      </c>
      <c r="RY8" s="247" t="s">
        <v>64</v>
      </c>
      <c r="RZ8" s="247" t="s">
        <v>65</v>
      </c>
      <c r="SA8" s="247"/>
      <c r="SB8" s="247"/>
      <c r="SC8" s="247"/>
      <c r="SD8" s="247"/>
      <c r="SE8" s="248" t="s">
        <v>28</v>
      </c>
      <c r="SF8" s="248"/>
      <c r="SG8" s="248"/>
      <c r="SH8" s="248"/>
      <c r="SI8" s="248"/>
      <c r="SJ8" s="248"/>
      <c r="SK8" s="248" t="s">
        <v>29</v>
      </c>
      <c r="SL8" s="248"/>
      <c r="SM8" s="248"/>
      <c r="SN8" s="248"/>
      <c r="SO8" s="248"/>
      <c r="SP8" s="247" t="s">
        <v>30</v>
      </c>
      <c r="SQ8" s="247"/>
      <c r="SR8" s="247"/>
      <c r="SS8" s="247"/>
      <c r="ST8" s="247"/>
      <c r="SU8" s="247"/>
      <c r="SV8" s="247"/>
      <c r="SW8" s="247"/>
      <c r="SX8" s="247"/>
      <c r="SY8" s="248" t="s">
        <v>36</v>
      </c>
      <c r="SZ8" s="248"/>
      <c r="TA8" s="248"/>
      <c r="TB8" s="258" t="s">
        <v>61</v>
      </c>
      <c r="TC8" s="247"/>
      <c r="TD8" s="247"/>
      <c r="TE8" s="247"/>
      <c r="TF8" s="247"/>
      <c r="TG8" s="247"/>
      <c r="TH8" s="185"/>
      <c r="TI8" s="185"/>
      <c r="TJ8" s="185"/>
      <c r="TK8" s="185"/>
      <c r="TL8" s="185"/>
      <c r="TM8" s="249"/>
      <c r="TN8" s="249"/>
      <c r="TO8" s="249"/>
      <c r="TP8" s="247"/>
      <c r="TQ8" s="247"/>
      <c r="TR8" s="247"/>
      <c r="TS8" s="246"/>
      <c r="TT8" s="246"/>
      <c r="TU8" s="246"/>
      <c r="TV8" s="246"/>
      <c r="TW8" s="246"/>
      <c r="TX8" s="246"/>
      <c r="TY8" s="246"/>
      <c r="TZ8" s="246"/>
      <c r="UA8" s="262"/>
      <c r="UB8" s="262"/>
      <c r="UC8" s="262"/>
    </row>
    <row r="9" spans="1:549" s="175" customFormat="1" ht="35.25" customHeight="1" x14ac:dyDescent="0.25">
      <c r="A9" s="264"/>
      <c r="B9" s="265"/>
      <c r="C9" s="266"/>
      <c r="D9" s="247"/>
      <c r="E9" s="248"/>
      <c r="F9" s="248"/>
      <c r="G9" s="248"/>
      <c r="H9" s="248"/>
      <c r="I9" s="248"/>
      <c r="J9" s="248"/>
      <c r="K9" s="248"/>
      <c r="L9" s="248"/>
      <c r="M9" s="248" t="s">
        <v>75</v>
      </c>
      <c r="N9" s="248" t="s">
        <v>76</v>
      </c>
      <c r="O9" s="248" t="s">
        <v>77</v>
      </c>
      <c r="P9" s="248" t="s">
        <v>78</v>
      </c>
      <c r="Q9" s="248" t="s">
        <v>75</v>
      </c>
      <c r="R9" s="248" t="s">
        <v>76</v>
      </c>
      <c r="S9" s="248" t="s">
        <v>78</v>
      </c>
      <c r="T9" s="248" t="s">
        <v>77</v>
      </c>
      <c r="U9" s="248" t="s">
        <v>79</v>
      </c>
      <c r="V9" s="248"/>
      <c r="W9" s="248"/>
      <c r="X9" s="248"/>
      <c r="Y9" s="247"/>
      <c r="Z9" s="247"/>
      <c r="AA9" s="247"/>
      <c r="AB9" s="247"/>
      <c r="AC9" s="247"/>
      <c r="AD9" s="247"/>
      <c r="AE9" s="247"/>
      <c r="AF9" s="187" t="s">
        <v>80</v>
      </c>
      <c r="AG9" s="187" t="s">
        <v>81</v>
      </c>
      <c r="AH9" s="248" t="s">
        <v>82</v>
      </c>
      <c r="AI9" s="248" t="s">
        <v>83</v>
      </c>
      <c r="AJ9" s="36" t="s">
        <v>84</v>
      </c>
      <c r="AK9" s="36" t="s">
        <v>85</v>
      </c>
      <c r="AL9" s="248" t="s">
        <v>82</v>
      </c>
      <c r="AM9" s="248" t="s">
        <v>83</v>
      </c>
      <c r="AN9" s="248">
        <v>1</v>
      </c>
      <c r="AO9" s="248">
        <v>2</v>
      </c>
      <c r="AP9" s="248" t="s">
        <v>82</v>
      </c>
      <c r="AQ9" s="248" t="s">
        <v>83</v>
      </c>
      <c r="AR9" s="36" t="s">
        <v>80</v>
      </c>
      <c r="AS9" s="36" t="s">
        <v>81</v>
      </c>
      <c r="AT9" s="36" t="s">
        <v>86</v>
      </c>
      <c r="AU9" s="248" t="s">
        <v>82</v>
      </c>
      <c r="AV9" s="248" t="s">
        <v>83</v>
      </c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173" t="s">
        <v>36</v>
      </c>
      <c r="BH9" s="173" t="s">
        <v>87</v>
      </c>
      <c r="BI9" s="173" t="s">
        <v>54</v>
      </c>
      <c r="BJ9" s="247" t="s">
        <v>54</v>
      </c>
      <c r="BK9" s="247"/>
      <c r="BL9" s="247"/>
      <c r="BM9" s="247"/>
      <c r="BN9" s="247" t="s">
        <v>55</v>
      </c>
      <c r="BO9" s="247"/>
      <c r="BP9" s="247" t="s">
        <v>75</v>
      </c>
      <c r="BQ9" s="247" t="s">
        <v>76</v>
      </c>
      <c r="BR9" s="247" t="s">
        <v>78</v>
      </c>
      <c r="BS9" s="247" t="s">
        <v>82</v>
      </c>
      <c r="BT9" s="247" t="s">
        <v>83</v>
      </c>
      <c r="BU9" s="247" t="s">
        <v>56</v>
      </c>
      <c r="BV9" s="247"/>
      <c r="BW9" s="247"/>
      <c r="BX9" s="247" t="s">
        <v>88</v>
      </c>
      <c r="BY9" s="247"/>
      <c r="BZ9" s="247"/>
      <c r="CA9" s="247" t="s">
        <v>57</v>
      </c>
      <c r="CB9" s="247"/>
      <c r="CC9" s="247"/>
      <c r="CD9" s="258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8" t="s">
        <v>54</v>
      </c>
      <c r="CP9" s="248"/>
      <c r="CQ9" s="248"/>
      <c r="CR9" s="248"/>
      <c r="CS9" s="248" t="s">
        <v>55</v>
      </c>
      <c r="CT9" s="248"/>
      <c r="CU9" s="248" t="s">
        <v>75</v>
      </c>
      <c r="CV9" s="248" t="s">
        <v>76</v>
      </c>
      <c r="CW9" s="248" t="s">
        <v>78</v>
      </c>
      <c r="CX9" s="247" t="s">
        <v>82</v>
      </c>
      <c r="CY9" s="248" t="s">
        <v>79</v>
      </c>
      <c r="CZ9" s="248" t="s">
        <v>56</v>
      </c>
      <c r="DA9" s="248"/>
      <c r="DB9" s="248"/>
      <c r="DC9" s="248" t="s">
        <v>88</v>
      </c>
      <c r="DD9" s="248"/>
      <c r="DE9" s="248"/>
      <c r="DF9" s="248" t="s">
        <v>89</v>
      </c>
      <c r="DG9" s="248"/>
      <c r="DH9" s="248"/>
      <c r="DI9" s="248" t="s">
        <v>75</v>
      </c>
      <c r="DJ9" s="248" t="s">
        <v>76</v>
      </c>
      <c r="DK9" s="248" t="s">
        <v>90</v>
      </c>
      <c r="DL9" s="248" t="s">
        <v>79</v>
      </c>
      <c r="DM9" s="258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8" t="s">
        <v>54</v>
      </c>
      <c r="DZ9" s="248"/>
      <c r="EA9" s="248"/>
      <c r="EB9" s="36"/>
      <c r="EC9" s="248" t="s">
        <v>55</v>
      </c>
      <c r="ED9" s="248"/>
      <c r="EE9" s="248" t="s">
        <v>75</v>
      </c>
      <c r="EF9" s="248" t="s">
        <v>76</v>
      </c>
      <c r="EG9" s="248" t="s">
        <v>78</v>
      </c>
      <c r="EH9" s="247" t="s">
        <v>82</v>
      </c>
      <c r="EI9" s="248" t="s">
        <v>79</v>
      </c>
      <c r="EJ9" s="248" t="s">
        <v>56</v>
      </c>
      <c r="EK9" s="248"/>
      <c r="EL9" s="248"/>
      <c r="EM9" s="248" t="s">
        <v>88</v>
      </c>
      <c r="EN9" s="248"/>
      <c r="EO9" s="248"/>
      <c r="EP9" s="248" t="s">
        <v>89</v>
      </c>
      <c r="EQ9" s="248"/>
      <c r="ER9" s="248"/>
      <c r="ES9" s="248" t="s">
        <v>75</v>
      </c>
      <c r="ET9" s="248" t="s">
        <v>76</v>
      </c>
      <c r="EU9" s="248" t="s">
        <v>90</v>
      </c>
      <c r="EV9" s="248" t="s">
        <v>79</v>
      </c>
      <c r="EW9" s="258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8" t="s">
        <v>54</v>
      </c>
      <c r="FJ9" s="248"/>
      <c r="FK9" s="248"/>
      <c r="FL9" s="248"/>
      <c r="FM9" s="248" t="s">
        <v>55</v>
      </c>
      <c r="FN9" s="248"/>
      <c r="FO9" s="248" t="s">
        <v>75</v>
      </c>
      <c r="FP9" s="248" t="s">
        <v>76</v>
      </c>
      <c r="FQ9" s="248" t="s">
        <v>78</v>
      </c>
      <c r="FR9" s="247" t="s">
        <v>82</v>
      </c>
      <c r="FS9" s="248" t="s">
        <v>79</v>
      </c>
      <c r="FT9" s="248" t="s">
        <v>56</v>
      </c>
      <c r="FU9" s="248"/>
      <c r="FV9" s="248"/>
      <c r="FW9" s="248" t="s">
        <v>88</v>
      </c>
      <c r="FX9" s="248"/>
      <c r="FY9" s="248"/>
      <c r="FZ9" s="248" t="s">
        <v>89</v>
      </c>
      <c r="GA9" s="248"/>
      <c r="GB9" s="248"/>
      <c r="GC9" s="248" t="s">
        <v>75</v>
      </c>
      <c r="GD9" s="248" t="s">
        <v>76</v>
      </c>
      <c r="GE9" s="248" t="s">
        <v>90</v>
      </c>
      <c r="GF9" s="258"/>
      <c r="GG9" s="247"/>
      <c r="GH9" s="247"/>
      <c r="GI9" s="247"/>
      <c r="GJ9" s="247"/>
      <c r="GK9" s="247" t="s">
        <v>91</v>
      </c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 t="s">
        <v>92</v>
      </c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53" t="s">
        <v>93</v>
      </c>
      <c r="IR9" s="253"/>
      <c r="IS9" s="253"/>
      <c r="IT9" s="253"/>
      <c r="IU9" s="253"/>
      <c r="IV9" s="253"/>
      <c r="IW9" s="253"/>
      <c r="IX9" s="253"/>
      <c r="IY9" s="253"/>
      <c r="IZ9" s="253"/>
      <c r="JA9" s="253"/>
      <c r="JB9" s="253"/>
      <c r="JC9" s="253"/>
      <c r="JD9" s="253"/>
      <c r="JE9" s="253"/>
      <c r="JF9" s="253"/>
      <c r="JG9" s="248" t="s">
        <v>62</v>
      </c>
      <c r="JH9" s="248"/>
      <c r="JI9" s="248"/>
      <c r="JJ9" s="248"/>
      <c r="JK9" s="248"/>
      <c r="JL9" s="253" t="s">
        <v>63</v>
      </c>
      <c r="JM9" s="253"/>
      <c r="JN9" s="253"/>
      <c r="JO9" s="253"/>
      <c r="JP9" s="253"/>
      <c r="JQ9" s="257" t="s">
        <v>94</v>
      </c>
      <c r="JR9" s="257"/>
      <c r="JS9" s="257"/>
      <c r="JT9" s="257"/>
      <c r="JU9" s="257"/>
      <c r="JV9" s="257"/>
      <c r="JW9" s="257"/>
      <c r="JX9" s="257"/>
      <c r="JY9" s="257"/>
      <c r="JZ9" s="257"/>
      <c r="KA9" s="257"/>
      <c r="KB9" s="257"/>
      <c r="KC9" s="257"/>
      <c r="KD9" s="257"/>
      <c r="KE9" s="257"/>
      <c r="KF9" s="257"/>
      <c r="KG9" s="257"/>
      <c r="KH9" s="257"/>
      <c r="KI9" s="257"/>
      <c r="KJ9" s="248" t="s">
        <v>95</v>
      </c>
      <c r="KK9" s="248"/>
      <c r="KL9" s="248"/>
      <c r="KM9" s="248"/>
      <c r="KN9" s="248"/>
      <c r="KO9" s="248"/>
      <c r="KP9" s="248"/>
      <c r="KQ9" s="248"/>
      <c r="KR9" s="248"/>
      <c r="KS9" s="248"/>
      <c r="KT9" s="248"/>
      <c r="KU9" s="248"/>
      <c r="KV9" s="248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9"/>
      <c r="MD9" s="249"/>
      <c r="ME9" s="249"/>
      <c r="MF9" s="249"/>
      <c r="MG9" s="249"/>
      <c r="MH9" s="249"/>
      <c r="MI9" s="249"/>
      <c r="MJ9" s="249"/>
      <c r="MK9" s="249"/>
      <c r="ML9" s="178"/>
      <c r="MM9" s="261"/>
      <c r="MN9" s="261"/>
      <c r="MO9" s="261"/>
      <c r="MP9" s="261"/>
      <c r="MQ9" s="261"/>
      <c r="MR9" s="261"/>
      <c r="MS9" s="261"/>
      <c r="MT9" s="261"/>
      <c r="MU9" s="261"/>
      <c r="MV9" s="261"/>
      <c r="MW9" s="261"/>
      <c r="MX9" s="259"/>
      <c r="MY9" s="259"/>
      <c r="MZ9" s="259"/>
      <c r="NA9" s="259"/>
      <c r="NB9" s="259"/>
      <c r="NC9" s="259"/>
      <c r="ND9" s="259"/>
      <c r="NE9" s="259"/>
      <c r="NF9" s="259"/>
      <c r="NG9" s="259"/>
      <c r="NH9" s="259"/>
      <c r="NI9" s="259"/>
      <c r="NJ9" s="259"/>
      <c r="NK9" s="259"/>
      <c r="NL9" s="259"/>
      <c r="NM9" s="259"/>
      <c r="NN9" s="259"/>
      <c r="NO9" s="259"/>
      <c r="NP9" s="259"/>
      <c r="NQ9" s="259"/>
      <c r="NR9" s="259"/>
      <c r="NS9" s="259"/>
      <c r="NT9" s="259"/>
      <c r="NU9" s="259"/>
      <c r="NV9" s="257" t="s">
        <v>96</v>
      </c>
      <c r="NW9" s="257"/>
      <c r="NX9" s="257"/>
      <c r="NY9" s="257"/>
      <c r="NZ9" s="257"/>
      <c r="OA9" s="257"/>
      <c r="OB9" s="257"/>
      <c r="OC9" s="257"/>
      <c r="OD9" s="260" t="s">
        <v>97</v>
      </c>
      <c r="OE9" s="260"/>
      <c r="OF9" s="260"/>
      <c r="OG9" s="260"/>
      <c r="OH9" s="260"/>
      <c r="OI9" s="260"/>
      <c r="OJ9" s="260"/>
      <c r="OK9" s="260"/>
      <c r="OL9" s="260"/>
      <c r="OM9" s="260"/>
      <c r="ON9" s="260"/>
      <c r="OO9" s="260"/>
      <c r="OP9" s="260"/>
      <c r="OQ9" s="260"/>
      <c r="OR9" s="260"/>
      <c r="OS9" s="252" t="s">
        <v>98</v>
      </c>
      <c r="OT9" s="252"/>
      <c r="OU9" s="252"/>
      <c r="OV9" s="252"/>
      <c r="OW9" s="252"/>
      <c r="OX9" s="252"/>
      <c r="OY9" s="250" t="s">
        <v>99</v>
      </c>
      <c r="OZ9" s="250"/>
      <c r="PA9" s="250"/>
      <c r="PB9" s="250"/>
      <c r="PC9" s="250"/>
      <c r="PD9" s="250"/>
      <c r="PE9" s="250"/>
      <c r="PF9" s="250"/>
      <c r="PG9" s="250"/>
      <c r="PH9" s="250"/>
      <c r="PI9" s="250"/>
      <c r="PJ9" s="250"/>
      <c r="PK9" s="250"/>
      <c r="PL9" s="250"/>
      <c r="PM9" s="250"/>
      <c r="PN9" s="250"/>
      <c r="PO9" s="250"/>
      <c r="PP9" s="250"/>
      <c r="PQ9" s="250"/>
      <c r="PR9" s="250"/>
      <c r="PS9" s="250"/>
      <c r="PT9" s="250"/>
      <c r="PU9" s="250"/>
      <c r="PV9" s="250"/>
      <c r="PW9" s="250"/>
      <c r="PX9" s="250"/>
      <c r="PY9" s="250"/>
      <c r="PZ9" s="250"/>
      <c r="QA9" s="250" t="s">
        <v>100</v>
      </c>
      <c r="QB9" s="250"/>
      <c r="QC9" s="250"/>
      <c r="QD9" s="250"/>
      <c r="QE9" s="250"/>
      <c r="QF9" s="250" t="s">
        <v>101</v>
      </c>
      <c r="QG9" s="250"/>
      <c r="QH9" s="250"/>
      <c r="QI9" s="250"/>
      <c r="QJ9" s="250"/>
      <c r="QK9" s="250"/>
      <c r="QL9" s="250"/>
      <c r="QM9" s="250" t="s">
        <v>102</v>
      </c>
      <c r="QN9" s="250"/>
      <c r="QO9" s="250"/>
      <c r="QP9" s="250"/>
      <c r="QQ9" s="250"/>
      <c r="QR9" s="250"/>
      <c r="QS9" s="250"/>
      <c r="QT9" s="250" t="s">
        <v>103</v>
      </c>
      <c r="QU9" s="250"/>
      <c r="QV9" s="250"/>
      <c r="QW9" s="250"/>
      <c r="QX9" s="250"/>
      <c r="QY9" s="250"/>
      <c r="QZ9" s="250"/>
      <c r="RA9" s="250" t="s">
        <v>104</v>
      </c>
      <c r="RB9" s="250"/>
      <c r="RC9" s="250"/>
      <c r="RD9" s="250"/>
      <c r="RE9" s="250"/>
      <c r="RF9" s="250"/>
      <c r="RG9" s="250"/>
      <c r="RH9" s="250" t="s">
        <v>105</v>
      </c>
      <c r="RI9" s="250"/>
      <c r="RJ9" s="250"/>
      <c r="RK9" s="250"/>
      <c r="RL9" s="250"/>
      <c r="RM9" s="250"/>
      <c r="RN9" s="250"/>
      <c r="RO9" s="250" t="s">
        <v>106</v>
      </c>
      <c r="RP9" s="250"/>
      <c r="RQ9" s="250"/>
      <c r="RR9" s="250"/>
      <c r="RS9" s="250"/>
      <c r="RT9" s="250"/>
      <c r="RU9" s="250"/>
      <c r="RV9" s="247"/>
      <c r="RW9" s="247"/>
      <c r="RX9" s="247"/>
      <c r="RY9" s="247"/>
      <c r="RZ9" s="247"/>
      <c r="SA9" s="247"/>
      <c r="SB9" s="247"/>
      <c r="SC9" s="247"/>
      <c r="SD9" s="247"/>
      <c r="SE9" s="248" t="s">
        <v>54</v>
      </c>
      <c r="SF9" s="248"/>
      <c r="SG9" s="248"/>
      <c r="SH9" s="248"/>
      <c r="SI9" s="248" t="s">
        <v>55</v>
      </c>
      <c r="SJ9" s="248"/>
      <c r="SK9" s="248" t="s">
        <v>75</v>
      </c>
      <c r="SL9" s="248" t="s">
        <v>76</v>
      </c>
      <c r="SM9" s="248" t="s">
        <v>78</v>
      </c>
      <c r="SN9" s="247" t="s">
        <v>82</v>
      </c>
      <c r="SO9" s="248" t="s">
        <v>79</v>
      </c>
      <c r="SP9" s="248" t="s">
        <v>56</v>
      </c>
      <c r="SQ9" s="248"/>
      <c r="SR9" s="248"/>
      <c r="SS9" s="248" t="s">
        <v>88</v>
      </c>
      <c r="ST9" s="248"/>
      <c r="SU9" s="248"/>
      <c r="SV9" s="248" t="s">
        <v>89</v>
      </c>
      <c r="SW9" s="248"/>
      <c r="SX9" s="248"/>
      <c r="SY9" s="248" t="s">
        <v>75</v>
      </c>
      <c r="SZ9" s="248" t="s">
        <v>76</v>
      </c>
      <c r="TA9" s="248" t="s">
        <v>90</v>
      </c>
      <c r="TB9" s="258"/>
      <c r="TC9" s="247"/>
      <c r="TD9" s="247"/>
      <c r="TE9" s="247"/>
      <c r="TF9" s="247"/>
      <c r="TG9" s="247"/>
      <c r="TH9" s="174"/>
      <c r="TI9" s="174"/>
      <c r="TJ9" s="174"/>
      <c r="TK9" s="174"/>
      <c r="TL9" s="174"/>
      <c r="TM9" s="249"/>
      <c r="TN9" s="249"/>
      <c r="TO9" s="249"/>
      <c r="TP9" s="247"/>
      <c r="TQ9" s="247"/>
      <c r="TR9" s="247"/>
      <c r="TS9" s="252" t="s">
        <v>53</v>
      </c>
      <c r="TT9" s="252"/>
      <c r="TU9" s="252"/>
      <c r="TV9" s="246"/>
      <c r="TW9" s="246"/>
      <c r="TX9" s="246"/>
      <c r="TY9" s="246"/>
      <c r="TZ9" s="246"/>
      <c r="UA9" s="262"/>
      <c r="UB9" s="262"/>
      <c r="UC9" s="262"/>
    </row>
    <row r="10" spans="1:549" s="175" customFormat="1" ht="108" x14ac:dyDescent="0.25">
      <c r="A10" s="264"/>
      <c r="B10" s="265"/>
      <c r="C10" s="266"/>
      <c r="D10" s="247"/>
      <c r="E10" s="248" t="s">
        <v>107</v>
      </c>
      <c r="F10" s="247" t="s">
        <v>108</v>
      </c>
      <c r="G10" s="247" t="s">
        <v>109</v>
      </c>
      <c r="H10" s="247" t="s">
        <v>77</v>
      </c>
      <c r="I10" s="248" t="s">
        <v>110</v>
      </c>
      <c r="J10" s="247" t="s">
        <v>107</v>
      </c>
      <c r="K10" s="247" t="s">
        <v>111</v>
      </c>
      <c r="L10" s="247" t="s">
        <v>77</v>
      </c>
      <c r="M10" s="248"/>
      <c r="N10" s="248"/>
      <c r="O10" s="248"/>
      <c r="P10" s="248"/>
      <c r="Q10" s="248"/>
      <c r="R10" s="248"/>
      <c r="S10" s="248"/>
      <c r="T10" s="248"/>
      <c r="U10" s="248"/>
      <c r="V10" s="248" t="s">
        <v>76</v>
      </c>
      <c r="W10" s="248" t="s">
        <v>78</v>
      </c>
      <c r="X10" s="247" t="s">
        <v>82</v>
      </c>
      <c r="Y10" s="248" t="s">
        <v>76</v>
      </c>
      <c r="Z10" s="248" t="s">
        <v>78</v>
      </c>
      <c r="AA10" s="247" t="s">
        <v>82</v>
      </c>
      <c r="AB10" s="248" t="s">
        <v>76</v>
      </c>
      <c r="AC10" s="248" t="s">
        <v>78</v>
      </c>
      <c r="AD10" s="247" t="s">
        <v>82</v>
      </c>
      <c r="AE10" s="247" t="s">
        <v>112</v>
      </c>
      <c r="AF10" s="248">
        <v>1</v>
      </c>
      <c r="AG10" s="248">
        <v>2</v>
      </c>
      <c r="AH10" s="248"/>
      <c r="AI10" s="248"/>
      <c r="AJ10" s="248">
        <v>1</v>
      </c>
      <c r="AK10" s="248">
        <v>2</v>
      </c>
      <c r="AL10" s="248"/>
      <c r="AM10" s="248"/>
      <c r="AN10" s="248"/>
      <c r="AO10" s="248"/>
      <c r="AP10" s="248"/>
      <c r="AQ10" s="248"/>
      <c r="AR10" s="248">
        <v>1</v>
      </c>
      <c r="AS10" s="248">
        <v>2</v>
      </c>
      <c r="AT10" s="248">
        <v>3</v>
      </c>
      <c r="AU10" s="248"/>
      <c r="AV10" s="248"/>
      <c r="AW10" s="247"/>
      <c r="AX10" s="247" t="s">
        <v>113</v>
      </c>
      <c r="AY10" s="247" t="s">
        <v>114</v>
      </c>
      <c r="AZ10" s="247" t="s">
        <v>114</v>
      </c>
      <c r="BA10" s="247" t="s">
        <v>114</v>
      </c>
      <c r="BB10" s="247" t="s">
        <v>75</v>
      </c>
      <c r="BC10" s="247" t="s">
        <v>76</v>
      </c>
      <c r="BD10" s="247" t="s">
        <v>90</v>
      </c>
      <c r="BE10" s="247" t="s">
        <v>83</v>
      </c>
      <c r="BF10" s="247" t="s">
        <v>75</v>
      </c>
      <c r="BG10" s="247" t="s">
        <v>115</v>
      </c>
      <c r="BH10" s="247" t="s">
        <v>75</v>
      </c>
      <c r="BI10" s="247" t="s">
        <v>75</v>
      </c>
      <c r="BJ10" s="247" t="s">
        <v>75</v>
      </c>
      <c r="BK10" s="247" t="s">
        <v>76</v>
      </c>
      <c r="BL10" s="247" t="s">
        <v>82</v>
      </c>
      <c r="BM10" s="247" t="s">
        <v>83</v>
      </c>
      <c r="BN10" s="247" t="s">
        <v>78</v>
      </c>
      <c r="BO10" s="247" t="s">
        <v>79</v>
      </c>
      <c r="BP10" s="247"/>
      <c r="BQ10" s="247"/>
      <c r="BR10" s="247"/>
      <c r="BS10" s="247"/>
      <c r="BT10" s="247"/>
      <c r="BU10" s="247" t="s">
        <v>76</v>
      </c>
      <c r="BV10" s="247" t="s">
        <v>78</v>
      </c>
      <c r="BW10" s="247" t="s">
        <v>90</v>
      </c>
      <c r="BX10" s="247" t="s">
        <v>76</v>
      </c>
      <c r="BY10" s="247" t="s">
        <v>78</v>
      </c>
      <c r="BZ10" s="247" t="s">
        <v>90</v>
      </c>
      <c r="CA10" s="247" t="s">
        <v>76</v>
      </c>
      <c r="CB10" s="247" t="s">
        <v>78</v>
      </c>
      <c r="CC10" s="247" t="s">
        <v>90</v>
      </c>
      <c r="CD10" s="247" t="s">
        <v>75</v>
      </c>
      <c r="CE10" s="247"/>
      <c r="CF10" s="248" t="s">
        <v>75</v>
      </c>
      <c r="CG10" s="248" t="s">
        <v>75</v>
      </c>
      <c r="CH10" s="248" t="s">
        <v>75</v>
      </c>
      <c r="CI10" s="248" t="s">
        <v>75</v>
      </c>
      <c r="CJ10" s="248" t="s">
        <v>76</v>
      </c>
      <c r="CK10" s="248" t="s">
        <v>78</v>
      </c>
      <c r="CL10" s="248" t="s">
        <v>90</v>
      </c>
      <c r="CM10" s="248" t="s">
        <v>75</v>
      </c>
      <c r="CN10" s="248" t="s">
        <v>75</v>
      </c>
      <c r="CO10" s="248" t="s">
        <v>75</v>
      </c>
      <c r="CP10" s="248" t="s">
        <v>76</v>
      </c>
      <c r="CQ10" s="247" t="s">
        <v>82</v>
      </c>
      <c r="CR10" s="248" t="s">
        <v>79</v>
      </c>
      <c r="CS10" s="248" t="s">
        <v>78</v>
      </c>
      <c r="CT10" s="248" t="s">
        <v>79</v>
      </c>
      <c r="CU10" s="248"/>
      <c r="CV10" s="248"/>
      <c r="CW10" s="248"/>
      <c r="CX10" s="247"/>
      <c r="CY10" s="248"/>
      <c r="CZ10" s="248" t="s">
        <v>76</v>
      </c>
      <c r="DA10" s="248" t="s">
        <v>78</v>
      </c>
      <c r="DB10" s="248" t="s">
        <v>90</v>
      </c>
      <c r="DC10" s="248" t="s">
        <v>76</v>
      </c>
      <c r="DD10" s="248" t="s">
        <v>78</v>
      </c>
      <c r="DE10" s="248" t="s">
        <v>90</v>
      </c>
      <c r="DF10" s="248" t="s">
        <v>76</v>
      </c>
      <c r="DG10" s="248" t="s">
        <v>78</v>
      </c>
      <c r="DH10" s="248" t="s">
        <v>90</v>
      </c>
      <c r="DI10" s="248"/>
      <c r="DJ10" s="248"/>
      <c r="DK10" s="248"/>
      <c r="DL10" s="248"/>
      <c r="DM10" s="248" t="s">
        <v>75</v>
      </c>
      <c r="DN10" s="247"/>
      <c r="DO10" s="247"/>
      <c r="DP10" s="247"/>
      <c r="DQ10" s="248" t="s">
        <v>75</v>
      </c>
      <c r="DR10" s="248" t="s">
        <v>75</v>
      </c>
      <c r="DS10" s="248" t="s">
        <v>75</v>
      </c>
      <c r="DT10" s="248" t="s">
        <v>75</v>
      </c>
      <c r="DU10" s="248" t="s">
        <v>76</v>
      </c>
      <c r="DV10" s="248" t="s">
        <v>78</v>
      </c>
      <c r="DW10" s="248" t="s">
        <v>116</v>
      </c>
      <c r="DX10" s="248" t="s">
        <v>75</v>
      </c>
      <c r="DY10" s="248" t="s">
        <v>75</v>
      </c>
      <c r="DZ10" s="248" t="s">
        <v>76</v>
      </c>
      <c r="EA10" s="247" t="s">
        <v>82</v>
      </c>
      <c r="EB10" s="248" t="s">
        <v>79</v>
      </c>
      <c r="EC10" s="248" t="s">
        <v>78</v>
      </c>
      <c r="ED10" s="248" t="s">
        <v>79</v>
      </c>
      <c r="EE10" s="248"/>
      <c r="EF10" s="248"/>
      <c r="EG10" s="248"/>
      <c r="EH10" s="247"/>
      <c r="EI10" s="248"/>
      <c r="EJ10" s="248" t="s">
        <v>76</v>
      </c>
      <c r="EK10" s="248" t="s">
        <v>78</v>
      </c>
      <c r="EL10" s="248" t="s">
        <v>90</v>
      </c>
      <c r="EM10" s="248" t="s">
        <v>76</v>
      </c>
      <c r="EN10" s="248" t="s">
        <v>78</v>
      </c>
      <c r="EO10" s="248" t="s">
        <v>90</v>
      </c>
      <c r="EP10" s="248" t="s">
        <v>76</v>
      </c>
      <c r="EQ10" s="248" t="s">
        <v>78</v>
      </c>
      <c r="ER10" s="248" t="s">
        <v>90</v>
      </c>
      <c r="ES10" s="248"/>
      <c r="ET10" s="248"/>
      <c r="EU10" s="248"/>
      <c r="EV10" s="248"/>
      <c r="EW10" s="248" t="s">
        <v>75</v>
      </c>
      <c r="EX10" s="247"/>
      <c r="EY10" s="247"/>
      <c r="EZ10" s="247"/>
      <c r="FA10" s="248" t="s">
        <v>75</v>
      </c>
      <c r="FB10" s="248" t="s">
        <v>75</v>
      </c>
      <c r="FC10" s="248" t="s">
        <v>75</v>
      </c>
      <c r="FD10" s="248" t="s">
        <v>75</v>
      </c>
      <c r="FE10" s="248" t="s">
        <v>76</v>
      </c>
      <c r="FF10" s="248" t="s">
        <v>78</v>
      </c>
      <c r="FG10" s="248" t="s">
        <v>117</v>
      </c>
      <c r="FH10" s="248" t="s">
        <v>75</v>
      </c>
      <c r="FI10" s="248" t="s">
        <v>75</v>
      </c>
      <c r="FJ10" s="248" t="s">
        <v>76</v>
      </c>
      <c r="FK10" s="247" t="s">
        <v>82</v>
      </c>
      <c r="FL10" s="248" t="s">
        <v>79</v>
      </c>
      <c r="FM10" s="248" t="s">
        <v>78</v>
      </c>
      <c r="FN10" s="248" t="s">
        <v>79</v>
      </c>
      <c r="FO10" s="248"/>
      <c r="FP10" s="248"/>
      <c r="FQ10" s="248"/>
      <c r="FR10" s="247"/>
      <c r="FS10" s="248"/>
      <c r="FT10" s="248" t="s">
        <v>76</v>
      </c>
      <c r="FU10" s="248" t="s">
        <v>78</v>
      </c>
      <c r="FV10" s="248" t="s">
        <v>90</v>
      </c>
      <c r="FW10" s="248" t="s">
        <v>76</v>
      </c>
      <c r="FX10" s="248" t="s">
        <v>78</v>
      </c>
      <c r="FY10" s="248" t="s">
        <v>90</v>
      </c>
      <c r="FZ10" s="248" t="s">
        <v>76</v>
      </c>
      <c r="GA10" s="248" t="s">
        <v>78</v>
      </c>
      <c r="GB10" s="248" t="s">
        <v>90</v>
      </c>
      <c r="GC10" s="248"/>
      <c r="GD10" s="248"/>
      <c r="GE10" s="248"/>
      <c r="GF10" s="248" t="s">
        <v>75</v>
      </c>
      <c r="GG10" s="248" t="s">
        <v>75</v>
      </c>
      <c r="GH10" s="248" t="s">
        <v>76</v>
      </c>
      <c r="GI10" s="248" t="s">
        <v>118</v>
      </c>
      <c r="GJ10" s="248" t="s">
        <v>76</v>
      </c>
      <c r="GK10" s="248" t="s">
        <v>119</v>
      </c>
      <c r="GL10" s="248"/>
      <c r="GM10" s="248"/>
      <c r="GN10" s="248"/>
      <c r="GO10" s="248" t="s">
        <v>120</v>
      </c>
      <c r="GP10" s="248"/>
      <c r="GQ10" s="248"/>
      <c r="GR10" s="248"/>
      <c r="GS10" s="36" t="s">
        <v>121</v>
      </c>
      <c r="GT10" s="248" t="s">
        <v>122</v>
      </c>
      <c r="GU10" s="248"/>
      <c r="GV10" s="248"/>
      <c r="GW10" s="248"/>
      <c r="GX10" s="36" t="s">
        <v>123</v>
      </c>
      <c r="GY10" s="248" t="s">
        <v>124</v>
      </c>
      <c r="GZ10" s="248"/>
      <c r="HA10" s="248"/>
      <c r="HB10" s="248"/>
      <c r="HC10" s="36" t="s">
        <v>121</v>
      </c>
      <c r="HD10" s="248" t="s">
        <v>125</v>
      </c>
      <c r="HE10" s="248"/>
      <c r="HF10" s="248"/>
      <c r="HG10" s="248"/>
      <c r="HH10" s="36" t="s">
        <v>121</v>
      </c>
      <c r="HI10" s="248" t="s">
        <v>126</v>
      </c>
      <c r="HJ10" s="248"/>
      <c r="HK10" s="248"/>
      <c r="HL10" s="248"/>
      <c r="HM10" s="36" t="s">
        <v>121</v>
      </c>
      <c r="HN10" s="248" t="s">
        <v>127</v>
      </c>
      <c r="HO10" s="248"/>
      <c r="HP10" s="248"/>
      <c r="HQ10" s="248"/>
      <c r="HR10" s="36" t="s">
        <v>121</v>
      </c>
      <c r="HS10" s="248" t="s">
        <v>120</v>
      </c>
      <c r="HT10" s="248"/>
      <c r="HU10" s="248"/>
      <c r="HV10" s="248"/>
      <c r="HW10" s="248" t="s">
        <v>122</v>
      </c>
      <c r="HX10" s="248"/>
      <c r="HY10" s="248"/>
      <c r="HZ10" s="248"/>
      <c r="IA10" s="36" t="s">
        <v>128</v>
      </c>
      <c r="IB10" s="248" t="s">
        <v>129</v>
      </c>
      <c r="IC10" s="248"/>
      <c r="ID10" s="248"/>
      <c r="IE10" s="248"/>
      <c r="IF10" s="36" t="s">
        <v>121</v>
      </c>
      <c r="IG10" s="248" t="s">
        <v>125</v>
      </c>
      <c r="IH10" s="248"/>
      <c r="II10" s="248"/>
      <c r="IJ10" s="248"/>
      <c r="IK10" s="36" t="s">
        <v>121</v>
      </c>
      <c r="IL10" s="248" t="s">
        <v>130</v>
      </c>
      <c r="IM10" s="248"/>
      <c r="IN10" s="248"/>
      <c r="IO10" s="248"/>
      <c r="IP10" s="36" t="s">
        <v>121</v>
      </c>
      <c r="IQ10" s="256" t="s">
        <v>131</v>
      </c>
      <c r="IR10" s="256"/>
      <c r="IS10" s="256"/>
      <c r="IT10" s="256"/>
      <c r="IU10" s="256" t="s">
        <v>132</v>
      </c>
      <c r="IV10" s="256"/>
      <c r="IW10" s="256"/>
      <c r="IX10" s="256"/>
      <c r="IY10" s="256" t="s">
        <v>133</v>
      </c>
      <c r="IZ10" s="256"/>
      <c r="JA10" s="256"/>
      <c r="JB10" s="256"/>
      <c r="JC10" s="256" t="s">
        <v>134</v>
      </c>
      <c r="JD10" s="256"/>
      <c r="JE10" s="256"/>
      <c r="JF10" s="256"/>
      <c r="JG10" s="188" t="s">
        <v>135</v>
      </c>
      <c r="JH10" s="188" t="s">
        <v>136</v>
      </c>
      <c r="JI10" s="188" t="s">
        <v>137</v>
      </c>
      <c r="JJ10" s="188" t="s">
        <v>138</v>
      </c>
      <c r="JK10" s="188" t="s">
        <v>139</v>
      </c>
      <c r="JL10" s="188" t="s">
        <v>135</v>
      </c>
      <c r="JM10" s="188" t="s">
        <v>136</v>
      </c>
      <c r="JN10" s="188" t="s">
        <v>137</v>
      </c>
      <c r="JO10" s="188" t="s">
        <v>138</v>
      </c>
      <c r="JP10" s="188" t="s">
        <v>139</v>
      </c>
      <c r="JQ10" s="189" t="s">
        <v>140</v>
      </c>
      <c r="JR10" s="189" t="s">
        <v>141</v>
      </c>
      <c r="JS10" s="189" t="s">
        <v>142</v>
      </c>
      <c r="JT10" s="189" t="s">
        <v>143</v>
      </c>
      <c r="JU10" s="189" t="s">
        <v>144</v>
      </c>
      <c r="JV10" s="189" t="s">
        <v>145</v>
      </c>
      <c r="JW10" s="189" t="s">
        <v>146</v>
      </c>
      <c r="JX10" s="189" t="s">
        <v>147</v>
      </c>
      <c r="JY10" s="189" t="s">
        <v>148</v>
      </c>
      <c r="JZ10" s="189" t="s">
        <v>149</v>
      </c>
      <c r="KA10" s="189" t="s">
        <v>150</v>
      </c>
      <c r="KB10" s="189" t="s">
        <v>151</v>
      </c>
      <c r="KC10" s="189" t="s">
        <v>152</v>
      </c>
      <c r="KD10" s="189" t="s">
        <v>153</v>
      </c>
      <c r="KE10" s="189" t="s">
        <v>154</v>
      </c>
      <c r="KF10" s="189" t="s">
        <v>155</v>
      </c>
      <c r="KG10" s="189" t="s">
        <v>156</v>
      </c>
      <c r="KH10" s="189" t="s">
        <v>157</v>
      </c>
      <c r="KI10" s="189" t="s">
        <v>158</v>
      </c>
      <c r="KJ10" s="188" t="s">
        <v>135</v>
      </c>
      <c r="KK10" s="188" t="s">
        <v>136</v>
      </c>
      <c r="KL10" s="188" t="s">
        <v>137</v>
      </c>
      <c r="KM10" s="188" t="s">
        <v>138</v>
      </c>
      <c r="KN10" s="188" t="s">
        <v>159</v>
      </c>
      <c r="KO10" s="188" t="s">
        <v>143</v>
      </c>
      <c r="KP10" s="188" t="s">
        <v>160</v>
      </c>
      <c r="KQ10" s="188" t="s">
        <v>161</v>
      </c>
      <c r="KR10" s="188" t="s">
        <v>162</v>
      </c>
      <c r="KS10" s="188" t="s">
        <v>163</v>
      </c>
      <c r="KT10" s="188" t="s">
        <v>164</v>
      </c>
      <c r="KU10" s="188" t="s">
        <v>165</v>
      </c>
      <c r="KV10" s="188" t="s">
        <v>157</v>
      </c>
      <c r="KW10" s="255" t="s">
        <v>166</v>
      </c>
      <c r="KX10" s="255"/>
      <c r="KY10" s="255"/>
      <c r="KZ10" s="255"/>
      <c r="LA10" s="255" t="s">
        <v>167</v>
      </c>
      <c r="LB10" s="255"/>
      <c r="LC10" s="255"/>
      <c r="LD10" s="255"/>
      <c r="LE10" s="255" t="s">
        <v>168</v>
      </c>
      <c r="LF10" s="255"/>
      <c r="LG10" s="255"/>
      <c r="LH10" s="255"/>
      <c r="LI10" s="255" t="s">
        <v>169</v>
      </c>
      <c r="LJ10" s="255"/>
      <c r="LK10" s="255"/>
      <c r="LL10" s="255"/>
      <c r="LM10" s="255" t="s">
        <v>170</v>
      </c>
      <c r="LN10" s="255"/>
      <c r="LO10" s="255"/>
      <c r="LP10" s="255"/>
      <c r="LQ10" s="255" t="s">
        <v>143</v>
      </c>
      <c r="LR10" s="255"/>
      <c r="LS10" s="255"/>
      <c r="LT10" s="255"/>
      <c r="LU10" s="253" t="s">
        <v>171</v>
      </c>
      <c r="LV10" s="253"/>
      <c r="LW10" s="253"/>
      <c r="LX10" s="253"/>
      <c r="LY10" s="248" t="s">
        <v>94</v>
      </c>
      <c r="LZ10" s="248"/>
      <c r="MA10" s="248"/>
      <c r="MB10" s="248"/>
      <c r="MC10" s="253" t="s">
        <v>135</v>
      </c>
      <c r="MD10" s="253"/>
      <c r="ME10" s="253" t="s">
        <v>136</v>
      </c>
      <c r="MF10" s="253"/>
      <c r="MG10" s="253" t="s">
        <v>137</v>
      </c>
      <c r="MH10" s="253"/>
      <c r="MI10" s="253" t="s">
        <v>172</v>
      </c>
      <c r="MJ10" s="253"/>
      <c r="MK10" s="253" t="s">
        <v>127</v>
      </c>
      <c r="ML10" s="253"/>
      <c r="MM10" s="188" t="s">
        <v>173</v>
      </c>
      <c r="MN10" s="188" t="s">
        <v>174</v>
      </c>
      <c r="MO10" s="188" t="s">
        <v>175</v>
      </c>
      <c r="MP10" s="188" t="s">
        <v>176</v>
      </c>
      <c r="MQ10" s="186" t="s">
        <v>177</v>
      </c>
      <c r="MR10" s="254" t="s">
        <v>178</v>
      </c>
      <c r="MS10" s="254" t="s">
        <v>179</v>
      </c>
      <c r="MT10" s="254" t="s">
        <v>180</v>
      </c>
      <c r="MU10" s="254" t="s">
        <v>181</v>
      </c>
      <c r="MV10" s="254" t="s">
        <v>182</v>
      </c>
      <c r="MW10" s="254" t="s">
        <v>116</v>
      </c>
      <c r="MX10" s="253" t="s">
        <v>183</v>
      </c>
      <c r="MY10" s="253"/>
      <c r="MZ10" s="253"/>
      <c r="NA10" s="253"/>
      <c r="NB10" s="253" t="s">
        <v>184</v>
      </c>
      <c r="NC10" s="253"/>
      <c r="ND10" s="253"/>
      <c r="NE10" s="253"/>
      <c r="NF10" s="253" t="s">
        <v>185</v>
      </c>
      <c r="NG10" s="253"/>
      <c r="NH10" s="253"/>
      <c r="NI10" s="253"/>
      <c r="NJ10" s="253" t="s">
        <v>186</v>
      </c>
      <c r="NK10" s="253"/>
      <c r="NL10" s="253"/>
      <c r="NM10" s="253"/>
      <c r="NN10" s="253" t="s">
        <v>187</v>
      </c>
      <c r="NO10" s="253"/>
      <c r="NP10" s="253"/>
      <c r="NQ10" s="253"/>
      <c r="NR10" s="253" t="s">
        <v>188</v>
      </c>
      <c r="NS10" s="253"/>
      <c r="NT10" s="253"/>
      <c r="NU10" s="253"/>
      <c r="NV10" s="250" t="s">
        <v>189</v>
      </c>
      <c r="NW10" s="250"/>
      <c r="NX10" s="250"/>
      <c r="NY10" s="250"/>
      <c r="NZ10" s="250" t="s">
        <v>190</v>
      </c>
      <c r="OA10" s="250"/>
      <c r="OB10" s="250"/>
      <c r="OC10" s="250"/>
      <c r="OD10" s="172" t="s">
        <v>191</v>
      </c>
      <c r="OE10" s="172" t="s">
        <v>192</v>
      </c>
      <c r="OF10" s="172" t="s">
        <v>193</v>
      </c>
      <c r="OG10" s="172" t="s">
        <v>194</v>
      </c>
      <c r="OH10" s="172" t="s">
        <v>195</v>
      </c>
      <c r="OI10" s="172" t="s">
        <v>196</v>
      </c>
      <c r="OJ10" s="172" t="s">
        <v>197</v>
      </c>
      <c r="OK10" s="172" t="s">
        <v>198</v>
      </c>
      <c r="OL10" s="172" t="s">
        <v>199</v>
      </c>
      <c r="OM10" s="172" t="s">
        <v>200</v>
      </c>
      <c r="ON10" s="172" t="s">
        <v>201</v>
      </c>
      <c r="OO10" s="172" t="s">
        <v>202</v>
      </c>
      <c r="OP10" s="172" t="s">
        <v>203</v>
      </c>
      <c r="OQ10" s="172" t="s">
        <v>204</v>
      </c>
      <c r="OR10" s="177"/>
      <c r="OS10" s="252" t="s">
        <v>178</v>
      </c>
      <c r="OT10" s="252" t="s">
        <v>179</v>
      </c>
      <c r="OU10" s="252" t="s">
        <v>180</v>
      </c>
      <c r="OV10" s="252" t="s">
        <v>181</v>
      </c>
      <c r="OW10" s="252" t="s">
        <v>182</v>
      </c>
      <c r="OX10" s="252" t="s">
        <v>116</v>
      </c>
      <c r="OY10" s="249" t="s">
        <v>205</v>
      </c>
      <c r="OZ10" s="249"/>
      <c r="PA10" s="249"/>
      <c r="PB10" s="249"/>
      <c r="PC10" s="249" t="s">
        <v>206</v>
      </c>
      <c r="PD10" s="249"/>
      <c r="PE10" s="249"/>
      <c r="PF10" s="249"/>
      <c r="PG10" s="249" t="s">
        <v>207</v>
      </c>
      <c r="PH10" s="249"/>
      <c r="PI10" s="249"/>
      <c r="PJ10" s="249"/>
      <c r="PK10" s="249" t="s">
        <v>208</v>
      </c>
      <c r="PL10" s="249"/>
      <c r="PM10" s="249"/>
      <c r="PN10" s="249"/>
      <c r="PO10" s="249" t="s">
        <v>209</v>
      </c>
      <c r="PP10" s="249"/>
      <c r="PQ10" s="249"/>
      <c r="PR10" s="249"/>
      <c r="PS10" s="249" t="s">
        <v>210</v>
      </c>
      <c r="PT10" s="249"/>
      <c r="PU10" s="249"/>
      <c r="PV10" s="249"/>
      <c r="PW10" s="249" t="s">
        <v>196</v>
      </c>
      <c r="PX10" s="249"/>
      <c r="PY10" s="249"/>
      <c r="PZ10" s="249"/>
      <c r="QA10" s="250" t="s">
        <v>54</v>
      </c>
      <c r="QB10" s="250"/>
      <c r="QC10" s="250"/>
      <c r="QD10" s="250"/>
      <c r="QE10" s="179" t="s">
        <v>55</v>
      </c>
      <c r="QF10" s="245" t="s">
        <v>114</v>
      </c>
      <c r="QG10" s="245"/>
      <c r="QH10" s="245" t="s">
        <v>115</v>
      </c>
      <c r="QI10" s="245"/>
      <c r="QJ10" s="245" t="s">
        <v>211</v>
      </c>
      <c r="QK10" s="245"/>
      <c r="QL10" s="251" t="s">
        <v>77</v>
      </c>
      <c r="QM10" s="245" t="s">
        <v>114</v>
      </c>
      <c r="QN10" s="245"/>
      <c r="QO10" s="245" t="s">
        <v>115</v>
      </c>
      <c r="QP10" s="245"/>
      <c r="QQ10" s="245" t="s">
        <v>211</v>
      </c>
      <c r="QR10" s="245"/>
      <c r="QS10" s="251" t="s">
        <v>77</v>
      </c>
      <c r="QT10" s="245" t="s">
        <v>114</v>
      </c>
      <c r="QU10" s="245"/>
      <c r="QV10" s="245" t="s">
        <v>115</v>
      </c>
      <c r="QW10" s="245"/>
      <c r="QX10" s="245" t="s">
        <v>211</v>
      </c>
      <c r="QY10" s="245"/>
      <c r="QZ10" s="251" t="s">
        <v>77</v>
      </c>
      <c r="RA10" s="245" t="s">
        <v>114</v>
      </c>
      <c r="RB10" s="245"/>
      <c r="RC10" s="245" t="s">
        <v>115</v>
      </c>
      <c r="RD10" s="245"/>
      <c r="RE10" s="245" t="s">
        <v>211</v>
      </c>
      <c r="RF10" s="245"/>
      <c r="RG10" s="251" t="s">
        <v>77</v>
      </c>
      <c r="RH10" s="245" t="s">
        <v>114</v>
      </c>
      <c r="RI10" s="245"/>
      <c r="RJ10" s="245" t="s">
        <v>115</v>
      </c>
      <c r="RK10" s="245"/>
      <c r="RL10" s="245" t="s">
        <v>211</v>
      </c>
      <c r="RM10" s="245"/>
      <c r="RN10" s="251" t="s">
        <v>77</v>
      </c>
      <c r="RO10" s="245" t="s">
        <v>114</v>
      </c>
      <c r="RP10" s="245"/>
      <c r="RQ10" s="245" t="s">
        <v>115</v>
      </c>
      <c r="RR10" s="245"/>
      <c r="RS10" s="245" t="s">
        <v>211</v>
      </c>
      <c r="RT10" s="245"/>
      <c r="RU10" s="251" t="s">
        <v>77</v>
      </c>
      <c r="RV10" s="247"/>
      <c r="RW10" s="248" t="s">
        <v>75</v>
      </c>
      <c r="RX10" s="248" t="s">
        <v>75</v>
      </c>
      <c r="RY10" s="248" t="s">
        <v>75</v>
      </c>
      <c r="RZ10" s="248" t="s">
        <v>75</v>
      </c>
      <c r="SA10" s="248" t="s">
        <v>76</v>
      </c>
      <c r="SB10" s="248" t="s">
        <v>78</v>
      </c>
      <c r="SC10" s="248" t="s">
        <v>117</v>
      </c>
      <c r="SD10" s="248" t="s">
        <v>75</v>
      </c>
      <c r="SE10" s="248" t="s">
        <v>75</v>
      </c>
      <c r="SF10" s="248" t="s">
        <v>76</v>
      </c>
      <c r="SG10" s="247" t="s">
        <v>82</v>
      </c>
      <c r="SH10" s="248" t="s">
        <v>79</v>
      </c>
      <c r="SI10" s="248" t="s">
        <v>78</v>
      </c>
      <c r="SJ10" s="248" t="s">
        <v>79</v>
      </c>
      <c r="SK10" s="248"/>
      <c r="SL10" s="248"/>
      <c r="SM10" s="248"/>
      <c r="SN10" s="247"/>
      <c r="SO10" s="248"/>
      <c r="SP10" s="248" t="s">
        <v>76</v>
      </c>
      <c r="SQ10" s="248" t="s">
        <v>78</v>
      </c>
      <c r="SR10" s="248" t="s">
        <v>90</v>
      </c>
      <c r="SS10" s="248" t="s">
        <v>76</v>
      </c>
      <c r="ST10" s="248" t="s">
        <v>78</v>
      </c>
      <c r="SU10" s="248" t="s">
        <v>90</v>
      </c>
      <c r="SV10" s="248" t="s">
        <v>76</v>
      </c>
      <c r="SW10" s="248" t="s">
        <v>78</v>
      </c>
      <c r="SX10" s="248" t="s">
        <v>90</v>
      </c>
      <c r="SY10" s="248"/>
      <c r="SZ10" s="248"/>
      <c r="TA10" s="248"/>
      <c r="TB10" s="248" t="s">
        <v>75</v>
      </c>
      <c r="TC10" s="248" t="s">
        <v>75</v>
      </c>
      <c r="TD10" s="248" t="s">
        <v>76</v>
      </c>
      <c r="TE10" s="248" t="s">
        <v>118</v>
      </c>
      <c r="TF10" s="248" t="s">
        <v>76</v>
      </c>
      <c r="TG10" s="247" t="s">
        <v>212</v>
      </c>
      <c r="TH10" s="174" t="s">
        <v>54</v>
      </c>
      <c r="TI10" s="174" t="s">
        <v>54</v>
      </c>
      <c r="TJ10" s="174" t="s">
        <v>54</v>
      </c>
      <c r="TK10" s="174" t="s">
        <v>54</v>
      </c>
      <c r="TL10" s="174" t="s">
        <v>54</v>
      </c>
      <c r="TM10" s="249" t="s">
        <v>92</v>
      </c>
      <c r="TN10" s="249"/>
      <c r="TO10" s="249"/>
      <c r="TP10" s="247" t="s">
        <v>212</v>
      </c>
      <c r="TQ10" s="247" t="s">
        <v>212</v>
      </c>
      <c r="TR10" s="247" t="s">
        <v>212</v>
      </c>
      <c r="TS10" s="246" t="s">
        <v>213</v>
      </c>
      <c r="TT10" s="246" t="s">
        <v>206</v>
      </c>
      <c r="TU10" s="246" t="s">
        <v>207</v>
      </c>
      <c r="TV10" s="246" t="s">
        <v>41</v>
      </c>
      <c r="TW10" s="246" t="s">
        <v>206</v>
      </c>
      <c r="TX10" s="246" t="s">
        <v>207</v>
      </c>
      <c r="TY10" s="246" t="s">
        <v>214</v>
      </c>
      <c r="TZ10" s="246" t="s">
        <v>215</v>
      </c>
      <c r="UA10" s="245" t="s">
        <v>216</v>
      </c>
      <c r="UB10" s="245" t="s">
        <v>217</v>
      </c>
      <c r="UC10" s="245" t="s">
        <v>218</v>
      </c>
    </row>
    <row r="11" spans="1:549" s="175" customFormat="1" ht="22.5" x14ac:dyDescent="0.25">
      <c r="A11" s="264"/>
      <c r="B11" s="265"/>
      <c r="C11" s="266"/>
      <c r="D11" s="247"/>
      <c r="E11" s="248"/>
      <c r="F11" s="247"/>
      <c r="G11" s="247"/>
      <c r="H11" s="247"/>
      <c r="I11" s="248"/>
      <c r="J11" s="247"/>
      <c r="K11" s="247"/>
      <c r="L11" s="247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7"/>
      <c r="Y11" s="248"/>
      <c r="Z11" s="248"/>
      <c r="AA11" s="247"/>
      <c r="AB11" s="248"/>
      <c r="AC11" s="248"/>
      <c r="AD11" s="247"/>
      <c r="AE11" s="247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8"/>
      <c r="CQ11" s="247"/>
      <c r="CR11" s="248"/>
      <c r="CS11" s="248"/>
      <c r="CT11" s="248"/>
      <c r="CU11" s="248"/>
      <c r="CV11" s="248"/>
      <c r="CW11" s="248"/>
      <c r="CX11" s="247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7"/>
      <c r="DO11" s="247"/>
      <c r="DP11" s="247"/>
      <c r="DQ11" s="248"/>
      <c r="DR11" s="248"/>
      <c r="DS11" s="248"/>
      <c r="DT11" s="248"/>
      <c r="DU11" s="248"/>
      <c r="DV11" s="248"/>
      <c r="DW11" s="248"/>
      <c r="DX11" s="248"/>
      <c r="DY11" s="248"/>
      <c r="DZ11" s="248"/>
      <c r="EA11" s="247"/>
      <c r="EB11" s="248"/>
      <c r="EC11" s="248"/>
      <c r="ED11" s="248"/>
      <c r="EE11" s="248"/>
      <c r="EF11" s="248"/>
      <c r="EG11" s="248"/>
      <c r="EH11" s="247"/>
      <c r="EI11" s="248"/>
      <c r="EJ11" s="248"/>
      <c r="EK11" s="248"/>
      <c r="EL11" s="248"/>
      <c r="EM11" s="248"/>
      <c r="EN11" s="248"/>
      <c r="EO11" s="248"/>
      <c r="EP11" s="248"/>
      <c r="EQ11" s="248"/>
      <c r="ER11" s="248"/>
      <c r="ES11" s="248"/>
      <c r="ET11" s="248"/>
      <c r="EU11" s="248"/>
      <c r="EV11" s="248"/>
      <c r="EW11" s="248"/>
      <c r="EX11" s="247"/>
      <c r="EY11" s="247"/>
      <c r="EZ11" s="247"/>
      <c r="FA11" s="248"/>
      <c r="FB11" s="248"/>
      <c r="FC11" s="248"/>
      <c r="FD11" s="248"/>
      <c r="FE11" s="248"/>
      <c r="FF11" s="248"/>
      <c r="FG11" s="248"/>
      <c r="FH11" s="248"/>
      <c r="FI11" s="248"/>
      <c r="FJ11" s="248"/>
      <c r="FK11" s="247"/>
      <c r="FL11" s="248"/>
      <c r="FM11" s="248"/>
      <c r="FN11" s="248"/>
      <c r="FO11" s="248"/>
      <c r="FP11" s="248"/>
      <c r="FQ11" s="248"/>
      <c r="FR11" s="247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48"/>
      <c r="GG11" s="248"/>
      <c r="GH11" s="248"/>
      <c r="GI11" s="248"/>
      <c r="GJ11" s="248"/>
      <c r="GK11" s="36">
        <v>1</v>
      </c>
      <c r="GL11" s="36">
        <v>2</v>
      </c>
      <c r="GM11" s="36">
        <v>3</v>
      </c>
      <c r="GN11" s="36" t="s">
        <v>219</v>
      </c>
      <c r="GO11" s="36">
        <v>1</v>
      </c>
      <c r="GP11" s="36">
        <v>2</v>
      </c>
      <c r="GQ11" s="36">
        <v>3</v>
      </c>
      <c r="GR11" s="36" t="s">
        <v>82</v>
      </c>
      <c r="GS11" s="36" t="s">
        <v>220</v>
      </c>
      <c r="GT11" s="36">
        <v>1</v>
      </c>
      <c r="GU11" s="36">
        <v>2</v>
      </c>
      <c r="GV11" s="36">
        <v>3</v>
      </c>
      <c r="GW11" s="36" t="s">
        <v>82</v>
      </c>
      <c r="GX11" s="36" t="s">
        <v>220</v>
      </c>
      <c r="GY11" s="36" t="s">
        <v>75</v>
      </c>
      <c r="GZ11" s="36" t="s">
        <v>76</v>
      </c>
      <c r="HA11" s="36" t="s">
        <v>78</v>
      </c>
      <c r="HB11" s="36" t="s">
        <v>82</v>
      </c>
      <c r="HC11" s="36" t="s">
        <v>220</v>
      </c>
      <c r="HD11" s="36" t="s">
        <v>75</v>
      </c>
      <c r="HE11" s="36" t="s">
        <v>76</v>
      </c>
      <c r="HF11" s="36" t="s">
        <v>78</v>
      </c>
      <c r="HG11" s="36" t="s">
        <v>82</v>
      </c>
      <c r="HH11" s="36" t="s">
        <v>220</v>
      </c>
      <c r="HI11" s="36" t="s">
        <v>75</v>
      </c>
      <c r="HJ11" s="36" t="s">
        <v>76</v>
      </c>
      <c r="HK11" s="36" t="s">
        <v>78</v>
      </c>
      <c r="HL11" s="36" t="s">
        <v>82</v>
      </c>
      <c r="HM11" s="36" t="s">
        <v>220</v>
      </c>
      <c r="HN11" s="36" t="s">
        <v>75</v>
      </c>
      <c r="HO11" s="36" t="s">
        <v>76</v>
      </c>
      <c r="HP11" s="36" t="s">
        <v>78</v>
      </c>
      <c r="HQ11" s="36" t="s">
        <v>82</v>
      </c>
      <c r="HR11" s="36" t="s">
        <v>220</v>
      </c>
      <c r="HS11" s="36">
        <v>1</v>
      </c>
      <c r="HT11" s="36">
        <v>2</v>
      </c>
      <c r="HU11" s="36">
        <v>3</v>
      </c>
      <c r="HV11" s="36" t="s">
        <v>219</v>
      </c>
      <c r="HW11" s="36">
        <v>1</v>
      </c>
      <c r="HX11" s="36">
        <v>2</v>
      </c>
      <c r="HY11" s="36">
        <v>3</v>
      </c>
      <c r="HZ11" s="36" t="s">
        <v>82</v>
      </c>
      <c r="IA11" s="36" t="s">
        <v>220</v>
      </c>
      <c r="IB11" s="36" t="s">
        <v>75</v>
      </c>
      <c r="IC11" s="36" t="s">
        <v>76</v>
      </c>
      <c r="ID11" s="36" t="s">
        <v>78</v>
      </c>
      <c r="IE11" s="36" t="s">
        <v>82</v>
      </c>
      <c r="IF11" s="36" t="s">
        <v>220</v>
      </c>
      <c r="IG11" s="36" t="s">
        <v>75</v>
      </c>
      <c r="IH11" s="36" t="s">
        <v>76</v>
      </c>
      <c r="II11" s="36" t="s">
        <v>78</v>
      </c>
      <c r="IJ11" s="36" t="s">
        <v>82</v>
      </c>
      <c r="IK11" s="36" t="s">
        <v>220</v>
      </c>
      <c r="IL11" s="36" t="s">
        <v>75</v>
      </c>
      <c r="IM11" s="36" t="s">
        <v>76</v>
      </c>
      <c r="IN11" s="36" t="s">
        <v>78</v>
      </c>
      <c r="IO11" s="36" t="s">
        <v>82</v>
      </c>
      <c r="IP11" s="36" t="s">
        <v>220</v>
      </c>
      <c r="IQ11" s="36" t="s">
        <v>75</v>
      </c>
      <c r="IR11" s="36" t="s">
        <v>76</v>
      </c>
      <c r="IS11" s="36" t="s">
        <v>78</v>
      </c>
      <c r="IT11" s="36" t="s">
        <v>90</v>
      </c>
      <c r="IU11" s="36" t="s">
        <v>75</v>
      </c>
      <c r="IV11" s="36" t="s">
        <v>76</v>
      </c>
      <c r="IW11" s="36" t="s">
        <v>78</v>
      </c>
      <c r="IX11" s="36" t="s">
        <v>90</v>
      </c>
      <c r="IY11" s="36" t="s">
        <v>75</v>
      </c>
      <c r="IZ11" s="36" t="s">
        <v>76</v>
      </c>
      <c r="JA11" s="36" t="s">
        <v>78</v>
      </c>
      <c r="JB11" s="36" t="s">
        <v>90</v>
      </c>
      <c r="JC11" s="36" t="s">
        <v>75</v>
      </c>
      <c r="JD11" s="36" t="s">
        <v>76</v>
      </c>
      <c r="JE11" s="36" t="s">
        <v>78</v>
      </c>
      <c r="JF11" s="36" t="s">
        <v>90</v>
      </c>
      <c r="JG11" s="173" t="s">
        <v>221</v>
      </c>
      <c r="JH11" s="173" t="s">
        <v>221</v>
      </c>
      <c r="JI11" s="173" t="s">
        <v>221</v>
      </c>
      <c r="JJ11" s="173" t="s">
        <v>221</v>
      </c>
      <c r="JK11" s="173" t="s">
        <v>221</v>
      </c>
      <c r="JL11" s="188" t="s">
        <v>221</v>
      </c>
      <c r="JM11" s="188" t="s">
        <v>221</v>
      </c>
      <c r="JN11" s="188" t="s">
        <v>221</v>
      </c>
      <c r="JO11" s="188" t="s">
        <v>221</v>
      </c>
      <c r="JP11" s="188" t="s">
        <v>221</v>
      </c>
      <c r="JQ11" s="36" t="s">
        <v>75</v>
      </c>
      <c r="JR11" s="36" t="s">
        <v>75</v>
      </c>
      <c r="JS11" s="36" t="s">
        <v>75</v>
      </c>
      <c r="JT11" s="36" t="s">
        <v>75</v>
      </c>
      <c r="JU11" s="36" t="s">
        <v>75</v>
      </c>
      <c r="JV11" s="36" t="s">
        <v>75</v>
      </c>
      <c r="JW11" s="36" t="s">
        <v>75</v>
      </c>
      <c r="JX11" s="36" t="s">
        <v>75</v>
      </c>
      <c r="JY11" s="36" t="s">
        <v>75</v>
      </c>
      <c r="JZ11" s="36" t="s">
        <v>75</v>
      </c>
      <c r="KA11" s="36" t="s">
        <v>75</v>
      </c>
      <c r="KB11" s="36" t="s">
        <v>75</v>
      </c>
      <c r="KC11" s="36" t="s">
        <v>75</v>
      </c>
      <c r="KD11" s="36" t="s">
        <v>75</v>
      </c>
      <c r="KE11" s="36" t="s">
        <v>75</v>
      </c>
      <c r="KF11" s="36" t="s">
        <v>75</v>
      </c>
      <c r="KG11" s="36" t="s">
        <v>75</v>
      </c>
      <c r="KH11" s="36" t="s">
        <v>75</v>
      </c>
      <c r="KI11" s="36" t="s">
        <v>75</v>
      </c>
      <c r="KJ11" s="36" t="s">
        <v>75</v>
      </c>
      <c r="KK11" s="36" t="s">
        <v>75</v>
      </c>
      <c r="KL11" s="36" t="s">
        <v>75</v>
      </c>
      <c r="KM11" s="36" t="s">
        <v>75</v>
      </c>
      <c r="KN11" s="36" t="s">
        <v>75</v>
      </c>
      <c r="KO11" s="36" t="s">
        <v>75</v>
      </c>
      <c r="KP11" s="36" t="s">
        <v>75</v>
      </c>
      <c r="KQ11" s="36" t="s">
        <v>75</v>
      </c>
      <c r="KR11" s="36" t="s">
        <v>75</v>
      </c>
      <c r="KS11" s="36" t="s">
        <v>75</v>
      </c>
      <c r="KT11" s="36" t="s">
        <v>114</v>
      </c>
      <c r="KU11" s="36" t="s">
        <v>114</v>
      </c>
      <c r="KV11" s="36" t="s">
        <v>75</v>
      </c>
      <c r="KW11" s="36" t="s">
        <v>75</v>
      </c>
      <c r="KX11" s="36" t="s">
        <v>76</v>
      </c>
      <c r="KY11" s="36" t="s">
        <v>78</v>
      </c>
      <c r="KZ11" s="36" t="s">
        <v>90</v>
      </c>
      <c r="LA11" s="36" t="s">
        <v>75</v>
      </c>
      <c r="LB11" s="36" t="s">
        <v>76</v>
      </c>
      <c r="LC11" s="36" t="s">
        <v>78</v>
      </c>
      <c r="LD11" s="36" t="s">
        <v>90</v>
      </c>
      <c r="LE11" s="36" t="s">
        <v>75</v>
      </c>
      <c r="LF11" s="36" t="s">
        <v>76</v>
      </c>
      <c r="LG11" s="36" t="s">
        <v>78</v>
      </c>
      <c r="LH11" s="36" t="s">
        <v>90</v>
      </c>
      <c r="LI11" s="36" t="s">
        <v>75</v>
      </c>
      <c r="LJ11" s="36" t="s">
        <v>76</v>
      </c>
      <c r="LK11" s="36" t="s">
        <v>78</v>
      </c>
      <c r="LL11" s="36" t="s">
        <v>90</v>
      </c>
      <c r="LM11" s="36" t="s">
        <v>75</v>
      </c>
      <c r="LN11" s="36" t="s">
        <v>76</v>
      </c>
      <c r="LO11" s="36" t="s">
        <v>78</v>
      </c>
      <c r="LP11" s="36" t="s">
        <v>90</v>
      </c>
      <c r="LQ11" s="36" t="s">
        <v>75</v>
      </c>
      <c r="LR11" s="36" t="s">
        <v>76</v>
      </c>
      <c r="LS11" s="36" t="s">
        <v>78</v>
      </c>
      <c r="LT11" s="36" t="s">
        <v>90</v>
      </c>
      <c r="LU11" s="36">
        <v>1</v>
      </c>
      <c r="LV11" s="36">
        <v>2</v>
      </c>
      <c r="LW11" s="36">
        <v>3</v>
      </c>
      <c r="LX11" s="36" t="s">
        <v>219</v>
      </c>
      <c r="LY11" s="36" t="s">
        <v>75</v>
      </c>
      <c r="LZ11" s="36" t="s">
        <v>76</v>
      </c>
      <c r="MA11" s="36" t="s">
        <v>78</v>
      </c>
      <c r="MB11" s="36" t="s">
        <v>90</v>
      </c>
      <c r="MC11" s="190" t="s">
        <v>222</v>
      </c>
      <c r="MD11" s="191" t="s">
        <v>77</v>
      </c>
      <c r="ME11" s="190" t="s">
        <v>222</v>
      </c>
      <c r="MF11" s="191" t="s">
        <v>77</v>
      </c>
      <c r="MG11" s="190" t="s">
        <v>222</v>
      </c>
      <c r="MH11" s="192" t="s">
        <v>77</v>
      </c>
      <c r="MI11" s="190" t="s">
        <v>222</v>
      </c>
      <c r="MJ11" s="191" t="s">
        <v>77</v>
      </c>
      <c r="MK11" s="190" t="s">
        <v>222</v>
      </c>
      <c r="ML11" s="191" t="s">
        <v>77</v>
      </c>
      <c r="MM11" s="36" t="s">
        <v>114</v>
      </c>
      <c r="MN11" s="36" t="s">
        <v>114</v>
      </c>
      <c r="MO11" s="36" t="s">
        <v>114</v>
      </c>
      <c r="MP11" s="36" t="s">
        <v>114</v>
      </c>
      <c r="MQ11" s="36" t="s">
        <v>114</v>
      </c>
      <c r="MR11" s="254"/>
      <c r="MS11" s="254"/>
      <c r="MT11" s="254"/>
      <c r="MU11" s="254"/>
      <c r="MV11" s="254"/>
      <c r="MW11" s="254"/>
      <c r="MX11" s="36" t="s">
        <v>75</v>
      </c>
      <c r="MY11" s="36" t="s">
        <v>76</v>
      </c>
      <c r="MZ11" s="36" t="s">
        <v>78</v>
      </c>
      <c r="NA11" s="36" t="s">
        <v>116</v>
      </c>
      <c r="NB11" s="36" t="s">
        <v>75</v>
      </c>
      <c r="NC11" s="36" t="s">
        <v>76</v>
      </c>
      <c r="ND11" s="36" t="s">
        <v>78</v>
      </c>
      <c r="NE11" s="36" t="s">
        <v>116</v>
      </c>
      <c r="NF11" s="36" t="s">
        <v>75</v>
      </c>
      <c r="NG11" s="36" t="s">
        <v>76</v>
      </c>
      <c r="NH11" s="36" t="s">
        <v>78</v>
      </c>
      <c r="NI11" s="36" t="s">
        <v>116</v>
      </c>
      <c r="NJ11" s="36" t="s">
        <v>75</v>
      </c>
      <c r="NK11" s="36" t="s">
        <v>76</v>
      </c>
      <c r="NL11" s="36" t="s">
        <v>78</v>
      </c>
      <c r="NM11" s="36" t="s">
        <v>116</v>
      </c>
      <c r="NN11" s="36" t="s">
        <v>75</v>
      </c>
      <c r="NO11" s="36" t="s">
        <v>76</v>
      </c>
      <c r="NP11" s="36" t="s">
        <v>78</v>
      </c>
      <c r="NQ11" s="36" t="s">
        <v>116</v>
      </c>
      <c r="NR11" s="36" t="s">
        <v>75</v>
      </c>
      <c r="NS11" s="36" t="s">
        <v>76</v>
      </c>
      <c r="NT11" s="36" t="s">
        <v>78</v>
      </c>
      <c r="NU11" s="36" t="s">
        <v>116</v>
      </c>
      <c r="NV11" s="177" t="s">
        <v>114</v>
      </c>
      <c r="NW11" s="177" t="s">
        <v>115</v>
      </c>
      <c r="NX11" s="177" t="s">
        <v>211</v>
      </c>
      <c r="NY11" s="177" t="s">
        <v>223</v>
      </c>
      <c r="NZ11" s="177" t="s">
        <v>114</v>
      </c>
      <c r="OA11" s="177" t="s">
        <v>115</v>
      </c>
      <c r="OB11" s="177" t="s">
        <v>211</v>
      </c>
      <c r="OC11" s="177" t="s">
        <v>223</v>
      </c>
      <c r="OD11" s="177" t="s">
        <v>114</v>
      </c>
      <c r="OE11" s="177" t="s">
        <v>114</v>
      </c>
      <c r="OF11" s="177" t="s">
        <v>114</v>
      </c>
      <c r="OG11" s="177" t="s">
        <v>114</v>
      </c>
      <c r="OH11" s="177" t="s">
        <v>114</v>
      </c>
      <c r="OI11" s="177" t="s">
        <v>114</v>
      </c>
      <c r="OJ11" s="177" t="s">
        <v>114</v>
      </c>
      <c r="OK11" s="177" t="s">
        <v>114</v>
      </c>
      <c r="OL11" s="177" t="s">
        <v>114</v>
      </c>
      <c r="OM11" s="177" t="s">
        <v>114</v>
      </c>
      <c r="ON11" s="177" t="s">
        <v>114</v>
      </c>
      <c r="OO11" s="177" t="s">
        <v>114</v>
      </c>
      <c r="OP11" s="177" t="s">
        <v>114</v>
      </c>
      <c r="OQ11" s="177" t="s">
        <v>114</v>
      </c>
      <c r="OR11" s="177" t="s">
        <v>116</v>
      </c>
      <c r="OS11" s="252"/>
      <c r="OT11" s="252"/>
      <c r="OU11" s="252"/>
      <c r="OV11" s="252"/>
      <c r="OW11" s="252"/>
      <c r="OX11" s="252"/>
      <c r="OY11" s="180" t="s">
        <v>114</v>
      </c>
      <c r="OZ11" s="180" t="s">
        <v>115</v>
      </c>
      <c r="PA11" s="180" t="s">
        <v>211</v>
      </c>
      <c r="PB11" s="181" t="s">
        <v>77</v>
      </c>
      <c r="PC11" s="180" t="s">
        <v>114</v>
      </c>
      <c r="PD11" s="180" t="s">
        <v>115</v>
      </c>
      <c r="PE11" s="180" t="s">
        <v>211</v>
      </c>
      <c r="PF11" s="181" t="s">
        <v>77</v>
      </c>
      <c r="PG11" s="180" t="s">
        <v>114</v>
      </c>
      <c r="PH11" s="180" t="s">
        <v>115</v>
      </c>
      <c r="PI11" s="180" t="s">
        <v>211</v>
      </c>
      <c r="PJ11" s="181" t="s">
        <v>77</v>
      </c>
      <c r="PK11" s="180" t="s">
        <v>114</v>
      </c>
      <c r="PL11" s="180" t="s">
        <v>115</v>
      </c>
      <c r="PM11" s="180" t="s">
        <v>211</v>
      </c>
      <c r="PN11" s="181" t="s">
        <v>77</v>
      </c>
      <c r="PO11" s="180" t="s">
        <v>114</v>
      </c>
      <c r="PP11" s="180" t="s">
        <v>115</v>
      </c>
      <c r="PQ11" s="180" t="s">
        <v>211</v>
      </c>
      <c r="PR11" s="181" t="s">
        <v>77</v>
      </c>
      <c r="PS11" s="180" t="s">
        <v>114</v>
      </c>
      <c r="PT11" s="180" t="s">
        <v>115</v>
      </c>
      <c r="PU11" s="180" t="s">
        <v>211</v>
      </c>
      <c r="PV11" s="181" t="s">
        <v>77</v>
      </c>
      <c r="PW11" s="180" t="s">
        <v>114</v>
      </c>
      <c r="PX11" s="180" t="s">
        <v>115</v>
      </c>
      <c r="PY11" s="180" t="s">
        <v>211</v>
      </c>
      <c r="PZ11" s="181" t="s">
        <v>77</v>
      </c>
      <c r="QA11" s="180" t="s">
        <v>114</v>
      </c>
      <c r="QB11" s="180" t="s">
        <v>115</v>
      </c>
      <c r="QC11" s="180" t="s">
        <v>211</v>
      </c>
      <c r="QD11" s="181" t="s">
        <v>77</v>
      </c>
      <c r="QE11" s="180" t="s">
        <v>211</v>
      </c>
      <c r="QF11" s="180" t="s">
        <v>224</v>
      </c>
      <c r="QG11" s="180" t="s">
        <v>225</v>
      </c>
      <c r="QH11" s="180" t="s">
        <v>224</v>
      </c>
      <c r="QI11" s="180" t="s">
        <v>225</v>
      </c>
      <c r="QJ11" s="180" t="s">
        <v>224</v>
      </c>
      <c r="QK11" s="180" t="s">
        <v>225</v>
      </c>
      <c r="QL11" s="251"/>
      <c r="QM11" s="180" t="s">
        <v>224</v>
      </c>
      <c r="QN11" s="180" t="s">
        <v>225</v>
      </c>
      <c r="QO11" s="180" t="s">
        <v>224</v>
      </c>
      <c r="QP11" s="180" t="s">
        <v>225</v>
      </c>
      <c r="QQ11" s="180" t="s">
        <v>224</v>
      </c>
      <c r="QR11" s="180" t="s">
        <v>225</v>
      </c>
      <c r="QS11" s="251"/>
      <c r="QT11" s="180" t="s">
        <v>224</v>
      </c>
      <c r="QU11" s="180" t="s">
        <v>225</v>
      </c>
      <c r="QV11" s="180" t="s">
        <v>224</v>
      </c>
      <c r="QW11" s="180" t="s">
        <v>225</v>
      </c>
      <c r="QX11" s="180" t="s">
        <v>224</v>
      </c>
      <c r="QY11" s="180" t="s">
        <v>225</v>
      </c>
      <c r="QZ11" s="251"/>
      <c r="RA11" s="180" t="s">
        <v>224</v>
      </c>
      <c r="RB11" s="180" t="s">
        <v>225</v>
      </c>
      <c r="RC11" s="180" t="s">
        <v>224</v>
      </c>
      <c r="RD11" s="180" t="s">
        <v>225</v>
      </c>
      <c r="RE11" s="180" t="s">
        <v>224</v>
      </c>
      <c r="RF11" s="180" t="s">
        <v>225</v>
      </c>
      <c r="RG11" s="251"/>
      <c r="RH11" s="180" t="s">
        <v>224</v>
      </c>
      <c r="RI11" s="180" t="s">
        <v>225</v>
      </c>
      <c r="RJ11" s="180" t="s">
        <v>224</v>
      </c>
      <c r="RK11" s="180" t="s">
        <v>225</v>
      </c>
      <c r="RL11" s="180" t="s">
        <v>224</v>
      </c>
      <c r="RM11" s="180" t="s">
        <v>225</v>
      </c>
      <c r="RN11" s="251"/>
      <c r="RO11" s="180" t="s">
        <v>224</v>
      </c>
      <c r="RP11" s="180" t="s">
        <v>225</v>
      </c>
      <c r="RQ11" s="180" t="s">
        <v>224</v>
      </c>
      <c r="RR11" s="180" t="s">
        <v>225</v>
      </c>
      <c r="RS11" s="180" t="s">
        <v>224</v>
      </c>
      <c r="RT11" s="180" t="s">
        <v>225</v>
      </c>
      <c r="RU11" s="251"/>
      <c r="RV11" s="247"/>
      <c r="RW11" s="248"/>
      <c r="RX11" s="248"/>
      <c r="RY11" s="248"/>
      <c r="RZ11" s="248"/>
      <c r="SA11" s="248"/>
      <c r="SB11" s="248"/>
      <c r="SC11" s="248"/>
      <c r="SD11" s="248"/>
      <c r="SE11" s="248"/>
      <c r="SF11" s="248"/>
      <c r="SG11" s="247"/>
      <c r="SH11" s="248"/>
      <c r="SI11" s="248"/>
      <c r="SJ11" s="248"/>
      <c r="SK11" s="248"/>
      <c r="SL11" s="248"/>
      <c r="SM11" s="248"/>
      <c r="SN11" s="247"/>
      <c r="SO11" s="248"/>
      <c r="SP11" s="248"/>
      <c r="SQ11" s="248"/>
      <c r="SR11" s="248"/>
      <c r="SS11" s="248"/>
      <c r="ST11" s="248"/>
      <c r="SU11" s="248"/>
      <c r="SV11" s="248"/>
      <c r="SW11" s="248"/>
      <c r="SX11" s="248"/>
      <c r="SY11" s="248"/>
      <c r="SZ11" s="248"/>
      <c r="TA11" s="248"/>
      <c r="TB11" s="248"/>
      <c r="TC11" s="248"/>
      <c r="TD11" s="248"/>
      <c r="TE11" s="248"/>
      <c r="TF11" s="248"/>
      <c r="TG11" s="247"/>
      <c r="TH11" s="180" t="s">
        <v>211</v>
      </c>
      <c r="TI11" s="180" t="s">
        <v>211</v>
      </c>
      <c r="TJ11" s="180" t="s">
        <v>211</v>
      </c>
      <c r="TK11" s="180" t="s">
        <v>211</v>
      </c>
      <c r="TL11" s="180" t="s">
        <v>211</v>
      </c>
      <c r="TM11" s="178" t="s">
        <v>114</v>
      </c>
      <c r="TN11" s="178" t="s">
        <v>115</v>
      </c>
      <c r="TO11" s="178" t="s">
        <v>211</v>
      </c>
      <c r="TP11" s="247"/>
      <c r="TQ11" s="247"/>
      <c r="TR11" s="247"/>
      <c r="TS11" s="246"/>
      <c r="TT11" s="246"/>
      <c r="TU11" s="246"/>
      <c r="TV11" s="246"/>
      <c r="TW11" s="246"/>
      <c r="TX11" s="246"/>
      <c r="TY11" s="246"/>
      <c r="TZ11" s="246"/>
      <c r="UA11" s="245"/>
      <c r="UB11" s="245"/>
      <c r="UC11" s="245"/>
    </row>
    <row r="12" spans="1:549" s="182" customFormat="1" hidden="1" x14ac:dyDescent="0.25">
      <c r="A12" s="193" t="s">
        <v>226</v>
      </c>
      <c r="B12" s="194"/>
      <c r="C12" s="195" t="s">
        <v>227</v>
      </c>
      <c r="D12" s="196"/>
      <c r="E12" s="197">
        <f>SUM(E13+E69+E76)</f>
        <v>0</v>
      </c>
      <c r="F12" s="197">
        <f t="shared" ref="F12:BQ12" si="0">SUM(F13+F69+F76)</f>
        <v>0</v>
      </c>
      <c r="G12" s="197">
        <f t="shared" si="0"/>
        <v>0</v>
      </c>
      <c r="H12" s="197">
        <f>SUM(E12:G12)</f>
        <v>0</v>
      </c>
      <c r="I12" s="197">
        <f t="shared" si="0"/>
        <v>0</v>
      </c>
      <c r="J12" s="197">
        <f t="shared" si="0"/>
        <v>0</v>
      </c>
      <c r="K12" s="197">
        <f t="shared" si="0"/>
        <v>0</v>
      </c>
      <c r="L12" s="197">
        <f>SUM(I12:K12)</f>
        <v>0</v>
      </c>
      <c r="M12" s="197">
        <f t="shared" si="0"/>
        <v>0</v>
      </c>
      <c r="N12" s="197">
        <f t="shared" si="0"/>
        <v>0</v>
      </c>
      <c r="O12" s="197">
        <f>SUM(M12:N12)</f>
        <v>0</v>
      </c>
      <c r="P12" s="197">
        <f t="shared" si="0"/>
        <v>0</v>
      </c>
      <c r="Q12" s="197">
        <f t="shared" si="0"/>
        <v>0</v>
      </c>
      <c r="R12" s="197">
        <f t="shared" si="0"/>
        <v>0</v>
      </c>
      <c r="S12" s="197">
        <f t="shared" si="0"/>
        <v>0</v>
      </c>
      <c r="T12" s="197">
        <f>SUM(Q12:S12)</f>
        <v>0</v>
      </c>
      <c r="U12" s="197">
        <f t="shared" si="0"/>
        <v>0</v>
      </c>
      <c r="V12" s="197">
        <f t="shared" si="0"/>
        <v>0</v>
      </c>
      <c r="W12" s="197">
        <f t="shared" si="0"/>
        <v>0</v>
      </c>
      <c r="X12" s="197">
        <f>SUM(V12:W12)</f>
        <v>0</v>
      </c>
      <c r="Y12" s="197">
        <f t="shared" si="0"/>
        <v>0</v>
      </c>
      <c r="Z12" s="197">
        <f t="shared" si="0"/>
        <v>0</v>
      </c>
      <c r="AA12" s="197">
        <f>SUM(Y12:Z12)</f>
        <v>0</v>
      </c>
      <c r="AB12" s="197">
        <f t="shared" si="0"/>
        <v>0</v>
      </c>
      <c r="AC12" s="197">
        <f t="shared" si="0"/>
        <v>0</v>
      </c>
      <c r="AD12" s="197">
        <f>SUM(AB12:AC12)</f>
        <v>0</v>
      </c>
      <c r="AE12" s="197">
        <f t="shared" si="0"/>
        <v>0</v>
      </c>
      <c r="AF12" s="197">
        <f t="shared" si="0"/>
        <v>0</v>
      </c>
      <c r="AG12" s="197">
        <f t="shared" si="0"/>
        <v>0</v>
      </c>
      <c r="AH12" s="197">
        <f>SUM(AF12:AG12)</f>
        <v>0</v>
      </c>
      <c r="AI12" s="197">
        <f t="shared" si="0"/>
        <v>0</v>
      </c>
      <c r="AJ12" s="197">
        <f t="shared" si="0"/>
        <v>0</v>
      </c>
      <c r="AK12" s="197">
        <f t="shared" si="0"/>
        <v>0</v>
      </c>
      <c r="AL12" s="197">
        <f>SUM(AJ12:AK12)</f>
        <v>0</v>
      </c>
      <c r="AM12" s="197">
        <f t="shared" si="0"/>
        <v>0</v>
      </c>
      <c r="AN12" s="197">
        <f t="shared" si="0"/>
        <v>0</v>
      </c>
      <c r="AO12" s="197">
        <f t="shared" si="0"/>
        <v>0</v>
      </c>
      <c r="AP12" s="197">
        <f>SUM(AN12:AO12)</f>
        <v>0</v>
      </c>
      <c r="AQ12" s="197">
        <f t="shared" si="0"/>
        <v>0</v>
      </c>
      <c r="AR12" s="197">
        <f t="shared" si="0"/>
        <v>0</v>
      </c>
      <c r="AS12" s="197">
        <f t="shared" si="0"/>
        <v>0</v>
      </c>
      <c r="AT12" s="197">
        <f t="shared" si="0"/>
        <v>0</v>
      </c>
      <c r="AU12" s="197">
        <f>SUM(AR12:AT12)</f>
        <v>0</v>
      </c>
      <c r="AV12" s="197">
        <f t="shared" si="0"/>
        <v>0</v>
      </c>
      <c r="AW12" s="197">
        <f t="shared" si="0"/>
        <v>0</v>
      </c>
      <c r="AX12" s="197">
        <f t="shared" si="0"/>
        <v>0</v>
      </c>
      <c r="AY12" s="197">
        <f t="shared" si="0"/>
        <v>0</v>
      </c>
      <c r="AZ12" s="197">
        <f t="shared" si="0"/>
        <v>0</v>
      </c>
      <c r="BA12" s="197">
        <f t="shared" si="0"/>
        <v>0</v>
      </c>
      <c r="BB12" s="197">
        <f t="shared" si="0"/>
        <v>0</v>
      </c>
      <c r="BC12" s="197">
        <f t="shared" si="0"/>
        <v>0</v>
      </c>
      <c r="BD12" s="197">
        <f>SUM(BB12:BC12)</f>
        <v>0</v>
      </c>
      <c r="BE12" s="197">
        <f t="shared" si="0"/>
        <v>0</v>
      </c>
      <c r="BF12" s="197">
        <f t="shared" si="0"/>
        <v>0</v>
      </c>
      <c r="BG12" s="197">
        <f t="shared" si="0"/>
        <v>0</v>
      </c>
      <c r="BH12" s="197">
        <f t="shared" si="0"/>
        <v>0</v>
      </c>
      <c r="BI12" s="197">
        <f t="shared" si="0"/>
        <v>0</v>
      </c>
      <c r="BJ12" s="197">
        <f t="shared" si="0"/>
        <v>0</v>
      </c>
      <c r="BK12" s="197">
        <f t="shared" si="0"/>
        <v>0</v>
      </c>
      <c r="BL12" s="197">
        <f>SUM(BJ12:BK12)</f>
        <v>0</v>
      </c>
      <c r="BM12" s="197">
        <f t="shared" si="0"/>
        <v>0</v>
      </c>
      <c r="BN12" s="197">
        <f t="shared" si="0"/>
        <v>0</v>
      </c>
      <c r="BO12" s="197">
        <f t="shared" si="0"/>
        <v>0</v>
      </c>
      <c r="BP12" s="197">
        <f t="shared" si="0"/>
        <v>0</v>
      </c>
      <c r="BQ12" s="197">
        <f t="shared" si="0"/>
        <v>0</v>
      </c>
      <c r="BR12" s="197">
        <f t="shared" ref="BR12:EC12" si="1">SUM(BR13+BR69+BR76)</f>
        <v>0</v>
      </c>
      <c r="BS12" s="197">
        <f>SUM(BP12:BR12)</f>
        <v>0</v>
      </c>
      <c r="BT12" s="197">
        <f t="shared" si="1"/>
        <v>0</v>
      </c>
      <c r="BU12" s="197">
        <f t="shared" si="1"/>
        <v>0</v>
      </c>
      <c r="BV12" s="197">
        <f t="shared" si="1"/>
        <v>0</v>
      </c>
      <c r="BW12" s="197">
        <f>SUM(BU12:BV12)</f>
        <v>0</v>
      </c>
      <c r="BX12" s="197">
        <f t="shared" si="1"/>
        <v>0</v>
      </c>
      <c r="BY12" s="197">
        <f t="shared" si="1"/>
        <v>0</v>
      </c>
      <c r="BZ12" s="197">
        <f>SUM(BX12:BY12)</f>
        <v>0</v>
      </c>
      <c r="CA12" s="197">
        <f t="shared" si="1"/>
        <v>0</v>
      </c>
      <c r="CB12" s="197">
        <f t="shared" si="1"/>
        <v>0</v>
      </c>
      <c r="CC12" s="197">
        <f>SUM(CA12:CB12)</f>
        <v>0</v>
      </c>
      <c r="CD12" s="197">
        <f t="shared" si="1"/>
        <v>0</v>
      </c>
      <c r="CE12" s="197">
        <f t="shared" si="1"/>
        <v>0</v>
      </c>
      <c r="CF12" s="197">
        <f t="shared" si="1"/>
        <v>0</v>
      </c>
      <c r="CG12" s="197">
        <f t="shared" si="1"/>
        <v>0</v>
      </c>
      <c r="CH12" s="197">
        <f t="shared" si="1"/>
        <v>0</v>
      </c>
      <c r="CI12" s="197">
        <f t="shared" si="1"/>
        <v>0</v>
      </c>
      <c r="CJ12" s="197">
        <f t="shared" si="1"/>
        <v>0</v>
      </c>
      <c r="CK12" s="197">
        <f t="shared" si="1"/>
        <v>0</v>
      </c>
      <c r="CL12" s="197">
        <f>SUM(CI12:CK12)</f>
        <v>0</v>
      </c>
      <c r="CM12" s="197">
        <f t="shared" si="1"/>
        <v>0</v>
      </c>
      <c r="CN12" s="197">
        <f t="shared" si="1"/>
        <v>0</v>
      </c>
      <c r="CO12" s="197">
        <f t="shared" si="1"/>
        <v>0</v>
      </c>
      <c r="CP12" s="197">
        <f t="shared" si="1"/>
        <v>0</v>
      </c>
      <c r="CQ12" s="197">
        <f>SUM(CO12:CP12)</f>
        <v>0</v>
      </c>
      <c r="CR12" s="197">
        <f t="shared" si="1"/>
        <v>0</v>
      </c>
      <c r="CS12" s="197">
        <f t="shared" si="1"/>
        <v>0</v>
      </c>
      <c r="CT12" s="197">
        <f t="shared" si="1"/>
        <v>0</v>
      </c>
      <c r="CU12" s="197">
        <f t="shared" si="1"/>
        <v>0</v>
      </c>
      <c r="CV12" s="197">
        <f t="shared" si="1"/>
        <v>0</v>
      </c>
      <c r="CW12" s="197">
        <f t="shared" si="1"/>
        <v>0</v>
      </c>
      <c r="CX12" s="197">
        <f>SUM(CU12:CW12)</f>
        <v>0</v>
      </c>
      <c r="CY12" s="197">
        <f t="shared" si="1"/>
        <v>0</v>
      </c>
      <c r="CZ12" s="197">
        <f t="shared" si="1"/>
        <v>0</v>
      </c>
      <c r="DA12" s="197">
        <f t="shared" si="1"/>
        <v>0</v>
      </c>
      <c r="DB12" s="197">
        <f>SUM(CZ12:DA12)</f>
        <v>0</v>
      </c>
      <c r="DC12" s="197">
        <f t="shared" si="1"/>
        <v>0</v>
      </c>
      <c r="DD12" s="197">
        <f t="shared" si="1"/>
        <v>0</v>
      </c>
      <c r="DE12" s="197">
        <f>SUM(DC12:DD12)</f>
        <v>0</v>
      </c>
      <c r="DF12" s="197">
        <f t="shared" si="1"/>
        <v>0</v>
      </c>
      <c r="DG12" s="197">
        <f t="shared" si="1"/>
        <v>0</v>
      </c>
      <c r="DH12" s="197">
        <f>SUM(DF12:DG12)</f>
        <v>0</v>
      </c>
      <c r="DI12" s="197">
        <f t="shared" si="1"/>
        <v>0</v>
      </c>
      <c r="DJ12" s="197">
        <f t="shared" si="1"/>
        <v>0</v>
      </c>
      <c r="DK12" s="197">
        <f>SUM(DI12:DJ12)</f>
        <v>0</v>
      </c>
      <c r="DL12" s="197">
        <f t="shared" si="1"/>
        <v>0</v>
      </c>
      <c r="DM12" s="197">
        <f t="shared" si="1"/>
        <v>0</v>
      </c>
      <c r="DN12" s="197">
        <f t="shared" si="1"/>
        <v>0</v>
      </c>
      <c r="DO12" s="197">
        <f t="shared" si="1"/>
        <v>0</v>
      </c>
      <c r="DP12" s="197">
        <f t="shared" si="1"/>
        <v>0</v>
      </c>
      <c r="DQ12" s="197">
        <f t="shared" si="1"/>
        <v>0</v>
      </c>
      <c r="DR12" s="197">
        <f t="shared" si="1"/>
        <v>0</v>
      </c>
      <c r="DS12" s="197">
        <f t="shared" si="1"/>
        <v>0</v>
      </c>
      <c r="DT12" s="197">
        <f t="shared" si="1"/>
        <v>0</v>
      </c>
      <c r="DU12" s="197">
        <f t="shared" si="1"/>
        <v>0</v>
      </c>
      <c r="DV12" s="197">
        <f t="shared" si="1"/>
        <v>0</v>
      </c>
      <c r="DW12" s="197">
        <f>SUM(DT12:DV12)</f>
        <v>0</v>
      </c>
      <c r="DX12" s="197">
        <f t="shared" si="1"/>
        <v>0</v>
      </c>
      <c r="DY12" s="197">
        <f t="shared" si="1"/>
        <v>0</v>
      </c>
      <c r="DZ12" s="197">
        <f t="shared" si="1"/>
        <v>0</v>
      </c>
      <c r="EA12" s="197">
        <f>SUM(DY12:DZ12)</f>
        <v>0</v>
      </c>
      <c r="EB12" s="197">
        <f t="shared" si="1"/>
        <v>0</v>
      </c>
      <c r="EC12" s="197">
        <f t="shared" si="1"/>
        <v>0</v>
      </c>
      <c r="ED12" s="197">
        <f t="shared" ref="ED12:GU12" si="2">SUM(ED13+ED69+ED76)</f>
        <v>0</v>
      </c>
      <c r="EE12" s="197">
        <f t="shared" si="2"/>
        <v>0</v>
      </c>
      <c r="EF12" s="197">
        <f t="shared" si="2"/>
        <v>0</v>
      </c>
      <c r="EG12" s="197">
        <f t="shared" si="2"/>
        <v>0</v>
      </c>
      <c r="EH12" s="197">
        <f>SUM(EE12:EG12)</f>
        <v>0</v>
      </c>
      <c r="EI12" s="197">
        <f t="shared" si="2"/>
        <v>0</v>
      </c>
      <c r="EJ12" s="197">
        <f t="shared" si="2"/>
        <v>0</v>
      </c>
      <c r="EK12" s="197">
        <f t="shared" si="2"/>
        <v>0</v>
      </c>
      <c r="EL12" s="197">
        <f>SUM(EJ12:EK12)</f>
        <v>0</v>
      </c>
      <c r="EM12" s="197">
        <f t="shared" si="2"/>
        <v>0</v>
      </c>
      <c r="EN12" s="197">
        <f t="shared" si="2"/>
        <v>0</v>
      </c>
      <c r="EO12" s="197">
        <f>SUM(EM12:EN12)</f>
        <v>0</v>
      </c>
      <c r="EP12" s="197">
        <f t="shared" si="2"/>
        <v>0</v>
      </c>
      <c r="EQ12" s="197">
        <f t="shared" si="2"/>
        <v>0</v>
      </c>
      <c r="ER12" s="197">
        <f>SUM(EP12:EQ12)</f>
        <v>0</v>
      </c>
      <c r="ES12" s="197">
        <f t="shared" si="2"/>
        <v>0</v>
      </c>
      <c r="ET12" s="197">
        <f t="shared" si="2"/>
        <v>0</v>
      </c>
      <c r="EU12" s="197">
        <f>SUM(ES12:ET12)</f>
        <v>0</v>
      </c>
      <c r="EV12" s="197">
        <f t="shared" si="2"/>
        <v>0</v>
      </c>
      <c r="EW12" s="197">
        <f t="shared" si="2"/>
        <v>0</v>
      </c>
      <c r="EX12" s="197">
        <f t="shared" si="2"/>
        <v>0</v>
      </c>
      <c r="EY12" s="197">
        <f t="shared" si="2"/>
        <v>0</v>
      </c>
      <c r="EZ12" s="197">
        <f t="shared" si="2"/>
        <v>0</v>
      </c>
      <c r="FA12" s="197">
        <f t="shared" si="2"/>
        <v>0</v>
      </c>
      <c r="FB12" s="197">
        <f t="shared" si="2"/>
        <v>0</v>
      </c>
      <c r="FC12" s="197">
        <f t="shared" si="2"/>
        <v>0</v>
      </c>
      <c r="FD12" s="197">
        <f t="shared" si="2"/>
        <v>0</v>
      </c>
      <c r="FE12" s="197">
        <f t="shared" si="2"/>
        <v>0</v>
      </c>
      <c r="FF12" s="197">
        <f t="shared" si="2"/>
        <v>0</v>
      </c>
      <c r="FG12" s="197">
        <f>SUM(FD12:FF12)</f>
        <v>0</v>
      </c>
      <c r="FH12" s="197">
        <f t="shared" si="2"/>
        <v>0</v>
      </c>
      <c r="FI12" s="197">
        <f t="shared" si="2"/>
        <v>0</v>
      </c>
      <c r="FJ12" s="197">
        <f t="shared" si="2"/>
        <v>0</v>
      </c>
      <c r="FK12" s="197">
        <f>SUM(FI12:FJ12)</f>
        <v>0</v>
      </c>
      <c r="FL12" s="197">
        <f t="shared" si="2"/>
        <v>0</v>
      </c>
      <c r="FM12" s="197">
        <f t="shared" si="2"/>
        <v>0</v>
      </c>
      <c r="FN12" s="197">
        <f t="shared" si="2"/>
        <v>0</v>
      </c>
      <c r="FO12" s="197">
        <f t="shared" si="2"/>
        <v>0</v>
      </c>
      <c r="FP12" s="197">
        <f t="shared" si="2"/>
        <v>0</v>
      </c>
      <c r="FQ12" s="197">
        <f t="shared" si="2"/>
        <v>0</v>
      </c>
      <c r="FR12" s="197">
        <f>SUM(FO12:FQ12)</f>
        <v>0</v>
      </c>
      <c r="FS12" s="197">
        <f t="shared" si="2"/>
        <v>0</v>
      </c>
      <c r="FT12" s="197">
        <f t="shared" si="2"/>
        <v>0</v>
      </c>
      <c r="FU12" s="197">
        <f t="shared" si="2"/>
        <v>0</v>
      </c>
      <c r="FV12" s="197">
        <f>SUM(FT12:FU12)</f>
        <v>0</v>
      </c>
      <c r="FW12" s="197">
        <f t="shared" si="2"/>
        <v>0</v>
      </c>
      <c r="FX12" s="197">
        <f t="shared" si="2"/>
        <v>0</v>
      </c>
      <c r="FY12" s="197">
        <f>SUM(FW12:FX12)</f>
        <v>0</v>
      </c>
      <c r="FZ12" s="197">
        <f t="shared" si="2"/>
        <v>0</v>
      </c>
      <c r="GA12" s="197">
        <f t="shared" si="2"/>
        <v>0</v>
      </c>
      <c r="GB12" s="197">
        <f>SUM(FZ12:GA12)</f>
        <v>0</v>
      </c>
      <c r="GC12" s="197">
        <f t="shared" si="2"/>
        <v>0</v>
      </c>
      <c r="GD12" s="197">
        <f t="shared" si="2"/>
        <v>0</v>
      </c>
      <c r="GE12" s="197">
        <f>SUM(GC12:GD12)</f>
        <v>0</v>
      </c>
      <c r="GF12" s="197">
        <f t="shared" si="2"/>
        <v>0</v>
      </c>
      <c r="GG12" s="198">
        <f t="shared" si="2"/>
        <v>0</v>
      </c>
      <c r="GH12" s="199">
        <f t="shared" si="2"/>
        <v>0</v>
      </c>
      <c r="GI12" s="198">
        <f t="shared" si="2"/>
        <v>0</v>
      </c>
      <c r="GJ12" s="197">
        <f t="shared" si="2"/>
        <v>0</v>
      </c>
      <c r="GK12" s="200">
        <f t="shared" si="2"/>
        <v>0</v>
      </c>
      <c r="GL12" s="200">
        <f t="shared" si="2"/>
        <v>0</v>
      </c>
      <c r="GM12" s="200">
        <f t="shared" si="2"/>
        <v>0</v>
      </c>
      <c r="GN12" s="200">
        <f>SUM(GK12:GM12)</f>
        <v>0</v>
      </c>
      <c r="GO12" s="197">
        <f>SUM(GO13+GO69+GO76)</f>
        <v>0</v>
      </c>
      <c r="GP12" s="197">
        <f t="shared" si="2"/>
        <v>0</v>
      </c>
      <c r="GQ12" s="197">
        <f t="shared" si="2"/>
        <v>0</v>
      </c>
      <c r="GR12" s="197">
        <f t="shared" ref="GR12:GR26" si="3">SUM(GO12:GQ12)</f>
        <v>0</v>
      </c>
      <c r="GS12" s="197">
        <f t="shared" si="2"/>
        <v>0</v>
      </c>
      <c r="GT12" s="197">
        <f t="shared" si="2"/>
        <v>0</v>
      </c>
      <c r="GU12" s="197">
        <f t="shared" si="2"/>
        <v>0</v>
      </c>
      <c r="GV12" s="197">
        <f t="shared" ref="GV12:JK12" si="4">SUM(GV13+GV69+GV76)</f>
        <v>0</v>
      </c>
      <c r="GW12" s="197">
        <f>SUM(GT12:GV12)</f>
        <v>0</v>
      </c>
      <c r="GX12" s="197">
        <f t="shared" si="4"/>
        <v>0</v>
      </c>
      <c r="GY12" s="197">
        <f t="shared" si="4"/>
        <v>0</v>
      </c>
      <c r="GZ12" s="197">
        <f t="shared" si="4"/>
        <v>0</v>
      </c>
      <c r="HA12" s="197">
        <f t="shared" si="4"/>
        <v>0</v>
      </c>
      <c r="HB12" s="197">
        <f>SUM(GY12:HA12)</f>
        <v>0</v>
      </c>
      <c r="HC12" s="197">
        <f t="shared" si="4"/>
        <v>0</v>
      </c>
      <c r="HD12" s="197">
        <f t="shared" si="4"/>
        <v>0</v>
      </c>
      <c r="HE12" s="197">
        <f t="shared" si="4"/>
        <v>0</v>
      </c>
      <c r="HF12" s="197">
        <f t="shared" si="4"/>
        <v>0</v>
      </c>
      <c r="HG12" s="197">
        <f>SUM(HD12:HF12)</f>
        <v>0</v>
      </c>
      <c r="HH12" s="197">
        <f t="shared" si="4"/>
        <v>0</v>
      </c>
      <c r="HI12" s="197">
        <f t="shared" si="4"/>
        <v>0</v>
      </c>
      <c r="HJ12" s="197">
        <f t="shared" si="4"/>
        <v>0</v>
      </c>
      <c r="HK12" s="197">
        <f t="shared" si="4"/>
        <v>0</v>
      </c>
      <c r="HL12" s="197">
        <f>SUM(HI12:HK12)</f>
        <v>0</v>
      </c>
      <c r="HM12" s="197">
        <f t="shared" si="4"/>
        <v>0</v>
      </c>
      <c r="HN12" s="197">
        <f t="shared" si="4"/>
        <v>0</v>
      </c>
      <c r="HO12" s="197">
        <f t="shared" si="4"/>
        <v>0</v>
      </c>
      <c r="HP12" s="197">
        <f t="shared" si="4"/>
        <v>0</v>
      </c>
      <c r="HQ12" s="197">
        <f>SUM(HN12:HP12)</f>
        <v>0</v>
      </c>
      <c r="HR12" s="197">
        <f t="shared" si="4"/>
        <v>0</v>
      </c>
      <c r="HS12" s="200">
        <f t="shared" si="4"/>
        <v>0</v>
      </c>
      <c r="HT12" s="200">
        <f t="shared" si="4"/>
        <v>0</v>
      </c>
      <c r="HU12" s="200">
        <f t="shared" si="4"/>
        <v>0</v>
      </c>
      <c r="HV12" s="200">
        <f>SUM(HS12:HU12)</f>
        <v>0</v>
      </c>
      <c r="HW12" s="197">
        <f t="shared" si="4"/>
        <v>0</v>
      </c>
      <c r="HX12" s="197">
        <f t="shared" si="4"/>
        <v>0</v>
      </c>
      <c r="HY12" s="197">
        <f t="shared" si="4"/>
        <v>0</v>
      </c>
      <c r="HZ12" s="197">
        <f>SUM(HW12:HY12)</f>
        <v>0</v>
      </c>
      <c r="IA12" s="197">
        <f t="shared" si="4"/>
        <v>0</v>
      </c>
      <c r="IB12" s="197">
        <f t="shared" si="4"/>
        <v>0</v>
      </c>
      <c r="IC12" s="197">
        <f t="shared" si="4"/>
        <v>0</v>
      </c>
      <c r="ID12" s="197">
        <f t="shared" si="4"/>
        <v>0</v>
      </c>
      <c r="IE12" s="197">
        <f>SUM(IB12:ID12)</f>
        <v>0</v>
      </c>
      <c r="IF12" s="197">
        <f t="shared" si="4"/>
        <v>0</v>
      </c>
      <c r="IG12" s="197">
        <f t="shared" si="4"/>
        <v>0</v>
      </c>
      <c r="IH12" s="197">
        <f t="shared" si="4"/>
        <v>0</v>
      </c>
      <c r="II12" s="197">
        <f t="shared" si="4"/>
        <v>0</v>
      </c>
      <c r="IJ12" s="197">
        <f>SUM(IG12:II12)</f>
        <v>0</v>
      </c>
      <c r="IK12" s="197">
        <f t="shared" si="4"/>
        <v>0</v>
      </c>
      <c r="IL12" s="197">
        <f t="shared" si="4"/>
        <v>0</v>
      </c>
      <c r="IM12" s="197">
        <f t="shared" si="4"/>
        <v>0</v>
      </c>
      <c r="IN12" s="197">
        <f t="shared" si="4"/>
        <v>0</v>
      </c>
      <c r="IO12" s="197">
        <f>SUM(IL12:IN12)</f>
        <v>0</v>
      </c>
      <c r="IP12" s="197">
        <f t="shared" si="4"/>
        <v>0</v>
      </c>
      <c r="IQ12" s="197">
        <f t="shared" si="4"/>
        <v>0</v>
      </c>
      <c r="IR12" s="197">
        <f t="shared" si="4"/>
        <v>0</v>
      </c>
      <c r="IS12" s="197">
        <f t="shared" si="4"/>
        <v>0</v>
      </c>
      <c r="IT12" s="197">
        <f>SUM(IQ12:IS12)</f>
        <v>0</v>
      </c>
      <c r="IU12" s="197">
        <f t="shared" si="4"/>
        <v>0</v>
      </c>
      <c r="IV12" s="197">
        <f t="shared" si="4"/>
        <v>0</v>
      </c>
      <c r="IW12" s="197">
        <f t="shared" si="4"/>
        <v>0</v>
      </c>
      <c r="IX12" s="197">
        <f>SUM(IU12:IW12)</f>
        <v>0</v>
      </c>
      <c r="IY12" s="197">
        <f t="shared" si="4"/>
        <v>0</v>
      </c>
      <c r="IZ12" s="197">
        <f t="shared" si="4"/>
        <v>0</v>
      </c>
      <c r="JA12" s="197">
        <f t="shared" si="4"/>
        <v>0</v>
      </c>
      <c r="JB12" s="197">
        <f>SUM(IY12:JA12)</f>
        <v>0</v>
      </c>
      <c r="JC12" s="197">
        <f t="shared" si="4"/>
        <v>0</v>
      </c>
      <c r="JD12" s="197">
        <f t="shared" si="4"/>
        <v>0</v>
      </c>
      <c r="JE12" s="197">
        <f t="shared" si="4"/>
        <v>0</v>
      </c>
      <c r="JF12" s="197">
        <f>SUM(JC12:JE12)</f>
        <v>0</v>
      </c>
      <c r="JG12" s="197">
        <f t="shared" si="4"/>
        <v>0</v>
      </c>
      <c r="JH12" s="197">
        <f t="shared" si="4"/>
        <v>0</v>
      </c>
      <c r="JI12" s="197">
        <f t="shared" si="4"/>
        <v>0</v>
      </c>
      <c r="JJ12" s="197">
        <f t="shared" si="4"/>
        <v>0</v>
      </c>
      <c r="JK12" s="197">
        <f t="shared" si="4"/>
        <v>0</v>
      </c>
      <c r="JL12" s="197">
        <f t="shared" ref="JL12:MC12" si="5">SUM(JL13+JL69+JL76)</f>
        <v>0</v>
      </c>
      <c r="JM12" s="197">
        <f t="shared" si="5"/>
        <v>0</v>
      </c>
      <c r="JN12" s="197">
        <f t="shared" si="5"/>
        <v>0</v>
      </c>
      <c r="JO12" s="197">
        <f t="shared" si="5"/>
        <v>0</v>
      </c>
      <c r="JP12" s="197">
        <f t="shared" si="5"/>
        <v>0</v>
      </c>
      <c r="JQ12" s="197">
        <f t="shared" si="5"/>
        <v>0</v>
      </c>
      <c r="JR12" s="197">
        <f t="shared" si="5"/>
        <v>0</v>
      </c>
      <c r="JS12" s="197">
        <f t="shared" si="5"/>
        <v>0</v>
      </c>
      <c r="JT12" s="197">
        <f t="shared" si="5"/>
        <v>0</v>
      </c>
      <c r="JU12" s="197">
        <f t="shared" si="5"/>
        <v>0</v>
      </c>
      <c r="JV12" s="197">
        <f t="shared" si="5"/>
        <v>0</v>
      </c>
      <c r="JW12" s="197">
        <f t="shared" si="5"/>
        <v>0</v>
      </c>
      <c r="JX12" s="197">
        <f t="shared" si="5"/>
        <v>0</v>
      </c>
      <c r="JY12" s="197">
        <f t="shared" si="5"/>
        <v>0</v>
      </c>
      <c r="JZ12" s="197">
        <f t="shared" si="5"/>
        <v>0</v>
      </c>
      <c r="KA12" s="197">
        <f t="shared" si="5"/>
        <v>0</v>
      </c>
      <c r="KB12" s="197">
        <f t="shared" si="5"/>
        <v>0</v>
      </c>
      <c r="KC12" s="197">
        <f t="shared" si="5"/>
        <v>0</v>
      </c>
      <c r="KD12" s="197">
        <f t="shared" si="5"/>
        <v>0</v>
      </c>
      <c r="KE12" s="197">
        <f t="shared" si="5"/>
        <v>0</v>
      </c>
      <c r="KF12" s="197">
        <f t="shared" si="5"/>
        <v>0</v>
      </c>
      <c r="KG12" s="197">
        <f t="shared" si="5"/>
        <v>0</v>
      </c>
      <c r="KH12" s="197">
        <f t="shared" si="5"/>
        <v>0</v>
      </c>
      <c r="KI12" s="197">
        <f t="shared" si="5"/>
        <v>0</v>
      </c>
      <c r="KJ12" s="197">
        <f t="shared" si="5"/>
        <v>0</v>
      </c>
      <c r="KK12" s="197">
        <f t="shared" si="5"/>
        <v>0</v>
      </c>
      <c r="KL12" s="197">
        <f t="shared" si="5"/>
        <v>0</v>
      </c>
      <c r="KM12" s="197">
        <f t="shared" si="5"/>
        <v>0</v>
      </c>
      <c r="KN12" s="197">
        <f t="shared" si="5"/>
        <v>0</v>
      </c>
      <c r="KO12" s="197">
        <f t="shared" si="5"/>
        <v>0</v>
      </c>
      <c r="KP12" s="197">
        <f t="shared" si="5"/>
        <v>0</v>
      </c>
      <c r="KQ12" s="197">
        <f t="shared" si="5"/>
        <v>0</v>
      </c>
      <c r="KR12" s="197">
        <f t="shared" si="5"/>
        <v>0</v>
      </c>
      <c r="KS12" s="197">
        <f t="shared" si="5"/>
        <v>0</v>
      </c>
      <c r="KT12" s="197">
        <f t="shared" si="5"/>
        <v>0</v>
      </c>
      <c r="KU12" s="197">
        <f t="shared" si="5"/>
        <v>0</v>
      </c>
      <c r="KV12" s="197">
        <f t="shared" si="5"/>
        <v>0</v>
      </c>
      <c r="KW12" s="197">
        <f t="shared" si="5"/>
        <v>0</v>
      </c>
      <c r="KX12" s="197">
        <f t="shared" si="5"/>
        <v>0</v>
      </c>
      <c r="KY12" s="197">
        <f t="shared" si="5"/>
        <v>0</v>
      </c>
      <c r="KZ12" s="197">
        <f>SUM(KW12:KY12)</f>
        <v>0</v>
      </c>
      <c r="LA12" s="197">
        <f t="shared" si="5"/>
        <v>0</v>
      </c>
      <c r="LB12" s="197">
        <f t="shared" si="5"/>
        <v>0</v>
      </c>
      <c r="LC12" s="197">
        <f t="shared" si="5"/>
        <v>0</v>
      </c>
      <c r="LD12" s="197">
        <f>SUM(LA12:LC12)</f>
        <v>0</v>
      </c>
      <c r="LE12" s="197">
        <f t="shared" si="5"/>
        <v>0</v>
      </c>
      <c r="LF12" s="197">
        <f t="shared" si="5"/>
        <v>0</v>
      </c>
      <c r="LG12" s="197">
        <f t="shared" si="5"/>
        <v>0</v>
      </c>
      <c r="LH12" s="197">
        <f>SUM(LE12:LG12)</f>
        <v>0</v>
      </c>
      <c r="LI12" s="197">
        <f t="shared" si="5"/>
        <v>0</v>
      </c>
      <c r="LJ12" s="197">
        <f t="shared" si="5"/>
        <v>0</v>
      </c>
      <c r="LK12" s="197">
        <f t="shared" si="5"/>
        <v>0</v>
      </c>
      <c r="LL12" s="197">
        <f>SUM(LI12:LK12)</f>
        <v>0</v>
      </c>
      <c r="LM12" s="197">
        <f t="shared" si="5"/>
        <v>0</v>
      </c>
      <c r="LN12" s="197">
        <f t="shared" si="5"/>
        <v>0</v>
      </c>
      <c r="LO12" s="197">
        <f t="shared" si="5"/>
        <v>0</v>
      </c>
      <c r="LP12" s="197">
        <f>SUM(LM12:LO12)</f>
        <v>0</v>
      </c>
      <c r="LQ12" s="197">
        <f t="shared" si="5"/>
        <v>0</v>
      </c>
      <c r="LR12" s="197">
        <f t="shared" si="5"/>
        <v>0</v>
      </c>
      <c r="LS12" s="197">
        <f t="shared" si="5"/>
        <v>0</v>
      </c>
      <c r="LT12" s="197">
        <f>SUM(LQ12:LS12)</f>
        <v>0</v>
      </c>
      <c r="LU12" s="197">
        <f t="shared" si="5"/>
        <v>0</v>
      </c>
      <c r="LV12" s="197">
        <f t="shared" si="5"/>
        <v>0</v>
      </c>
      <c r="LW12" s="197">
        <f t="shared" si="5"/>
        <v>0</v>
      </c>
      <c r="LX12" s="198">
        <f>SUM(LU12:LW12)</f>
        <v>0</v>
      </c>
      <c r="LY12" s="197">
        <f t="shared" si="5"/>
        <v>0</v>
      </c>
      <c r="LZ12" s="197">
        <f t="shared" si="5"/>
        <v>0</v>
      </c>
      <c r="MA12" s="197">
        <f t="shared" si="5"/>
        <v>0</v>
      </c>
      <c r="MB12" s="197">
        <f>SUM(LY12:MA12)</f>
        <v>0</v>
      </c>
      <c r="MC12" s="197">
        <f t="shared" si="5"/>
        <v>0</v>
      </c>
      <c r="MD12" s="197">
        <f>MC12</f>
        <v>0</v>
      </c>
      <c r="ME12" s="197">
        <f t="shared" ref="ME12:NT12" si="6">SUM(ME13+ME69+ME76)</f>
        <v>0</v>
      </c>
      <c r="MF12" s="197">
        <f>ME12</f>
        <v>0</v>
      </c>
      <c r="MG12" s="197">
        <f t="shared" si="6"/>
        <v>0</v>
      </c>
      <c r="MH12" s="197">
        <f>MG12</f>
        <v>0</v>
      </c>
      <c r="MI12" s="197">
        <f t="shared" si="6"/>
        <v>0</v>
      </c>
      <c r="MJ12" s="197">
        <f>MI12</f>
        <v>0</v>
      </c>
      <c r="MK12" s="197">
        <f t="shared" si="6"/>
        <v>0</v>
      </c>
      <c r="ML12" s="197">
        <f>MK12</f>
        <v>0</v>
      </c>
      <c r="MM12" s="197">
        <f t="shared" si="6"/>
        <v>0</v>
      </c>
      <c r="MN12" s="197">
        <f t="shared" si="6"/>
        <v>0</v>
      </c>
      <c r="MO12" s="197">
        <f t="shared" si="6"/>
        <v>0</v>
      </c>
      <c r="MP12" s="197">
        <f t="shared" si="6"/>
        <v>0</v>
      </c>
      <c r="MQ12" s="197">
        <f t="shared" si="6"/>
        <v>0</v>
      </c>
      <c r="MR12" s="197">
        <f t="shared" si="6"/>
        <v>0</v>
      </c>
      <c r="MS12" s="197">
        <f t="shared" si="6"/>
        <v>0</v>
      </c>
      <c r="MT12" s="197">
        <f t="shared" si="6"/>
        <v>0</v>
      </c>
      <c r="MU12" s="197">
        <f t="shared" si="6"/>
        <v>0</v>
      </c>
      <c r="MV12" s="197">
        <f t="shared" si="6"/>
        <v>0</v>
      </c>
      <c r="MW12" s="197">
        <f>SUM(MR12:MV12)</f>
        <v>0</v>
      </c>
      <c r="MX12" s="197">
        <f t="shared" si="6"/>
        <v>0</v>
      </c>
      <c r="MY12" s="197">
        <f t="shared" si="6"/>
        <v>0</v>
      </c>
      <c r="MZ12" s="197">
        <f t="shared" si="6"/>
        <v>0</v>
      </c>
      <c r="NA12" s="197">
        <f>SUM(MX12:MZ12)</f>
        <v>0</v>
      </c>
      <c r="NB12" s="197">
        <f t="shared" si="6"/>
        <v>0</v>
      </c>
      <c r="NC12" s="197">
        <f t="shared" si="6"/>
        <v>0</v>
      </c>
      <c r="ND12" s="197">
        <f t="shared" si="6"/>
        <v>0</v>
      </c>
      <c r="NE12" s="197">
        <f>SUM(NB12:ND12)</f>
        <v>0</v>
      </c>
      <c r="NF12" s="197">
        <f t="shared" si="6"/>
        <v>0</v>
      </c>
      <c r="NG12" s="197">
        <f t="shared" si="6"/>
        <v>0</v>
      </c>
      <c r="NH12" s="197">
        <f t="shared" si="6"/>
        <v>0</v>
      </c>
      <c r="NI12" s="197">
        <f>SUM(NF12:NH12)</f>
        <v>0</v>
      </c>
      <c r="NJ12" s="197">
        <f t="shared" si="6"/>
        <v>0</v>
      </c>
      <c r="NK12" s="197">
        <f t="shared" si="6"/>
        <v>0</v>
      </c>
      <c r="NL12" s="197">
        <f t="shared" si="6"/>
        <v>0</v>
      </c>
      <c r="NM12" s="197">
        <f>SUM(NJ12:NL12)</f>
        <v>0</v>
      </c>
      <c r="NN12" s="197">
        <f t="shared" si="6"/>
        <v>0</v>
      </c>
      <c r="NO12" s="197">
        <f t="shared" si="6"/>
        <v>0</v>
      </c>
      <c r="NP12" s="197">
        <f t="shared" si="6"/>
        <v>0</v>
      </c>
      <c r="NQ12" s="197">
        <f>SUM(NN12:NP12)</f>
        <v>0</v>
      </c>
      <c r="NR12" s="197">
        <f t="shared" si="6"/>
        <v>0</v>
      </c>
      <c r="NS12" s="197">
        <f t="shared" si="6"/>
        <v>0</v>
      </c>
      <c r="NT12" s="197">
        <f t="shared" si="6"/>
        <v>0</v>
      </c>
      <c r="NU12" s="197">
        <f>SUM(NR12:NT12)</f>
        <v>0</v>
      </c>
      <c r="NV12" s="200">
        <f t="shared" ref="NV12:NX12" si="7">SUM(NV13+NV69+NV76)</f>
        <v>0</v>
      </c>
      <c r="NW12" s="200">
        <f t="shared" si="7"/>
        <v>0</v>
      </c>
      <c r="NX12" s="200">
        <f t="shared" si="7"/>
        <v>0</v>
      </c>
      <c r="NY12" s="200">
        <f>SUM(NV12:NX12)</f>
        <v>0</v>
      </c>
      <c r="NZ12" s="200">
        <f t="shared" ref="NZ12:OB12" si="8">SUM(NZ13+NZ69+NZ76)</f>
        <v>0</v>
      </c>
      <c r="OA12" s="200">
        <f t="shared" si="8"/>
        <v>0</v>
      </c>
      <c r="OB12" s="200">
        <f t="shared" si="8"/>
        <v>0</v>
      </c>
      <c r="OC12" s="200">
        <f>SUM(NZ12:OB12)</f>
        <v>0</v>
      </c>
      <c r="OD12" s="201">
        <f t="shared" ref="OD12:OQ12" si="9">SUM(OD13+OD69+OD76)</f>
        <v>0</v>
      </c>
      <c r="OE12" s="201">
        <f t="shared" si="9"/>
        <v>0</v>
      </c>
      <c r="OF12" s="201">
        <f t="shared" si="9"/>
        <v>0</v>
      </c>
      <c r="OG12" s="201">
        <f t="shared" si="9"/>
        <v>0</v>
      </c>
      <c r="OH12" s="201">
        <f t="shared" si="9"/>
        <v>0</v>
      </c>
      <c r="OI12" s="201">
        <f t="shared" si="9"/>
        <v>0</v>
      </c>
      <c r="OJ12" s="201">
        <f t="shared" si="9"/>
        <v>0</v>
      </c>
      <c r="OK12" s="201">
        <f t="shared" si="9"/>
        <v>0</v>
      </c>
      <c r="OL12" s="201">
        <f t="shared" si="9"/>
        <v>0</v>
      </c>
      <c r="OM12" s="201">
        <f t="shared" si="9"/>
        <v>0</v>
      </c>
      <c r="ON12" s="201">
        <f t="shared" si="9"/>
        <v>0</v>
      </c>
      <c r="OO12" s="201">
        <f t="shared" si="9"/>
        <v>0</v>
      </c>
      <c r="OP12" s="201">
        <f t="shared" si="9"/>
        <v>0</v>
      </c>
      <c r="OQ12" s="201">
        <f t="shared" si="9"/>
        <v>0</v>
      </c>
      <c r="OR12" s="202">
        <f>SUM(OD12:OQ12)</f>
        <v>0</v>
      </c>
      <c r="OS12" s="203">
        <f t="shared" ref="OS12:OW12" si="10">SUM(OS13+OS69+OS76)</f>
        <v>0</v>
      </c>
      <c r="OT12" s="203">
        <f t="shared" si="10"/>
        <v>0</v>
      </c>
      <c r="OU12" s="203">
        <f t="shared" si="10"/>
        <v>0</v>
      </c>
      <c r="OV12" s="203">
        <f t="shared" si="10"/>
        <v>0</v>
      </c>
      <c r="OW12" s="203">
        <f t="shared" si="10"/>
        <v>0</v>
      </c>
      <c r="OX12" s="203">
        <f t="shared" ref="OX12:OX26" si="11">SUM(OS12:OW12)</f>
        <v>0</v>
      </c>
      <c r="OY12" s="203">
        <f t="shared" ref="OY12:PA12" si="12">SUM(OY13+OY69+OY76)</f>
        <v>0</v>
      </c>
      <c r="OZ12" s="203">
        <f t="shared" si="12"/>
        <v>0</v>
      </c>
      <c r="PA12" s="203">
        <f t="shared" si="12"/>
        <v>0</v>
      </c>
      <c r="PB12" s="204">
        <f>SUM(OY12:PA12)</f>
        <v>0</v>
      </c>
      <c r="PC12" s="203">
        <f t="shared" ref="PC12:PE12" si="13">SUM(PC13+PC69+PC76)</f>
        <v>0</v>
      </c>
      <c r="PD12" s="203">
        <f t="shared" si="13"/>
        <v>0</v>
      </c>
      <c r="PE12" s="203">
        <f t="shared" si="13"/>
        <v>0</v>
      </c>
      <c r="PF12" s="204">
        <f>SUM(PC12:PE12)</f>
        <v>0</v>
      </c>
      <c r="PG12" s="203">
        <f t="shared" ref="PG12:PI12" si="14">SUM(PG13+PG69+PG76)</f>
        <v>0</v>
      </c>
      <c r="PH12" s="203">
        <f t="shared" si="14"/>
        <v>0</v>
      </c>
      <c r="PI12" s="203">
        <f t="shared" si="14"/>
        <v>0</v>
      </c>
      <c r="PJ12" s="204">
        <f>SUM(PG12:PI12)</f>
        <v>0</v>
      </c>
      <c r="PK12" s="203">
        <f t="shared" ref="PK12:PM12" si="15">SUM(PK13+PK69+PK76)</f>
        <v>0</v>
      </c>
      <c r="PL12" s="203">
        <f t="shared" si="15"/>
        <v>0</v>
      </c>
      <c r="PM12" s="203">
        <f t="shared" si="15"/>
        <v>0</v>
      </c>
      <c r="PN12" s="204">
        <f>SUM(PK12:PM12)</f>
        <v>0</v>
      </c>
      <c r="PO12" s="203">
        <f t="shared" ref="PO12:PQ12" si="16">SUM(PO13+PO69+PO76)</f>
        <v>0</v>
      </c>
      <c r="PP12" s="203">
        <f t="shared" si="16"/>
        <v>0</v>
      </c>
      <c r="PQ12" s="203">
        <f t="shared" si="16"/>
        <v>0</v>
      </c>
      <c r="PR12" s="204">
        <f>SUM(PO12:PQ12)</f>
        <v>0</v>
      </c>
      <c r="PS12" s="203">
        <f t="shared" ref="PS12:PU12" si="17">SUM(PS13+PS69+PS76)</f>
        <v>0</v>
      </c>
      <c r="PT12" s="203">
        <f t="shared" si="17"/>
        <v>0</v>
      </c>
      <c r="PU12" s="203">
        <f t="shared" si="17"/>
        <v>0</v>
      </c>
      <c r="PV12" s="204">
        <f>SUM(PS12:PU12)</f>
        <v>0</v>
      </c>
      <c r="PW12" s="203">
        <f t="shared" ref="PW12:QK12" si="18">SUM(PW13+PW69+PW76)</f>
        <v>0</v>
      </c>
      <c r="PX12" s="203">
        <f t="shared" si="18"/>
        <v>0</v>
      </c>
      <c r="PY12" s="203">
        <f t="shared" si="18"/>
        <v>0</v>
      </c>
      <c r="PZ12" s="204">
        <f>SUM(PW12:PY12)</f>
        <v>0</v>
      </c>
      <c r="QA12" s="203">
        <f t="shared" si="18"/>
        <v>0</v>
      </c>
      <c r="QB12" s="203">
        <f t="shared" si="18"/>
        <v>0</v>
      </c>
      <c r="QC12" s="203">
        <f t="shared" si="18"/>
        <v>0</v>
      </c>
      <c r="QD12" s="204">
        <f>SUM(QA12:QC12)</f>
        <v>0</v>
      </c>
      <c r="QE12" s="203">
        <f t="shared" si="18"/>
        <v>0</v>
      </c>
      <c r="QF12" s="197">
        <f t="shared" si="18"/>
        <v>0</v>
      </c>
      <c r="QG12" s="197">
        <f t="shared" si="18"/>
        <v>0</v>
      </c>
      <c r="QH12" s="197">
        <f t="shared" si="18"/>
        <v>0</v>
      </c>
      <c r="QI12" s="197">
        <f t="shared" si="18"/>
        <v>0</v>
      </c>
      <c r="QJ12" s="197">
        <f t="shared" si="18"/>
        <v>0</v>
      </c>
      <c r="QK12" s="197">
        <f t="shared" si="18"/>
        <v>0</v>
      </c>
      <c r="QL12" s="197">
        <f>SUM(QF12:QK12)</f>
        <v>0</v>
      </c>
      <c r="QM12" s="197">
        <f t="shared" ref="QM12:QR12" si="19">SUM(QM13+QM69+QM76)</f>
        <v>0</v>
      </c>
      <c r="QN12" s="197">
        <f t="shared" si="19"/>
        <v>0</v>
      </c>
      <c r="QO12" s="197">
        <f t="shared" si="19"/>
        <v>0</v>
      </c>
      <c r="QP12" s="197">
        <f t="shared" si="19"/>
        <v>0</v>
      </c>
      <c r="QQ12" s="197">
        <f t="shared" si="19"/>
        <v>0</v>
      </c>
      <c r="QR12" s="197">
        <f t="shared" si="19"/>
        <v>0</v>
      </c>
      <c r="QS12" s="197">
        <f>SUM(QM12:QR12)</f>
        <v>0</v>
      </c>
      <c r="QT12" s="197">
        <f t="shared" ref="QT12:QY12" si="20">SUM(QT13+QT69+QT76)</f>
        <v>0</v>
      </c>
      <c r="QU12" s="197">
        <f t="shared" si="20"/>
        <v>0</v>
      </c>
      <c r="QV12" s="197">
        <f t="shared" si="20"/>
        <v>0</v>
      </c>
      <c r="QW12" s="197">
        <f t="shared" si="20"/>
        <v>0</v>
      </c>
      <c r="QX12" s="197">
        <f t="shared" si="20"/>
        <v>0</v>
      </c>
      <c r="QY12" s="197">
        <f t="shared" si="20"/>
        <v>0</v>
      </c>
      <c r="QZ12" s="197">
        <f>SUM(QT12:QY12)</f>
        <v>0</v>
      </c>
      <c r="RA12" s="197">
        <f t="shared" ref="RA12:RF12" si="21">SUM(RA13+RA69+RA76)</f>
        <v>0</v>
      </c>
      <c r="RB12" s="197">
        <f t="shared" si="21"/>
        <v>0</v>
      </c>
      <c r="RC12" s="197">
        <f t="shared" si="21"/>
        <v>0</v>
      </c>
      <c r="RD12" s="197">
        <f t="shared" si="21"/>
        <v>0</v>
      </c>
      <c r="RE12" s="197">
        <f t="shared" si="21"/>
        <v>0</v>
      </c>
      <c r="RF12" s="197">
        <f t="shared" si="21"/>
        <v>0</v>
      </c>
      <c r="RG12" s="197">
        <f>SUM(RA12:RF12)</f>
        <v>0</v>
      </c>
      <c r="RH12" s="197">
        <f t="shared" ref="RH12:RM12" si="22">SUM(RH13+RH69+RH76)</f>
        <v>0</v>
      </c>
      <c r="RI12" s="197">
        <f t="shared" si="22"/>
        <v>0</v>
      </c>
      <c r="RJ12" s="197">
        <f t="shared" si="22"/>
        <v>0</v>
      </c>
      <c r="RK12" s="197">
        <f t="shared" si="22"/>
        <v>0</v>
      </c>
      <c r="RL12" s="197">
        <f t="shared" si="22"/>
        <v>0</v>
      </c>
      <c r="RM12" s="197">
        <f t="shared" si="22"/>
        <v>0</v>
      </c>
      <c r="RN12" s="197">
        <f>SUM(RH12:RM12)</f>
        <v>0</v>
      </c>
      <c r="RO12" s="197">
        <f t="shared" ref="RO12:RT12" si="23">SUM(RO13+RO69+RO76)</f>
        <v>0</v>
      </c>
      <c r="RP12" s="197">
        <f t="shared" si="23"/>
        <v>0</v>
      </c>
      <c r="RQ12" s="197">
        <f t="shared" si="23"/>
        <v>0</v>
      </c>
      <c r="RR12" s="197">
        <f t="shared" si="23"/>
        <v>0</v>
      </c>
      <c r="RS12" s="197">
        <f t="shared" si="23"/>
        <v>0</v>
      </c>
      <c r="RT12" s="197">
        <f t="shared" si="23"/>
        <v>0</v>
      </c>
      <c r="RU12" s="197">
        <f>SUM(RO12:RT12)</f>
        <v>0</v>
      </c>
      <c r="RV12" s="197">
        <f t="shared" ref="RV12:SB12" si="24">SUM(RV13+RV69+RV76)</f>
        <v>0</v>
      </c>
      <c r="RW12" s="197">
        <f t="shared" si="24"/>
        <v>0</v>
      </c>
      <c r="RX12" s="197">
        <f t="shared" si="24"/>
        <v>0</v>
      </c>
      <c r="RY12" s="197">
        <f t="shared" si="24"/>
        <v>0</v>
      </c>
      <c r="RZ12" s="197">
        <f t="shared" si="24"/>
        <v>0</v>
      </c>
      <c r="SA12" s="197">
        <f t="shared" si="24"/>
        <v>0</v>
      </c>
      <c r="SB12" s="197">
        <f t="shared" si="24"/>
        <v>0</v>
      </c>
      <c r="SC12" s="197">
        <f>SUM(RZ12:SB12)</f>
        <v>0</v>
      </c>
      <c r="SD12" s="197">
        <f t="shared" ref="SD12:SF12" si="25">SUM(SD13+SD69+SD76)</f>
        <v>0</v>
      </c>
      <c r="SE12" s="197">
        <f t="shared" si="25"/>
        <v>0</v>
      </c>
      <c r="SF12" s="197">
        <f t="shared" si="25"/>
        <v>0</v>
      </c>
      <c r="SG12" s="197">
        <f>SUM(SE12:SF12)</f>
        <v>0</v>
      </c>
      <c r="SH12" s="197">
        <f t="shared" ref="SH12:SM12" si="26">SUM(SH13+SH69+SH76)</f>
        <v>0</v>
      </c>
      <c r="SI12" s="197">
        <f t="shared" si="26"/>
        <v>0</v>
      </c>
      <c r="SJ12" s="197">
        <f t="shared" si="26"/>
        <v>0</v>
      </c>
      <c r="SK12" s="197">
        <f t="shared" si="26"/>
        <v>0</v>
      </c>
      <c r="SL12" s="197">
        <f t="shared" si="26"/>
        <v>0</v>
      </c>
      <c r="SM12" s="197">
        <f t="shared" si="26"/>
        <v>0</v>
      </c>
      <c r="SN12" s="197">
        <f>SUM(SK12:SM12)</f>
        <v>0</v>
      </c>
      <c r="SO12" s="197">
        <f t="shared" ref="SO12:SQ12" si="27">SUM(SO13+SO69+SO76)</f>
        <v>0</v>
      </c>
      <c r="SP12" s="197">
        <f t="shared" si="27"/>
        <v>0</v>
      </c>
      <c r="SQ12" s="197">
        <f t="shared" si="27"/>
        <v>0</v>
      </c>
      <c r="SR12" s="197">
        <f>SUM(SP12:SQ12)</f>
        <v>0</v>
      </c>
      <c r="SS12" s="197">
        <f t="shared" ref="SS12:ST12" si="28">SUM(SS13+SS69+SS76)</f>
        <v>0</v>
      </c>
      <c r="ST12" s="197">
        <f t="shared" si="28"/>
        <v>0</v>
      </c>
      <c r="SU12" s="197">
        <f>SUM(SS12:ST12)</f>
        <v>0</v>
      </c>
      <c r="SV12" s="197">
        <f t="shared" ref="SV12:SW12" si="29">SUM(SV13+SV69+SV76)</f>
        <v>0</v>
      </c>
      <c r="SW12" s="197">
        <f t="shared" si="29"/>
        <v>0</v>
      </c>
      <c r="SX12" s="197">
        <f>SUM(SV12:SW12)</f>
        <v>0</v>
      </c>
      <c r="SY12" s="197">
        <f t="shared" ref="SY12:SZ12" si="30">SUM(SY13+SY69+SY76)</f>
        <v>0</v>
      </c>
      <c r="SZ12" s="197">
        <f t="shared" si="30"/>
        <v>0</v>
      </c>
      <c r="TA12" s="197">
        <f>SUM(SY12:SZ12)</f>
        <v>0</v>
      </c>
      <c r="TB12" s="197">
        <f t="shared" ref="TB12:UC12" si="31">SUM(TB13+TB69+TB76)</f>
        <v>0</v>
      </c>
      <c r="TC12" s="198">
        <f t="shared" si="31"/>
        <v>0</v>
      </c>
      <c r="TD12" s="199">
        <f t="shared" si="31"/>
        <v>0</v>
      </c>
      <c r="TE12" s="198">
        <f t="shared" si="31"/>
        <v>0</v>
      </c>
      <c r="TF12" s="197">
        <f t="shared" si="31"/>
        <v>0</v>
      </c>
      <c r="TG12" s="197">
        <f t="shared" si="31"/>
        <v>0</v>
      </c>
      <c r="TH12" s="203">
        <f t="shared" si="31"/>
        <v>0</v>
      </c>
      <c r="TI12" s="203">
        <f t="shared" si="31"/>
        <v>0</v>
      </c>
      <c r="TJ12" s="203">
        <f t="shared" si="31"/>
        <v>0</v>
      </c>
      <c r="TK12" s="203">
        <f t="shared" si="31"/>
        <v>0</v>
      </c>
      <c r="TL12" s="205">
        <f t="shared" si="31"/>
        <v>0</v>
      </c>
      <c r="TM12" s="197">
        <f t="shared" si="31"/>
        <v>0</v>
      </c>
      <c r="TN12" s="197">
        <f t="shared" si="31"/>
        <v>0</v>
      </c>
      <c r="TO12" s="197">
        <f t="shared" si="31"/>
        <v>0</v>
      </c>
      <c r="TP12" s="197">
        <f t="shared" si="31"/>
        <v>0</v>
      </c>
      <c r="TQ12" s="197">
        <f t="shared" si="31"/>
        <v>0</v>
      </c>
      <c r="TR12" s="197">
        <f t="shared" si="31"/>
        <v>0</v>
      </c>
      <c r="TS12" s="203">
        <f t="shared" si="31"/>
        <v>0</v>
      </c>
      <c r="TT12" s="203">
        <f t="shared" si="31"/>
        <v>0</v>
      </c>
      <c r="TU12" s="203">
        <f t="shared" si="31"/>
        <v>0</v>
      </c>
      <c r="TV12" s="206">
        <f t="shared" si="31"/>
        <v>0</v>
      </c>
      <c r="TW12" s="203">
        <f t="shared" si="31"/>
        <v>0</v>
      </c>
      <c r="TX12" s="203">
        <f t="shared" si="31"/>
        <v>0</v>
      </c>
      <c r="TY12" s="203">
        <f t="shared" si="31"/>
        <v>0</v>
      </c>
      <c r="TZ12" s="207">
        <f t="shared" si="31"/>
        <v>0</v>
      </c>
      <c r="UA12" s="206">
        <f t="shared" si="31"/>
        <v>0</v>
      </c>
      <c r="UB12" s="203">
        <f t="shared" si="31"/>
        <v>0</v>
      </c>
      <c r="UC12" s="207">
        <f t="shared" si="31"/>
        <v>0</v>
      </c>
    </row>
    <row r="13" spans="1:549" s="182" customFormat="1" hidden="1" x14ac:dyDescent="0.25">
      <c r="A13" s="208" t="s">
        <v>228</v>
      </c>
      <c r="B13" s="209"/>
      <c r="C13" s="210" t="s">
        <v>229</v>
      </c>
      <c r="D13" s="211"/>
      <c r="E13" s="212">
        <f>SUM(E20+E27+E55+E60+E65)</f>
        <v>0</v>
      </c>
      <c r="F13" s="212">
        <f t="shared" ref="F13:BQ13" si="32">SUM(F20+F27+F55+F60+F65)</f>
        <v>0</v>
      </c>
      <c r="G13" s="212">
        <f t="shared" si="32"/>
        <v>0</v>
      </c>
      <c r="H13" s="213">
        <f t="shared" ref="H13:H26" si="33">SUM(E13:G13)</f>
        <v>0</v>
      </c>
      <c r="I13" s="212">
        <f t="shared" si="32"/>
        <v>0</v>
      </c>
      <c r="J13" s="212">
        <f t="shared" si="32"/>
        <v>0</v>
      </c>
      <c r="K13" s="212">
        <f t="shared" si="32"/>
        <v>0</v>
      </c>
      <c r="L13" s="213">
        <f t="shared" ref="L13:L26" si="34">SUM(I13:K13)</f>
        <v>0</v>
      </c>
      <c r="M13" s="212">
        <f t="shared" si="32"/>
        <v>0</v>
      </c>
      <c r="N13" s="212">
        <f t="shared" si="32"/>
        <v>0</v>
      </c>
      <c r="O13" s="213">
        <f t="shared" ref="O13:O26" si="35">SUM(M13:N13)</f>
        <v>0</v>
      </c>
      <c r="P13" s="212">
        <f t="shared" si="32"/>
        <v>0</v>
      </c>
      <c r="Q13" s="212">
        <f t="shared" si="32"/>
        <v>0</v>
      </c>
      <c r="R13" s="212">
        <f t="shared" si="32"/>
        <v>0</v>
      </c>
      <c r="S13" s="212">
        <f t="shared" si="32"/>
        <v>0</v>
      </c>
      <c r="T13" s="213">
        <f t="shared" ref="T13:T26" si="36">SUM(Q13:S13)</f>
        <v>0</v>
      </c>
      <c r="U13" s="212">
        <f t="shared" si="32"/>
        <v>0</v>
      </c>
      <c r="V13" s="212">
        <f t="shared" si="32"/>
        <v>0</v>
      </c>
      <c r="W13" s="212">
        <f t="shared" si="32"/>
        <v>0</v>
      </c>
      <c r="X13" s="213">
        <f t="shared" ref="X13:X26" si="37">SUM(V13:W13)</f>
        <v>0</v>
      </c>
      <c r="Y13" s="212">
        <f t="shared" si="32"/>
        <v>0</v>
      </c>
      <c r="Z13" s="212">
        <f t="shared" si="32"/>
        <v>0</v>
      </c>
      <c r="AA13" s="213">
        <f t="shared" ref="AA13:AA26" si="38">SUM(Y13:Z13)</f>
        <v>0</v>
      </c>
      <c r="AB13" s="212">
        <f t="shared" si="32"/>
        <v>0</v>
      </c>
      <c r="AC13" s="212">
        <f t="shared" si="32"/>
        <v>0</v>
      </c>
      <c r="AD13" s="213">
        <f t="shared" ref="AD13:AD26" si="39">SUM(AB13:AC13)</f>
        <v>0</v>
      </c>
      <c r="AE13" s="212">
        <f t="shared" si="32"/>
        <v>0</v>
      </c>
      <c r="AF13" s="212">
        <f t="shared" si="32"/>
        <v>0</v>
      </c>
      <c r="AG13" s="212">
        <f t="shared" si="32"/>
        <v>0</v>
      </c>
      <c r="AH13" s="213">
        <f t="shared" ref="AH13:AH26" si="40">SUM(AF13:AG13)</f>
        <v>0</v>
      </c>
      <c r="AI13" s="212">
        <f t="shared" si="32"/>
        <v>0</v>
      </c>
      <c r="AJ13" s="212">
        <f t="shared" si="32"/>
        <v>0</v>
      </c>
      <c r="AK13" s="212">
        <f t="shared" si="32"/>
        <v>0</v>
      </c>
      <c r="AL13" s="213">
        <f t="shared" ref="AL13:AL26" si="41">SUM(AJ13:AK13)</f>
        <v>0</v>
      </c>
      <c r="AM13" s="212">
        <f t="shared" si="32"/>
        <v>0</v>
      </c>
      <c r="AN13" s="212">
        <f t="shared" si="32"/>
        <v>0</v>
      </c>
      <c r="AO13" s="212">
        <f t="shared" si="32"/>
        <v>0</v>
      </c>
      <c r="AP13" s="213">
        <f t="shared" ref="AP13:AP26" si="42">SUM(AN13:AO13)</f>
        <v>0</v>
      </c>
      <c r="AQ13" s="212">
        <f t="shared" si="32"/>
        <v>0</v>
      </c>
      <c r="AR13" s="212">
        <f t="shared" si="32"/>
        <v>0</v>
      </c>
      <c r="AS13" s="212">
        <f t="shared" si="32"/>
        <v>0</v>
      </c>
      <c r="AT13" s="212">
        <f t="shared" si="32"/>
        <v>0</v>
      </c>
      <c r="AU13" s="213">
        <f t="shared" ref="AU13:AU26" si="43">SUM(AR13:AT13)</f>
        <v>0</v>
      </c>
      <c r="AV13" s="212">
        <f t="shared" si="32"/>
        <v>0</v>
      </c>
      <c r="AW13" s="212">
        <f t="shared" si="32"/>
        <v>0</v>
      </c>
      <c r="AX13" s="212">
        <f t="shared" si="32"/>
        <v>0</v>
      </c>
      <c r="AY13" s="212">
        <f t="shared" si="32"/>
        <v>0</v>
      </c>
      <c r="AZ13" s="212">
        <f t="shared" si="32"/>
        <v>0</v>
      </c>
      <c r="BA13" s="212">
        <f t="shared" si="32"/>
        <v>0</v>
      </c>
      <c r="BB13" s="212">
        <f t="shared" si="32"/>
        <v>0</v>
      </c>
      <c r="BC13" s="212">
        <f t="shared" si="32"/>
        <v>0</v>
      </c>
      <c r="BD13" s="213">
        <f t="shared" ref="BD13:BD26" si="44">SUM(BB13:BC13)</f>
        <v>0</v>
      </c>
      <c r="BE13" s="212">
        <f t="shared" si="32"/>
        <v>0</v>
      </c>
      <c r="BF13" s="212">
        <f t="shared" si="32"/>
        <v>0</v>
      </c>
      <c r="BG13" s="212">
        <f t="shared" si="32"/>
        <v>0</v>
      </c>
      <c r="BH13" s="212">
        <f t="shared" si="32"/>
        <v>0</v>
      </c>
      <c r="BI13" s="212">
        <f t="shared" si="32"/>
        <v>0</v>
      </c>
      <c r="BJ13" s="212">
        <f t="shared" si="32"/>
        <v>0</v>
      </c>
      <c r="BK13" s="212">
        <f t="shared" si="32"/>
        <v>0</v>
      </c>
      <c r="BL13" s="213">
        <f t="shared" ref="BL13:BL26" si="45">SUM(BJ13:BK13)</f>
        <v>0</v>
      </c>
      <c r="BM13" s="212">
        <f t="shared" si="32"/>
        <v>0</v>
      </c>
      <c r="BN13" s="212">
        <f t="shared" si="32"/>
        <v>0</v>
      </c>
      <c r="BO13" s="212">
        <f t="shared" si="32"/>
        <v>0</v>
      </c>
      <c r="BP13" s="212">
        <f t="shared" si="32"/>
        <v>0</v>
      </c>
      <c r="BQ13" s="212">
        <f t="shared" si="32"/>
        <v>0</v>
      </c>
      <c r="BR13" s="212">
        <f t="shared" ref="BR13:EC13" si="46">SUM(BR20+BR27+BR55+BR60+BR65)</f>
        <v>0</v>
      </c>
      <c r="BS13" s="213">
        <f t="shared" ref="BS13:BS26" si="47">SUM(BP13:BR13)</f>
        <v>0</v>
      </c>
      <c r="BT13" s="212">
        <f t="shared" si="46"/>
        <v>0</v>
      </c>
      <c r="BU13" s="212">
        <f t="shared" si="46"/>
        <v>0</v>
      </c>
      <c r="BV13" s="212">
        <f t="shared" si="46"/>
        <v>0</v>
      </c>
      <c r="BW13" s="213">
        <f t="shared" ref="BW13:BW26" si="48">SUM(BU13:BV13)</f>
        <v>0</v>
      </c>
      <c r="BX13" s="212">
        <f t="shared" si="46"/>
        <v>0</v>
      </c>
      <c r="BY13" s="212">
        <f t="shared" si="46"/>
        <v>0</v>
      </c>
      <c r="BZ13" s="213">
        <f t="shared" ref="BZ13:BZ26" si="49">SUM(BX13:BY13)</f>
        <v>0</v>
      </c>
      <c r="CA13" s="212">
        <f t="shared" si="46"/>
        <v>0</v>
      </c>
      <c r="CB13" s="212">
        <f t="shared" si="46"/>
        <v>0</v>
      </c>
      <c r="CC13" s="213">
        <f t="shared" ref="CC13:CC26" si="50">SUM(CA13:CB13)</f>
        <v>0</v>
      </c>
      <c r="CD13" s="212">
        <f t="shared" si="46"/>
        <v>0</v>
      </c>
      <c r="CE13" s="212">
        <f t="shared" si="46"/>
        <v>0</v>
      </c>
      <c r="CF13" s="212">
        <f t="shared" si="46"/>
        <v>0</v>
      </c>
      <c r="CG13" s="212">
        <f t="shared" si="46"/>
        <v>0</v>
      </c>
      <c r="CH13" s="212">
        <f t="shared" si="46"/>
        <v>0</v>
      </c>
      <c r="CI13" s="212">
        <f t="shared" si="46"/>
        <v>0</v>
      </c>
      <c r="CJ13" s="212">
        <f t="shared" si="46"/>
        <v>0</v>
      </c>
      <c r="CK13" s="212">
        <f t="shared" si="46"/>
        <v>0</v>
      </c>
      <c r="CL13" s="213">
        <f t="shared" ref="CL13:CL26" si="51">SUM(CI13:CK13)</f>
        <v>0</v>
      </c>
      <c r="CM13" s="212">
        <f t="shared" si="46"/>
        <v>0</v>
      </c>
      <c r="CN13" s="212">
        <f t="shared" si="46"/>
        <v>0</v>
      </c>
      <c r="CO13" s="212">
        <f t="shared" si="46"/>
        <v>0</v>
      </c>
      <c r="CP13" s="212">
        <f t="shared" si="46"/>
        <v>0</v>
      </c>
      <c r="CQ13" s="213">
        <f t="shared" ref="CQ13:CQ26" si="52">SUM(CO13:CP13)</f>
        <v>0</v>
      </c>
      <c r="CR13" s="212">
        <f t="shared" si="46"/>
        <v>0</v>
      </c>
      <c r="CS13" s="212">
        <f t="shared" si="46"/>
        <v>0</v>
      </c>
      <c r="CT13" s="212">
        <f t="shared" si="46"/>
        <v>0</v>
      </c>
      <c r="CU13" s="212">
        <f t="shared" si="46"/>
        <v>0</v>
      </c>
      <c r="CV13" s="212">
        <f t="shared" si="46"/>
        <v>0</v>
      </c>
      <c r="CW13" s="212">
        <f t="shared" si="46"/>
        <v>0</v>
      </c>
      <c r="CX13" s="213">
        <f t="shared" ref="CX13:CX26" si="53">SUM(CU13:CW13)</f>
        <v>0</v>
      </c>
      <c r="CY13" s="212">
        <f t="shared" si="46"/>
        <v>0</v>
      </c>
      <c r="CZ13" s="212">
        <f t="shared" si="46"/>
        <v>0</v>
      </c>
      <c r="DA13" s="212">
        <f t="shared" si="46"/>
        <v>0</v>
      </c>
      <c r="DB13" s="213">
        <f t="shared" ref="DB13:DB26" si="54">SUM(CZ13:DA13)</f>
        <v>0</v>
      </c>
      <c r="DC13" s="212">
        <f t="shared" si="46"/>
        <v>0</v>
      </c>
      <c r="DD13" s="212">
        <f t="shared" si="46"/>
        <v>0</v>
      </c>
      <c r="DE13" s="213">
        <f t="shared" ref="DE13:DE26" si="55">SUM(DC13:DD13)</f>
        <v>0</v>
      </c>
      <c r="DF13" s="212">
        <f t="shared" si="46"/>
        <v>0</v>
      </c>
      <c r="DG13" s="212">
        <f t="shared" si="46"/>
        <v>0</v>
      </c>
      <c r="DH13" s="213">
        <f t="shared" ref="DH13:DH26" si="56">SUM(DF13:DG13)</f>
        <v>0</v>
      </c>
      <c r="DI13" s="212">
        <f t="shared" si="46"/>
        <v>0</v>
      </c>
      <c r="DJ13" s="212">
        <f t="shared" si="46"/>
        <v>0</v>
      </c>
      <c r="DK13" s="213">
        <f t="shared" ref="DK13:DK26" si="57">SUM(DI13:DJ13)</f>
        <v>0</v>
      </c>
      <c r="DL13" s="212">
        <f t="shared" si="46"/>
        <v>0</v>
      </c>
      <c r="DM13" s="212">
        <f t="shared" si="46"/>
        <v>0</v>
      </c>
      <c r="DN13" s="212">
        <f t="shared" si="46"/>
        <v>0</v>
      </c>
      <c r="DO13" s="212">
        <f t="shared" si="46"/>
        <v>0</v>
      </c>
      <c r="DP13" s="212">
        <f t="shared" si="46"/>
        <v>0</v>
      </c>
      <c r="DQ13" s="212">
        <f t="shared" si="46"/>
        <v>0</v>
      </c>
      <c r="DR13" s="212">
        <f t="shared" si="46"/>
        <v>0</v>
      </c>
      <c r="DS13" s="212">
        <f t="shared" si="46"/>
        <v>0</v>
      </c>
      <c r="DT13" s="212">
        <f t="shared" si="46"/>
        <v>0</v>
      </c>
      <c r="DU13" s="212">
        <f t="shared" si="46"/>
        <v>0</v>
      </c>
      <c r="DV13" s="212">
        <f t="shared" si="46"/>
        <v>0</v>
      </c>
      <c r="DW13" s="213">
        <f t="shared" ref="DW13:DW26" si="58">SUM(DT13:DV13)</f>
        <v>0</v>
      </c>
      <c r="DX13" s="212">
        <f t="shared" si="46"/>
        <v>0</v>
      </c>
      <c r="DY13" s="212">
        <f t="shared" si="46"/>
        <v>0</v>
      </c>
      <c r="DZ13" s="212">
        <f t="shared" si="46"/>
        <v>0</v>
      </c>
      <c r="EA13" s="213">
        <f t="shared" ref="EA13:EA26" si="59">SUM(DY13:DZ13)</f>
        <v>0</v>
      </c>
      <c r="EB13" s="212">
        <f t="shared" si="46"/>
        <v>0</v>
      </c>
      <c r="EC13" s="212">
        <f t="shared" si="46"/>
        <v>0</v>
      </c>
      <c r="ED13" s="212">
        <f t="shared" ref="ED13:GU13" si="60">SUM(ED20+ED27+ED55+ED60+ED65)</f>
        <v>0</v>
      </c>
      <c r="EE13" s="212">
        <f t="shared" si="60"/>
        <v>0</v>
      </c>
      <c r="EF13" s="212">
        <f t="shared" si="60"/>
        <v>0</v>
      </c>
      <c r="EG13" s="212">
        <f t="shared" si="60"/>
        <v>0</v>
      </c>
      <c r="EH13" s="213">
        <f t="shared" ref="EH13:EH26" si="61">SUM(EE13:EG13)</f>
        <v>0</v>
      </c>
      <c r="EI13" s="212">
        <f t="shared" si="60"/>
        <v>0</v>
      </c>
      <c r="EJ13" s="212">
        <f t="shared" si="60"/>
        <v>0</v>
      </c>
      <c r="EK13" s="212">
        <f t="shared" si="60"/>
        <v>0</v>
      </c>
      <c r="EL13" s="213">
        <f t="shared" ref="EL13:EL26" si="62">SUM(EJ13:EK13)</f>
        <v>0</v>
      </c>
      <c r="EM13" s="212">
        <f t="shared" si="60"/>
        <v>0</v>
      </c>
      <c r="EN13" s="212">
        <f t="shared" si="60"/>
        <v>0</v>
      </c>
      <c r="EO13" s="213">
        <f t="shared" ref="EO13:EO26" si="63">SUM(EM13:EN13)</f>
        <v>0</v>
      </c>
      <c r="EP13" s="212">
        <f t="shared" si="60"/>
        <v>0</v>
      </c>
      <c r="EQ13" s="212">
        <f t="shared" si="60"/>
        <v>0</v>
      </c>
      <c r="ER13" s="213">
        <f t="shared" ref="ER13:ER26" si="64">SUM(EP13:EQ13)</f>
        <v>0</v>
      </c>
      <c r="ES13" s="212">
        <f t="shared" si="60"/>
        <v>0</v>
      </c>
      <c r="ET13" s="212">
        <f t="shared" si="60"/>
        <v>0</v>
      </c>
      <c r="EU13" s="213">
        <f t="shared" ref="EU13:EU26" si="65">SUM(ES13:ET13)</f>
        <v>0</v>
      </c>
      <c r="EV13" s="212">
        <f t="shared" si="60"/>
        <v>0</v>
      </c>
      <c r="EW13" s="212">
        <f t="shared" si="60"/>
        <v>0</v>
      </c>
      <c r="EX13" s="212">
        <f t="shared" si="60"/>
        <v>0</v>
      </c>
      <c r="EY13" s="212">
        <f t="shared" si="60"/>
        <v>0</v>
      </c>
      <c r="EZ13" s="212">
        <f t="shared" si="60"/>
        <v>0</v>
      </c>
      <c r="FA13" s="212">
        <f t="shared" si="60"/>
        <v>0</v>
      </c>
      <c r="FB13" s="212">
        <f t="shared" si="60"/>
        <v>0</v>
      </c>
      <c r="FC13" s="212">
        <f t="shared" si="60"/>
        <v>0</v>
      </c>
      <c r="FD13" s="212">
        <f t="shared" si="60"/>
        <v>0</v>
      </c>
      <c r="FE13" s="212">
        <f t="shared" si="60"/>
        <v>0</v>
      </c>
      <c r="FF13" s="212">
        <f t="shared" si="60"/>
        <v>0</v>
      </c>
      <c r="FG13" s="213">
        <f t="shared" ref="FG13:FG26" si="66">SUM(FD13:FF13)</f>
        <v>0</v>
      </c>
      <c r="FH13" s="212">
        <f t="shared" si="60"/>
        <v>0</v>
      </c>
      <c r="FI13" s="212">
        <f t="shared" si="60"/>
        <v>0</v>
      </c>
      <c r="FJ13" s="212">
        <f t="shared" si="60"/>
        <v>0</v>
      </c>
      <c r="FK13" s="213">
        <f t="shared" ref="FK13:FK26" si="67">SUM(FI13:FJ13)</f>
        <v>0</v>
      </c>
      <c r="FL13" s="212">
        <f t="shared" si="60"/>
        <v>0</v>
      </c>
      <c r="FM13" s="212">
        <f t="shared" si="60"/>
        <v>0</v>
      </c>
      <c r="FN13" s="212">
        <f t="shared" si="60"/>
        <v>0</v>
      </c>
      <c r="FO13" s="212">
        <f t="shared" si="60"/>
        <v>0</v>
      </c>
      <c r="FP13" s="212">
        <f t="shared" si="60"/>
        <v>0</v>
      </c>
      <c r="FQ13" s="212">
        <f t="shared" si="60"/>
        <v>0</v>
      </c>
      <c r="FR13" s="213">
        <f t="shared" ref="FR13:FR26" si="68">SUM(FO13:FQ13)</f>
        <v>0</v>
      </c>
      <c r="FS13" s="212">
        <f t="shared" si="60"/>
        <v>0</v>
      </c>
      <c r="FT13" s="212">
        <f t="shared" si="60"/>
        <v>0</v>
      </c>
      <c r="FU13" s="212">
        <f t="shared" si="60"/>
        <v>0</v>
      </c>
      <c r="FV13" s="213">
        <f t="shared" ref="FV13:FV26" si="69">SUM(FT13:FU13)</f>
        <v>0</v>
      </c>
      <c r="FW13" s="212">
        <f t="shared" si="60"/>
        <v>0</v>
      </c>
      <c r="FX13" s="212">
        <f t="shared" si="60"/>
        <v>0</v>
      </c>
      <c r="FY13" s="213">
        <f t="shared" ref="FY13:FY26" si="70">SUM(FW13:FX13)</f>
        <v>0</v>
      </c>
      <c r="FZ13" s="212">
        <f t="shared" si="60"/>
        <v>0</v>
      </c>
      <c r="GA13" s="212">
        <f t="shared" si="60"/>
        <v>0</v>
      </c>
      <c r="GB13" s="213">
        <f t="shared" ref="GB13:GB26" si="71">SUM(FZ13:GA13)</f>
        <v>0</v>
      </c>
      <c r="GC13" s="212">
        <f t="shared" si="60"/>
        <v>0</v>
      </c>
      <c r="GD13" s="212">
        <f t="shared" si="60"/>
        <v>0</v>
      </c>
      <c r="GE13" s="213">
        <f t="shared" ref="GE13:GE23" si="72">SUM(GC13:GD13)</f>
        <v>0</v>
      </c>
      <c r="GF13" s="212">
        <f t="shared" si="60"/>
        <v>0</v>
      </c>
      <c r="GG13" s="214">
        <f t="shared" si="60"/>
        <v>0</v>
      </c>
      <c r="GH13" s="215">
        <f t="shared" si="60"/>
        <v>0</v>
      </c>
      <c r="GI13" s="214">
        <f t="shared" si="60"/>
        <v>0</v>
      </c>
      <c r="GJ13" s="212">
        <f t="shared" si="60"/>
        <v>0</v>
      </c>
      <c r="GK13" s="216">
        <f t="shared" si="60"/>
        <v>0</v>
      </c>
      <c r="GL13" s="216">
        <f t="shared" si="60"/>
        <v>0</v>
      </c>
      <c r="GM13" s="216">
        <f t="shared" si="60"/>
        <v>0</v>
      </c>
      <c r="GN13" s="217">
        <f t="shared" ref="GN13:GN77" si="73">SUM(GK13:GM13)</f>
        <v>0</v>
      </c>
      <c r="GO13" s="212">
        <f t="shared" si="60"/>
        <v>0</v>
      </c>
      <c r="GP13" s="212">
        <f t="shared" si="60"/>
        <v>0</v>
      </c>
      <c r="GQ13" s="212">
        <f t="shared" si="60"/>
        <v>0</v>
      </c>
      <c r="GR13" s="213">
        <f t="shared" si="3"/>
        <v>0</v>
      </c>
      <c r="GS13" s="212">
        <f t="shared" si="60"/>
        <v>0</v>
      </c>
      <c r="GT13" s="212">
        <f t="shared" si="60"/>
        <v>0</v>
      </c>
      <c r="GU13" s="212">
        <f t="shared" si="60"/>
        <v>0</v>
      </c>
      <c r="GV13" s="212">
        <f t="shared" ref="GV13:JK13" si="74">SUM(GV20+GV27+GV55+GV60+GV65)</f>
        <v>0</v>
      </c>
      <c r="GW13" s="213">
        <f t="shared" ref="GW13:GW26" si="75">SUM(GT13:GV13)</f>
        <v>0</v>
      </c>
      <c r="GX13" s="212">
        <f t="shared" si="74"/>
        <v>0</v>
      </c>
      <c r="GY13" s="212">
        <f t="shared" si="74"/>
        <v>0</v>
      </c>
      <c r="GZ13" s="212">
        <f t="shared" si="74"/>
        <v>0</v>
      </c>
      <c r="HA13" s="212">
        <f t="shared" si="74"/>
        <v>0</v>
      </c>
      <c r="HB13" s="213">
        <f t="shared" ref="HB13:HB26" si="76">SUM(GY13:HA13)</f>
        <v>0</v>
      </c>
      <c r="HC13" s="212">
        <f t="shared" si="74"/>
        <v>0</v>
      </c>
      <c r="HD13" s="212">
        <f t="shared" si="74"/>
        <v>0</v>
      </c>
      <c r="HE13" s="212">
        <f t="shared" si="74"/>
        <v>0</v>
      </c>
      <c r="HF13" s="212">
        <f t="shared" si="74"/>
        <v>0</v>
      </c>
      <c r="HG13" s="213">
        <f t="shared" ref="HG13:HG26" si="77">SUM(HD13:HF13)</f>
        <v>0</v>
      </c>
      <c r="HH13" s="212">
        <f t="shared" si="74"/>
        <v>0</v>
      </c>
      <c r="HI13" s="212">
        <f t="shared" si="74"/>
        <v>0</v>
      </c>
      <c r="HJ13" s="212">
        <f t="shared" si="74"/>
        <v>0</v>
      </c>
      <c r="HK13" s="212">
        <f t="shared" si="74"/>
        <v>0</v>
      </c>
      <c r="HL13" s="213">
        <f t="shared" ref="HL13:HL26" si="78">SUM(HI13:HK13)</f>
        <v>0</v>
      </c>
      <c r="HM13" s="212">
        <f t="shared" si="74"/>
        <v>0</v>
      </c>
      <c r="HN13" s="212">
        <f t="shared" si="74"/>
        <v>0</v>
      </c>
      <c r="HO13" s="212">
        <f t="shared" si="74"/>
        <v>0</v>
      </c>
      <c r="HP13" s="212">
        <f t="shared" si="74"/>
        <v>0</v>
      </c>
      <c r="HQ13" s="213">
        <f t="shared" ref="HQ13:HQ26" si="79">SUM(HN13:HP13)</f>
        <v>0</v>
      </c>
      <c r="HR13" s="212">
        <f>SUM(HR20+HR27+HR55+HR60+HR65)</f>
        <v>0</v>
      </c>
      <c r="HS13" s="216">
        <f>SUM(HS20+HS27+HS55+HS60+HS65)</f>
        <v>0</v>
      </c>
      <c r="HT13" s="216">
        <f t="shared" si="74"/>
        <v>0</v>
      </c>
      <c r="HU13" s="216">
        <f t="shared" si="74"/>
        <v>0</v>
      </c>
      <c r="HV13" s="217">
        <f t="shared" ref="HV13:HV77" si="80">SUM(HS13:HU13)</f>
        <v>0</v>
      </c>
      <c r="HW13" s="212">
        <f t="shared" si="74"/>
        <v>0</v>
      </c>
      <c r="HX13" s="212">
        <f t="shared" si="74"/>
        <v>0</v>
      </c>
      <c r="HY13" s="212">
        <f t="shared" si="74"/>
        <v>0</v>
      </c>
      <c r="HZ13" s="213">
        <f t="shared" ref="HZ13:HZ26" si="81">SUM(HW13:HY13)</f>
        <v>0</v>
      </c>
      <c r="IA13" s="212">
        <f t="shared" si="74"/>
        <v>0</v>
      </c>
      <c r="IB13" s="212">
        <f t="shared" si="74"/>
        <v>0</v>
      </c>
      <c r="IC13" s="212">
        <f t="shared" si="74"/>
        <v>0</v>
      </c>
      <c r="ID13" s="212">
        <f t="shared" si="74"/>
        <v>0</v>
      </c>
      <c r="IE13" s="213">
        <f t="shared" ref="IE13:IE26" si="82">SUM(IB13:ID13)</f>
        <v>0</v>
      </c>
      <c r="IF13" s="212">
        <f t="shared" si="74"/>
        <v>0</v>
      </c>
      <c r="IG13" s="212">
        <f t="shared" si="74"/>
        <v>0</v>
      </c>
      <c r="IH13" s="212">
        <f t="shared" si="74"/>
        <v>0</v>
      </c>
      <c r="II13" s="212">
        <f t="shared" si="74"/>
        <v>0</v>
      </c>
      <c r="IJ13" s="213">
        <f t="shared" ref="IJ13:IJ26" si="83">SUM(IG13:II13)</f>
        <v>0</v>
      </c>
      <c r="IK13" s="212">
        <f t="shared" si="74"/>
        <v>0</v>
      </c>
      <c r="IL13" s="212">
        <f t="shared" si="74"/>
        <v>0</v>
      </c>
      <c r="IM13" s="212">
        <f t="shared" si="74"/>
        <v>0</v>
      </c>
      <c r="IN13" s="212">
        <f t="shared" si="74"/>
        <v>0</v>
      </c>
      <c r="IO13" s="213">
        <f t="shared" ref="IO13:IO26" si="84">SUM(IL13:IN13)</f>
        <v>0</v>
      </c>
      <c r="IP13" s="212">
        <f t="shared" si="74"/>
        <v>0</v>
      </c>
      <c r="IQ13" s="212">
        <f t="shared" si="74"/>
        <v>0</v>
      </c>
      <c r="IR13" s="212">
        <f t="shared" si="74"/>
        <v>0</v>
      </c>
      <c r="IS13" s="212">
        <f t="shared" si="74"/>
        <v>0</v>
      </c>
      <c r="IT13" s="213">
        <f t="shared" ref="IT13:IT23" si="85">SUM(IQ13:IS13)</f>
        <v>0</v>
      </c>
      <c r="IU13" s="212">
        <f t="shared" si="74"/>
        <v>0</v>
      </c>
      <c r="IV13" s="212">
        <f t="shared" si="74"/>
        <v>0</v>
      </c>
      <c r="IW13" s="212">
        <f t="shared" si="74"/>
        <v>0</v>
      </c>
      <c r="IX13" s="213">
        <f t="shared" ref="IX13:IX26" si="86">SUM(IU13:IW13)</f>
        <v>0</v>
      </c>
      <c r="IY13" s="212">
        <f t="shared" si="74"/>
        <v>0</v>
      </c>
      <c r="IZ13" s="212">
        <f t="shared" si="74"/>
        <v>0</v>
      </c>
      <c r="JA13" s="212">
        <f t="shared" si="74"/>
        <v>0</v>
      </c>
      <c r="JB13" s="213">
        <f t="shared" ref="JB13:JB26" si="87">SUM(IY13:JA13)</f>
        <v>0</v>
      </c>
      <c r="JC13" s="212">
        <f t="shared" si="74"/>
        <v>0</v>
      </c>
      <c r="JD13" s="212">
        <f t="shared" si="74"/>
        <v>0</v>
      </c>
      <c r="JE13" s="212">
        <f t="shared" si="74"/>
        <v>0</v>
      </c>
      <c r="JF13" s="213">
        <f t="shared" ref="JF13:JF26" si="88">SUM(JC13:JE13)</f>
        <v>0</v>
      </c>
      <c r="JG13" s="212">
        <f t="shared" si="74"/>
        <v>0</v>
      </c>
      <c r="JH13" s="212">
        <f t="shared" si="74"/>
        <v>0</v>
      </c>
      <c r="JI13" s="212">
        <f t="shared" si="74"/>
        <v>0</v>
      </c>
      <c r="JJ13" s="212">
        <f t="shared" si="74"/>
        <v>0</v>
      </c>
      <c r="JK13" s="212">
        <f t="shared" si="74"/>
        <v>0</v>
      </c>
      <c r="JL13" s="212">
        <f t="shared" ref="JL13:MC13" si="89">SUM(JL20+JL27+JL55+JL60+JL65)</f>
        <v>0</v>
      </c>
      <c r="JM13" s="212">
        <f t="shared" si="89"/>
        <v>0</v>
      </c>
      <c r="JN13" s="212">
        <f t="shared" si="89"/>
        <v>0</v>
      </c>
      <c r="JO13" s="212">
        <f t="shared" si="89"/>
        <v>0</v>
      </c>
      <c r="JP13" s="212">
        <f t="shared" si="89"/>
        <v>0</v>
      </c>
      <c r="JQ13" s="212">
        <f t="shared" si="89"/>
        <v>0</v>
      </c>
      <c r="JR13" s="212">
        <f t="shared" si="89"/>
        <v>0</v>
      </c>
      <c r="JS13" s="212">
        <f t="shared" si="89"/>
        <v>0</v>
      </c>
      <c r="JT13" s="212">
        <f t="shared" si="89"/>
        <v>0</v>
      </c>
      <c r="JU13" s="212">
        <f t="shared" si="89"/>
        <v>0</v>
      </c>
      <c r="JV13" s="212">
        <f t="shared" si="89"/>
        <v>0</v>
      </c>
      <c r="JW13" s="212">
        <f t="shared" si="89"/>
        <v>0</v>
      </c>
      <c r="JX13" s="212">
        <f t="shared" si="89"/>
        <v>0</v>
      </c>
      <c r="JY13" s="212">
        <f t="shared" si="89"/>
        <v>0</v>
      </c>
      <c r="JZ13" s="212">
        <f t="shared" si="89"/>
        <v>0</v>
      </c>
      <c r="KA13" s="212">
        <f t="shared" si="89"/>
        <v>0</v>
      </c>
      <c r="KB13" s="212">
        <f t="shared" si="89"/>
        <v>0</v>
      </c>
      <c r="KC13" s="212">
        <f t="shared" si="89"/>
        <v>0</v>
      </c>
      <c r="KD13" s="212">
        <f t="shared" si="89"/>
        <v>0</v>
      </c>
      <c r="KE13" s="212">
        <f t="shared" si="89"/>
        <v>0</v>
      </c>
      <c r="KF13" s="212">
        <f t="shared" si="89"/>
        <v>0</v>
      </c>
      <c r="KG13" s="212">
        <f t="shared" si="89"/>
        <v>0</v>
      </c>
      <c r="KH13" s="212">
        <f t="shared" si="89"/>
        <v>0</v>
      </c>
      <c r="KI13" s="212">
        <f t="shared" si="89"/>
        <v>0</v>
      </c>
      <c r="KJ13" s="212">
        <f t="shared" si="89"/>
        <v>0</v>
      </c>
      <c r="KK13" s="212">
        <f t="shared" si="89"/>
        <v>0</v>
      </c>
      <c r="KL13" s="212">
        <f t="shared" si="89"/>
        <v>0</v>
      </c>
      <c r="KM13" s="212">
        <f t="shared" si="89"/>
        <v>0</v>
      </c>
      <c r="KN13" s="212">
        <f t="shared" si="89"/>
        <v>0</v>
      </c>
      <c r="KO13" s="212">
        <f t="shared" si="89"/>
        <v>0</v>
      </c>
      <c r="KP13" s="212">
        <f t="shared" si="89"/>
        <v>0</v>
      </c>
      <c r="KQ13" s="212">
        <f t="shared" si="89"/>
        <v>0</v>
      </c>
      <c r="KR13" s="212">
        <f t="shared" si="89"/>
        <v>0</v>
      </c>
      <c r="KS13" s="212">
        <f t="shared" si="89"/>
        <v>0</v>
      </c>
      <c r="KT13" s="212">
        <f t="shared" si="89"/>
        <v>0</v>
      </c>
      <c r="KU13" s="212">
        <f t="shared" si="89"/>
        <v>0</v>
      </c>
      <c r="KV13" s="212">
        <f t="shared" si="89"/>
        <v>0</v>
      </c>
      <c r="KW13" s="212">
        <f t="shared" si="89"/>
        <v>0</v>
      </c>
      <c r="KX13" s="212">
        <f t="shared" si="89"/>
        <v>0</v>
      </c>
      <c r="KY13" s="212">
        <f t="shared" si="89"/>
        <v>0</v>
      </c>
      <c r="KZ13" s="213">
        <f t="shared" ref="KZ13:KZ26" si="90">SUM(KW13:KY13)</f>
        <v>0</v>
      </c>
      <c r="LA13" s="212">
        <f t="shared" si="89"/>
        <v>0</v>
      </c>
      <c r="LB13" s="212">
        <f t="shared" si="89"/>
        <v>0</v>
      </c>
      <c r="LC13" s="212">
        <f t="shared" si="89"/>
        <v>0</v>
      </c>
      <c r="LD13" s="213">
        <f t="shared" ref="LD13:LD26" si="91">SUM(LA13:LC13)</f>
        <v>0</v>
      </c>
      <c r="LE13" s="212">
        <f t="shared" si="89"/>
        <v>0</v>
      </c>
      <c r="LF13" s="212">
        <f t="shared" si="89"/>
        <v>0</v>
      </c>
      <c r="LG13" s="212">
        <f t="shared" si="89"/>
        <v>0</v>
      </c>
      <c r="LH13" s="213">
        <f t="shared" ref="LH13:LH26" si="92">SUM(LE13:LG13)</f>
        <v>0</v>
      </c>
      <c r="LI13" s="212">
        <f t="shared" si="89"/>
        <v>0</v>
      </c>
      <c r="LJ13" s="212">
        <f t="shared" si="89"/>
        <v>0</v>
      </c>
      <c r="LK13" s="212">
        <f t="shared" si="89"/>
        <v>0</v>
      </c>
      <c r="LL13" s="213">
        <f t="shared" ref="LL13:LL26" si="93">SUM(LI13:LK13)</f>
        <v>0</v>
      </c>
      <c r="LM13" s="212">
        <f t="shared" si="89"/>
        <v>0</v>
      </c>
      <c r="LN13" s="212">
        <f t="shared" si="89"/>
        <v>0</v>
      </c>
      <c r="LO13" s="212">
        <f t="shared" si="89"/>
        <v>0</v>
      </c>
      <c r="LP13" s="213">
        <f t="shared" ref="LP13:LP26" si="94">SUM(LM13:LO13)</f>
        <v>0</v>
      </c>
      <c r="LQ13" s="212">
        <f t="shared" si="89"/>
        <v>0</v>
      </c>
      <c r="LR13" s="212">
        <f t="shared" si="89"/>
        <v>0</v>
      </c>
      <c r="LS13" s="212">
        <f t="shared" si="89"/>
        <v>0</v>
      </c>
      <c r="LT13" s="213">
        <f t="shared" ref="LT13:LT26" si="95">SUM(LQ13:LS13)</f>
        <v>0</v>
      </c>
      <c r="LU13" s="212">
        <f t="shared" si="89"/>
        <v>0</v>
      </c>
      <c r="LV13" s="212">
        <f t="shared" si="89"/>
        <v>0</v>
      </c>
      <c r="LW13" s="212">
        <f t="shared" si="89"/>
        <v>0</v>
      </c>
      <c r="LX13" s="198">
        <f t="shared" ref="LX13:LX77" si="96">SUM(LU13:LW13)</f>
        <v>0</v>
      </c>
      <c r="LY13" s="212">
        <f t="shared" si="89"/>
        <v>0</v>
      </c>
      <c r="LZ13" s="212">
        <f t="shared" si="89"/>
        <v>0</v>
      </c>
      <c r="MA13" s="212">
        <f t="shared" si="89"/>
        <v>0</v>
      </c>
      <c r="MB13" s="213">
        <f t="shared" ref="MB13:MB26" si="97">SUM(LY13:MA13)</f>
        <v>0</v>
      </c>
      <c r="MC13" s="212">
        <f t="shared" si="89"/>
        <v>0</v>
      </c>
      <c r="MD13" s="213">
        <f t="shared" ref="MD13:MD26" si="98">MC13</f>
        <v>0</v>
      </c>
      <c r="ME13" s="212">
        <f t="shared" ref="ME13:NT13" si="99">SUM(ME20+ME27+ME55+ME60+ME65)</f>
        <v>0</v>
      </c>
      <c r="MF13" s="213">
        <f t="shared" ref="MF13:MF26" si="100">ME13</f>
        <v>0</v>
      </c>
      <c r="MG13" s="212">
        <f t="shared" si="99"/>
        <v>0</v>
      </c>
      <c r="MH13" s="213">
        <f t="shared" ref="MH13:MH26" si="101">MG13</f>
        <v>0</v>
      </c>
      <c r="MI13" s="212">
        <f t="shared" si="99"/>
        <v>0</v>
      </c>
      <c r="MJ13" s="213">
        <f t="shared" ref="MJ13:MJ26" si="102">MI13</f>
        <v>0</v>
      </c>
      <c r="MK13" s="212">
        <f t="shared" si="99"/>
        <v>0</v>
      </c>
      <c r="ML13" s="213">
        <f t="shared" ref="ML13:ML26" si="103">MK13</f>
        <v>0</v>
      </c>
      <c r="MM13" s="212">
        <f t="shared" si="99"/>
        <v>0</v>
      </c>
      <c r="MN13" s="212">
        <f t="shared" si="99"/>
        <v>0</v>
      </c>
      <c r="MO13" s="212">
        <f t="shared" si="99"/>
        <v>0</v>
      </c>
      <c r="MP13" s="212">
        <f t="shared" si="99"/>
        <v>0</v>
      </c>
      <c r="MQ13" s="212">
        <f t="shared" si="99"/>
        <v>0</v>
      </c>
      <c r="MR13" s="212">
        <f t="shared" si="99"/>
        <v>0</v>
      </c>
      <c r="MS13" s="212">
        <f t="shared" si="99"/>
        <v>0</v>
      </c>
      <c r="MT13" s="212">
        <f t="shared" si="99"/>
        <v>0</v>
      </c>
      <c r="MU13" s="212">
        <f t="shared" si="99"/>
        <v>0</v>
      </c>
      <c r="MV13" s="212">
        <f t="shared" si="99"/>
        <v>0</v>
      </c>
      <c r="MW13" s="213">
        <f t="shared" ref="MW13:MW26" si="104">SUM(MR13:MV13)</f>
        <v>0</v>
      </c>
      <c r="MX13" s="212">
        <f t="shared" si="99"/>
        <v>0</v>
      </c>
      <c r="MY13" s="212">
        <f t="shared" si="99"/>
        <v>0</v>
      </c>
      <c r="MZ13" s="212">
        <f t="shared" si="99"/>
        <v>0</v>
      </c>
      <c r="NA13" s="213">
        <f t="shared" ref="NA13:NA26" si="105">SUM(MX13:MZ13)</f>
        <v>0</v>
      </c>
      <c r="NB13" s="212">
        <f t="shared" si="99"/>
        <v>0</v>
      </c>
      <c r="NC13" s="212">
        <f t="shared" si="99"/>
        <v>0</v>
      </c>
      <c r="ND13" s="212">
        <f t="shared" si="99"/>
        <v>0</v>
      </c>
      <c r="NE13" s="213">
        <f t="shared" ref="NE13:NE26" si="106">SUM(NB13:ND13)</f>
        <v>0</v>
      </c>
      <c r="NF13" s="212">
        <f t="shared" si="99"/>
        <v>0</v>
      </c>
      <c r="NG13" s="212">
        <f t="shared" si="99"/>
        <v>0</v>
      </c>
      <c r="NH13" s="212">
        <f t="shared" si="99"/>
        <v>0</v>
      </c>
      <c r="NI13" s="213">
        <f t="shared" ref="NI13:NI26" si="107">SUM(NF13:NH13)</f>
        <v>0</v>
      </c>
      <c r="NJ13" s="212">
        <f t="shared" si="99"/>
        <v>0</v>
      </c>
      <c r="NK13" s="212">
        <f t="shared" si="99"/>
        <v>0</v>
      </c>
      <c r="NL13" s="212">
        <f t="shared" si="99"/>
        <v>0</v>
      </c>
      <c r="NM13" s="213">
        <f t="shared" ref="NM13:NM26" si="108">SUM(NJ13:NL13)</f>
        <v>0</v>
      </c>
      <c r="NN13" s="212">
        <f t="shared" si="99"/>
        <v>0</v>
      </c>
      <c r="NO13" s="212">
        <f t="shared" si="99"/>
        <v>0</v>
      </c>
      <c r="NP13" s="212">
        <f t="shared" si="99"/>
        <v>0</v>
      </c>
      <c r="NQ13" s="213">
        <f t="shared" ref="NQ13:NQ26" si="109">SUM(NN13:NP13)</f>
        <v>0</v>
      </c>
      <c r="NR13" s="212">
        <f t="shared" si="99"/>
        <v>0</v>
      </c>
      <c r="NS13" s="212">
        <f t="shared" si="99"/>
        <v>0</v>
      </c>
      <c r="NT13" s="212">
        <f t="shared" si="99"/>
        <v>0</v>
      </c>
      <c r="NU13" s="213">
        <f t="shared" ref="NU13:NU26" si="110">SUM(NR13:NT13)</f>
        <v>0</v>
      </c>
      <c r="NV13" s="216">
        <f t="shared" ref="NV13:NX13" si="111">SUM(NV20+NV27+NV55+NV60+NV65)</f>
        <v>0</v>
      </c>
      <c r="NW13" s="216">
        <f t="shared" si="111"/>
        <v>0</v>
      </c>
      <c r="NX13" s="216">
        <f t="shared" si="111"/>
        <v>0</v>
      </c>
      <c r="NY13" s="217">
        <f t="shared" ref="NY13:NY26" si="112">SUM(NV13:NX13)</f>
        <v>0</v>
      </c>
      <c r="NZ13" s="216">
        <f t="shared" ref="NZ13:OB13" si="113">SUM(NZ20+NZ27+NZ55+NZ60+NZ65)</f>
        <v>0</v>
      </c>
      <c r="OA13" s="216">
        <f t="shared" si="113"/>
        <v>0</v>
      </c>
      <c r="OB13" s="216">
        <f t="shared" si="113"/>
        <v>0</v>
      </c>
      <c r="OC13" s="217">
        <f t="shared" ref="OC13:OC26" si="114">SUM(NZ13:OB13)</f>
        <v>0</v>
      </c>
      <c r="OD13" s="218">
        <f t="shared" ref="OD13:OQ13" si="115">SUM(OD20+OD27+OD55+OD60+OD65)</f>
        <v>0</v>
      </c>
      <c r="OE13" s="218">
        <f t="shared" si="115"/>
        <v>0</v>
      </c>
      <c r="OF13" s="218">
        <f t="shared" si="115"/>
        <v>0</v>
      </c>
      <c r="OG13" s="218">
        <f t="shared" si="115"/>
        <v>0</v>
      </c>
      <c r="OH13" s="218">
        <f t="shared" si="115"/>
        <v>0</v>
      </c>
      <c r="OI13" s="218">
        <f t="shared" si="115"/>
        <v>0</v>
      </c>
      <c r="OJ13" s="218">
        <f t="shared" si="115"/>
        <v>0</v>
      </c>
      <c r="OK13" s="218">
        <f t="shared" si="115"/>
        <v>0</v>
      </c>
      <c r="OL13" s="218">
        <f t="shared" si="115"/>
        <v>0</v>
      </c>
      <c r="OM13" s="218">
        <f t="shared" si="115"/>
        <v>0</v>
      </c>
      <c r="ON13" s="218">
        <f t="shared" si="115"/>
        <v>0</v>
      </c>
      <c r="OO13" s="218">
        <f t="shared" si="115"/>
        <v>0</v>
      </c>
      <c r="OP13" s="218">
        <f t="shared" si="115"/>
        <v>0</v>
      </c>
      <c r="OQ13" s="218">
        <f t="shared" si="115"/>
        <v>0</v>
      </c>
      <c r="OR13" s="218">
        <f t="shared" ref="OR13:OR26" si="116">SUM(OD13:OQ13)</f>
        <v>0</v>
      </c>
      <c r="OS13" s="219">
        <f t="shared" ref="OS13:OW13" si="117">SUM(OS20+OS27+OS55+OS60+OS65)</f>
        <v>0</v>
      </c>
      <c r="OT13" s="219">
        <f t="shared" si="117"/>
        <v>0</v>
      </c>
      <c r="OU13" s="219">
        <f t="shared" si="117"/>
        <v>0</v>
      </c>
      <c r="OV13" s="219">
        <f t="shared" si="117"/>
        <v>0</v>
      </c>
      <c r="OW13" s="219">
        <f t="shared" si="117"/>
        <v>0</v>
      </c>
      <c r="OX13" s="219">
        <f t="shared" si="11"/>
        <v>0</v>
      </c>
      <c r="OY13" s="219">
        <f t="shared" ref="OY13:PA13" si="118">SUM(OY20+OY27+OY55+OY60+OY65)</f>
        <v>0</v>
      </c>
      <c r="OZ13" s="219">
        <f t="shared" si="118"/>
        <v>0</v>
      </c>
      <c r="PA13" s="219">
        <f t="shared" si="118"/>
        <v>0</v>
      </c>
      <c r="PB13" s="220">
        <f t="shared" ref="PB13:PB19" si="119">SUM(OY13:PA13)</f>
        <v>0</v>
      </c>
      <c r="PC13" s="219">
        <f t="shared" ref="PC13:PE13" si="120">SUM(PC20+PC27+PC55+PC60+PC65)</f>
        <v>0</v>
      </c>
      <c r="PD13" s="219">
        <f t="shared" si="120"/>
        <v>0</v>
      </c>
      <c r="PE13" s="219">
        <f t="shared" si="120"/>
        <v>0</v>
      </c>
      <c r="PF13" s="220">
        <f t="shared" ref="PF13:PF19" si="121">SUM(PC13:PE13)</f>
        <v>0</v>
      </c>
      <c r="PG13" s="219">
        <f t="shared" ref="PG13:PI13" si="122">SUM(PG20+PG27+PG55+PG60+PG65)</f>
        <v>0</v>
      </c>
      <c r="PH13" s="219">
        <f t="shared" si="122"/>
        <v>0</v>
      </c>
      <c r="PI13" s="219">
        <f t="shared" si="122"/>
        <v>0</v>
      </c>
      <c r="PJ13" s="220">
        <f t="shared" ref="PJ13:PJ19" si="123">SUM(PG13:PI13)</f>
        <v>0</v>
      </c>
      <c r="PK13" s="219">
        <f t="shared" ref="PK13:PM13" si="124">SUM(PK20+PK27+PK55+PK60+PK65)</f>
        <v>0</v>
      </c>
      <c r="PL13" s="219">
        <f t="shared" si="124"/>
        <v>0</v>
      </c>
      <c r="PM13" s="219">
        <f t="shared" si="124"/>
        <v>0</v>
      </c>
      <c r="PN13" s="220">
        <f t="shared" ref="PN13:PN19" si="125">SUM(PK13:PM13)</f>
        <v>0</v>
      </c>
      <c r="PO13" s="219">
        <f t="shared" ref="PO13:PQ13" si="126">SUM(PO20+PO27+PO55+PO60+PO65)</f>
        <v>0</v>
      </c>
      <c r="PP13" s="219">
        <f t="shared" si="126"/>
        <v>0</v>
      </c>
      <c r="PQ13" s="219">
        <f t="shared" si="126"/>
        <v>0</v>
      </c>
      <c r="PR13" s="220">
        <f t="shared" ref="PR13:PR19" si="127">SUM(PO13:PQ13)</f>
        <v>0</v>
      </c>
      <c r="PS13" s="219">
        <f t="shared" ref="PS13:PU13" si="128">SUM(PS20+PS27+PS55+PS60+PS65)</f>
        <v>0</v>
      </c>
      <c r="PT13" s="219">
        <f t="shared" si="128"/>
        <v>0</v>
      </c>
      <c r="PU13" s="219">
        <f t="shared" si="128"/>
        <v>0</v>
      </c>
      <c r="PV13" s="220">
        <f t="shared" ref="PV13:PV19" si="129">SUM(PS13:PU13)</f>
        <v>0</v>
      </c>
      <c r="PW13" s="219">
        <f t="shared" ref="PW13:QK13" si="130">SUM(PW20+PW27+PW55+PW60+PW65)</f>
        <v>0</v>
      </c>
      <c r="PX13" s="219">
        <f t="shared" si="130"/>
        <v>0</v>
      </c>
      <c r="PY13" s="219">
        <f t="shared" si="130"/>
        <v>0</v>
      </c>
      <c r="PZ13" s="220">
        <f t="shared" ref="PZ13:PZ19" si="131">SUM(PW13:PY13)</f>
        <v>0</v>
      </c>
      <c r="QA13" s="219">
        <f t="shared" si="130"/>
        <v>0</v>
      </c>
      <c r="QB13" s="219">
        <f t="shared" si="130"/>
        <v>0</v>
      </c>
      <c r="QC13" s="219">
        <f t="shared" si="130"/>
        <v>0</v>
      </c>
      <c r="QD13" s="220">
        <f t="shared" ref="QD13:QD65" si="132">SUM(QA13:QC13)</f>
        <v>0</v>
      </c>
      <c r="QE13" s="219">
        <f t="shared" si="130"/>
        <v>0</v>
      </c>
      <c r="QF13" s="212">
        <f t="shared" si="130"/>
        <v>0</v>
      </c>
      <c r="QG13" s="212">
        <f t="shared" si="130"/>
        <v>0</v>
      </c>
      <c r="QH13" s="212">
        <f t="shared" si="130"/>
        <v>0</v>
      </c>
      <c r="QI13" s="212">
        <f t="shared" si="130"/>
        <v>0</v>
      </c>
      <c r="QJ13" s="212">
        <f t="shared" si="130"/>
        <v>0</v>
      </c>
      <c r="QK13" s="212">
        <f t="shared" si="130"/>
        <v>0</v>
      </c>
      <c r="QL13" s="213">
        <f t="shared" ref="QL13:QL26" si="133">SUM(QF13:QK13)</f>
        <v>0</v>
      </c>
      <c r="QM13" s="212">
        <f t="shared" ref="QM13:QR13" si="134">SUM(QM20+QM27+QM55+QM60+QM65)</f>
        <v>0</v>
      </c>
      <c r="QN13" s="212">
        <f t="shared" si="134"/>
        <v>0</v>
      </c>
      <c r="QO13" s="212">
        <f t="shared" si="134"/>
        <v>0</v>
      </c>
      <c r="QP13" s="212">
        <f t="shared" si="134"/>
        <v>0</v>
      </c>
      <c r="QQ13" s="212">
        <f t="shared" si="134"/>
        <v>0</v>
      </c>
      <c r="QR13" s="212">
        <f t="shared" si="134"/>
        <v>0</v>
      </c>
      <c r="QS13" s="213">
        <f t="shared" ref="QS13:QS26" si="135">SUM(QM13:QR13)</f>
        <v>0</v>
      </c>
      <c r="QT13" s="212">
        <f t="shared" ref="QT13:QY13" si="136">SUM(QT20+QT27+QT55+QT60+QT65)</f>
        <v>0</v>
      </c>
      <c r="QU13" s="212">
        <f t="shared" si="136"/>
        <v>0</v>
      </c>
      <c r="QV13" s="212">
        <f t="shared" si="136"/>
        <v>0</v>
      </c>
      <c r="QW13" s="212">
        <f t="shared" si="136"/>
        <v>0</v>
      </c>
      <c r="QX13" s="212">
        <f t="shared" si="136"/>
        <v>0</v>
      </c>
      <c r="QY13" s="212">
        <f t="shared" si="136"/>
        <v>0</v>
      </c>
      <c r="QZ13" s="213">
        <f t="shared" ref="QZ13:QZ26" si="137">SUM(QT13:QY13)</f>
        <v>0</v>
      </c>
      <c r="RA13" s="212">
        <f t="shared" ref="RA13:RF13" si="138">SUM(RA20+RA27+RA55+RA60+RA65)</f>
        <v>0</v>
      </c>
      <c r="RB13" s="212">
        <f t="shared" si="138"/>
        <v>0</v>
      </c>
      <c r="RC13" s="212">
        <f t="shared" si="138"/>
        <v>0</v>
      </c>
      <c r="RD13" s="212">
        <f t="shared" si="138"/>
        <v>0</v>
      </c>
      <c r="RE13" s="212">
        <f t="shared" si="138"/>
        <v>0</v>
      </c>
      <c r="RF13" s="212">
        <f t="shared" si="138"/>
        <v>0</v>
      </c>
      <c r="RG13" s="213">
        <f t="shared" ref="RG13:RG26" si="139">SUM(RA13:RF13)</f>
        <v>0</v>
      </c>
      <c r="RH13" s="212">
        <f t="shared" ref="RH13:RM13" si="140">SUM(RH20+RH27+RH55+RH60+RH65)</f>
        <v>0</v>
      </c>
      <c r="RI13" s="212">
        <f t="shared" si="140"/>
        <v>0</v>
      </c>
      <c r="RJ13" s="212">
        <f t="shared" si="140"/>
        <v>0</v>
      </c>
      <c r="RK13" s="212">
        <f t="shared" si="140"/>
        <v>0</v>
      </c>
      <c r="RL13" s="212">
        <f t="shared" si="140"/>
        <v>0</v>
      </c>
      <c r="RM13" s="212">
        <f t="shared" si="140"/>
        <v>0</v>
      </c>
      <c r="RN13" s="213">
        <f t="shared" ref="RN13:RN26" si="141">SUM(RH13:RM13)</f>
        <v>0</v>
      </c>
      <c r="RO13" s="212">
        <f t="shared" ref="RO13:RT13" si="142">SUM(RO20+RO27+RO55+RO60+RO65)</f>
        <v>0</v>
      </c>
      <c r="RP13" s="212">
        <f t="shared" si="142"/>
        <v>0</v>
      </c>
      <c r="RQ13" s="212">
        <f t="shared" si="142"/>
        <v>0</v>
      </c>
      <c r="RR13" s="212">
        <f t="shared" si="142"/>
        <v>0</v>
      </c>
      <c r="RS13" s="212">
        <f t="shared" si="142"/>
        <v>0</v>
      </c>
      <c r="RT13" s="212">
        <f t="shared" si="142"/>
        <v>0</v>
      </c>
      <c r="RU13" s="213">
        <f t="shared" ref="RU13:RU26" si="143">SUM(RO13:RT13)</f>
        <v>0</v>
      </c>
      <c r="RV13" s="212">
        <f t="shared" ref="RV13:SB13" si="144">SUM(RV20+RV27+RV55+RV60+RV65)</f>
        <v>0</v>
      </c>
      <c r="RW13" s="212">
        <f t="shared" si="144"/>
        <v>0</v>
      </c>
      <c r="RX13" s="212">
        <f t="shared" si="144"/>
        <v>0</v>
      </c>
      <c r="RY13" s="212">
        <f t="shared" si="144"/>
        <v>0</v>
      </c>
      <c r="RZ13" s="212">
        <f t="shared" si="144"/>
        <v>0</v>
      </c>
      <c r="SA13" s="212">
        <f t="shared" si="144"/>
        <v>0</v>
      </c>
      <c r="SB13" s="212">
        <f t="shared" si="144"/>
        <v>0</v>
      </c>
      <c r="SC13" s="213">
        <f t="shared" ref="SC13:SC26" si="145">SUM(RZ13:SB13)</f>
        <v>0</v>
      </c>
      <c r="SD13" s="212">
        <f t="shared" ref="SD13:SF13" si="146">SUM(SD20+SD27+SD55+SD60+SD65)</f>
        <v>0</v>
      </c>
      <c r="SE13" s="212">
        <f t="shared" si="146"/>
        <v>0</v>
      </c>
      <c r="SF13" s="212">
        <f t="shared" si="146"/>
        <v>0</v>
      </c>
      <c r="SG13" s="213">
        <f t="shared" ref="SG13:SG26" si="147">SUM(SE13:SF13)</f>
        <v>0</v>
      </c>
      <c r="SH13" s="212">
        <f t="shared" ref="SH13:SM13" si="148">SUM(SH20+SH27+SH55+SH60+SH65)</f>
        <v>0</v>
      </c>
      <c r="SI13" s="212">
        <f t="shared" si="148"/>
        <v>0</v>
      </c>
      <c r="SJ13" s="212">
        <f t="shared" si="148"/>
        <v>0</v>
      </c>
      <c r="SK13" s="212">
        <f t="shared" si="148"/>
        <v>0</v>
      </c>
      <c r="SL13" s="212">
        <f t="shared" si="148"/>
        <v>0</v>
      </c>
      <c r="SM13" s="212">
        <f t="shared" si="148"/>
        <v>0</v>
      </c>
      <c r="SN13" s="213">
        <f t="shared" ref="SN13:SN26" si="149">SUM(SK13:SM13)</f>
        <v>0</v>
      </c>
      <c r="SO13" s="212">
        <f t="shared" ref="SO13:SQ13" si="150">SUM(SO20+SO27+SO55+SO60+SO65)</f>
        <v>0</v>
      </c>
      <c r="SP13" s="212">
        <f t="shared" si="150"/>
        <v>0</v>
      </c>
      <c r="SQ13" s="212">
        <f t="shared" si="150"/>
        <v>0</v>
      </c>
      <c r="SR13" s="213">
        <f t="shared" ref="SR13:SR26" si="151">SUM(SP13:SQ13)</f>
        <v>0</v>
      </c>
      <c r="SS13" s="212">
        <f t="shared" ref="SS13:ST13" si="152">SUM(SS20+SS27+SS55+SS60+SS65)</f>
        <v>0</v>
      </c>
      <c r="ST13" s="212">
        <f t="shared" si="152"/>
        <v>0</v>
      </c>
      <c r="SU13" s="213">
        <f t="shared" ref="SU13:SU26" si="153">SUM(SS13:ST13)</f>
        <v>0</v>
      </c>
      <c r="SV13" s="212">
        <f t="shared" ref="SV13:SW13" si="154">SUM(SV20+SV27+SV55+SV60+SV65)</f>
        <v>0</v>
      </c>
      <c r="SW13" s="212">
        <f t="shared" si="154"/>
        <v>0</v>
      </c>
      <c r="SX13" s="213">
        <f t="shared" ref="SX13:SX26" si="155">SUM(SV13:SW13)</f>
        <v>0</v>
      </c>
      <c r="SY13" s="212">
        <f t="shared" ref="SY13:SZ13" si="156">SUM(SY20+SY27+SY55+SY60+SY65)</f>
        <v>0</v>
      </c>
      <c r="SZ13" s="212">
        <f t="shared" si="156"/>
        <v>0</v>
      </c>
      <c r="TA13" s="213">
        <f t="shared" ref="TA13:TA26" si="157">SUM(SY13:SZ13)</f>
        <v>0</v>
      </c>
      <c r="TB13" s="212">
        <f t="shared" ref="TB13:UC13" si="158">SUM(TB20+TB27+TB55+TB60+TB65)</f>
        <v>0</v>
      </c>
      <c r="TC13" s="214">
        <f t="shared" si="158"/>
        <v>0</v>
      </c>
      <c r="TD13" s="215">
        <f t="shared" si="158"/>
        <v>0</v>
      </c>
      <c r="TE13" s="214">
        <f t="shared" si="158"/>
        <v>0</v>
      </c>
      <c r="TF13" s="212">
        <f t="shared" si="158"/>
        <v>0</v>
      </c>
      <c r="TG13" s="212">
        <f t="shared" si="158"/>
        <v>0</v>
      </c>
      <c r="TH13" s="219">
        <f t="shared" si="158"/>
        <v>0</v>
      </c>
      <c r="TI13" s="219">
        <f t="shared" si="158"/>
        <v>0</v>
      </c>
      <c r="TJ13" s="219">
        <f t="shared" si="158"/>
        <v>0</v>
      </c>
      <c r="TK13" s="219">
        <f t="shared" si="158"/>
        <v>0</v>
      </c>
      <c r="TL13" s="221">
        <f t="shared" si="158"/>
        <v>0</v>
      </c>
      <c r="TM13" s="212">
        <f t="shared" si="158"/>
        <v>0</v>
      </c>
      <c r="TN13" s="212">
        <f t="shared" si="158"/>
        <v>0</v>
      </c>
      <c r="TO13" s="212">
        <f t="shared" si="158"/>
        <v>0</v>
      </c>
      <c r="TP13" s="212">
        <f t="shared" si="158"/>
        <v>0</v>
      </c>
      <c r="TQ13" s="212">
        <f t="shared" si="158"/>
        <v>0</v>
      </c>
      <c r="TR13" s="212">
        <f t="shared" si="158"/>
        <v>0</v>
      </c>
      <c r="TS13" s="219">
        <f t="shared" si="158"/>
        <v>0</v>
      </c>
      <c r="TT13" s="219">
        <f t="shared" si="158"/>
        <v>0</v>
      </c>
      <c r="TU13" s="219">
        <f t="shared" si="158"/>
        <v>0</v>
      </c>
      <c r="TV13" s="222">
        <f t="shared" si="158"/>
        <v>0</v>
      </c>
      <c r="TW13" s="219">
        <f t="shared" si="158"/>
        <v>0</v>
      </c>
      <c r="TX13" s="219">
        <f t="shared" si="158"/>
        <v>0</v>
      </c>
      <c r="TY13" s="219">
        <f t="shared" si="158"/>
        <v>0</v>
      </c>
      <c r="TZ13" s="223">
        <f t="shared" si="158"/>
        <v>0</v>
      </c>
      <c r="UA13" s="222">
        <f t="shared" si="158"/>
        <v>0</v>
      </c>
      <c r="UB13" s="219">
        <f t="shared" si="158"/>
        <v>0</v>
      </c>
      <c r="UC13" s="223">
        <f t="shared" si="158"/>
        <v>0</v>
      </c>
    </row>
    <row r="14" spans="1:549" s="182" customFormat="1" hidden="1" x14ac:dyDescent="0.25">
      <c r="A14" s="224" t="s">
        <v>230</v>
      </c>
      <c r="B14" s="225"/>
      <c r="C14" s="225" t="s">
        <v>231</v>
      </c>
      <c r="D14" s="226"/>
      <c r="E14" s="224">
        <f>E21+E23+E24+E25+E26+E22</f>
        <v>0</v>
      </c>
      <c r="F14" s="224">
        <f t="shared" ref="F14:G14" si="159">F21+F23+F24+F25+F26+F22</f>
        <v>0</v>
      </c>
      <c r="G14" s="224">
        <f t="shared" si="159"/>
        <v>0</v>
      </c>
      <c r="H14" s="213">
        <f t="shared" si="33"/>
        <v>0</v>
      </c>
      <c r="I14" s="224">
        <f>I21+I23+I24+I25+I26+I22</f>
        <v>0</v>
      </c>
      <c r="J14" s="224">
        <f t="shared" ref="J14:K14" si="160">J21+J23+J24+J25+J26+J22</f>
        <v>0</v>
      </c>
      <c r="K14" s="224">
        <f t="shared" si="160"/>
        <v>0</v>
      </c>
      <c r="L14" s="213">
        <f t="shared" si="34"/>
        <v>0</v>
      </c>
      <c r="M14" s="224">
        <f>M21+M23+M24+M25+M26+M22</f>
        <v>0</v>
      </c>
      <c r="N14" s="224">
        <f t="shared" ref="N14" si="161">N21+N23+N24+N25+N26+N22</f>
        <v>0</v>
      </c>
      <c r="O14" s="213">
        <f t="shared" si="35"/>
        <v>0</v>
      </c>
      <c r="P14" s="224">
        <f>P21+P23+P24+P25+P26+P22</f>
        <v>0</v>
      </c>
      <c r="Q14" s="224">
        <f t="shared" ref="Q14:S14" si="162">Q21+Q23+Q24+Q25+Q26+Q22</f>
        <v>0</v>
      </c>
      <c r="R14" s="224">
        <f>R21+R23+R24+R25+R26+R22</f>
        <v>0</v>
      </c>
      <c r="S14" s="224">
        <f t="shared" si="162"/>
        <v>0</v>
      </c>
      <c r="T14" s="213">
        <f t="shared" si="36"/>
        <v>0</v>
      </c>
      <c r="U14" s="224">
        <f>U21+U23+U24+U25+U26+U22</f>
        <v>0</v>
      </c>
      <c r="V14" s="224">
        <f t="shared" ref="V14:W14" si="163">V21+V23+V24+V25+V26+V22</f>
        <v>0</v>
      </c>
      <c r="W14" s="224">
        <f t="shared" si="163"/>
        <v>0</v>
      </c>
      <c r="X14" s="213">
        <f t="shared" si="37"/>
        <v>0</v>
      </c>
      <c r="Y14" s="224">
        <f>Y21+Y23+Y24+Y25+Y26+Y22</f>
        <v>0</v>
      </c>
      <c r="Z14" s="224">
        <f t="shared" ref="Z14" si="164">Z21+Z23+Z24+Z25+Z26+Z22</f>
        <v>0</v>
      </c>
      <c r="AA14" s="213">
        <f t="shared" si="38"/>
        <v>0</v>
      </c>
      <c r="AB14" s="224">
        <f>AB21+AB23+AB24+AB25+AB26+AB22</f>
        <v>0</v>
      </c>
      <c r="AC14" s="224">
        <f t="shared" ref="AC14" si="165">AC21+AC23+AC24+AC25+AC26+AC22</f>
        <v>0</v>
      </c>
      <c r="AD14" s="213">
        <f t="shared" si="39"/>
        <v>0</v>
      </c>
      <c r="AE14" s="224">
        <f>AE21+AE23+AE24+AE25+AE26+AE22</f>
        <v>0</v>
      </c>
      <c r="AF14" s="224">
        <f t="shared" ref="AF14" si="166">AF21+AF23+AF24+AF25+AF26+AF22</f>
        <v>0</v>
      </c>
      <c r="AG14" s="224">
        <f>AG21+AG23+AG24+AG25+AG26+AG22</f>
        <v>0</v>
      </c>
      <c r="AH14" s="213">
        <f t="shared" si="40"/>
        <v>0</v>
      </c>
      <c r="AI14" s="224">
        <f>AI21+AI23+AI24+AI25+AI26+AI22</f>
        <v>0</v>
      </c>
      <c r="AJ14" s="224">
        <f t="shared" ref="AJ14" si="167">AJ21+AJ23+AJ24+AJ25+AJ26+AJ22</f>
        <v>0</v>
      </c>
      <c r="AK14" s="224">
        <f>AK21+AK23+AK24+AK25+AK26+AK22</f>
        <v>0</v>
      </c>
      <c r="AL14" s="213">
        <f t="shared" si="41"/>
        <v>0</v>
      </c>
      <c r="AM14" s="224">
        <f>AM21+AM23+AM24+AM25+AM26+AM22</f>
        <v>0</v>
      </c>
      <c r="AN14" s="224">
        <f t="shared" ref="AN14" si="168">AN21+AN23+AN24+AN25+AN26+AN22</f>
        <v>0</v>
      </c>
      <c r="AO14" s="224">
        <f>AO21+AO23+AO24+AO25+AO26+AO22</f>
        <v>0</v>
      </c>
      <c r="AP14" s="213">
        <f t="shared" si="42"/>
        <v>0</v>
      </c>
      <c r="AQ14" s="224">
        <f>AQ21+AQ23+AQ24+AQ25+AQ26+AQ22</f>
        <v>0</v>
      </c>
      <c r="AR14" s="224">
        <f t="shared" ref="AR14" si="169">AR21+AR23+AR24+AR25+AR26+AR22</f>
        <v>0</v>
      </c>
      <c r="AS14" s="224">
        <f>AS21+AS23+AS24+AS25+AS26+AS22</f>
        <v>0</v>
      </c>
      <c r="AT14" s="224">
        <f>AT21+AT23+AT24+AT25+AT26+AT22</f>
        <v>0</v>
      </c>
      <c r="AU14" s="213">
        <f t="shared" si="43"/>
        <v>0</v>
      </c>
      <c r="AV14" s="224">
        <f>AV21+AV23+AV24+AV25+AV26+AV22</f>
        <v>0</v>
      </c>
      <c r="AW14" s="224">
        <f t="shared" ref="AW14" si="170">AW21+AW23+AW24+AW25+AW26+AW22</f>
        <v>0</v>
      </c>
      <c r="AX14" s="224">
        <f>AX21+AX23+AX24+AX25+AX26+AX22</f>
        <v>0</v>
      </c>
      <c r="AY14" s="224">
        <f>AY21+AY23+AY24+AY25+AY26+AY22</f>
        <v>0</v>
      </c>
      <c r="AZ14" s="224">
        <f>AZ21+AZ23+AZ24+AZ25+AZ26+AZ22</f>
        <v>0</v>
      </c>
      <c r="BA14" s="224">
        <f t="shared" ref="BA14" si="171">BA21+BA23+BA24+BA25+BA26+BA22</f>
        <v>0</v>
      </c>
      <c r="BB14" s="224">
        <f>BB21+BB23+BB24+BB25+BB26+BB22</f>
        <v>0</v>
      </c>
      <c r="BC14" s="224">
        <f>BC21+BC23+BC24+BC25+BC26+BC22</f>
        <v>0</v>
      </c>
      <c r="BD14" s="213">
        <f t="shared" si="44"/>
        <v>0</v>
      </c>
      <c r="BE14" s="224">
        <f>BE21+BE23+BE24+BE25+BE26+BE22</f>
        <v>0</v>
      </c>
      <c r="BF14" s="224">
        <f t="shared" ref="BF14:DQ14" si="172">BF21+BF23+BF24+BF25+BF26+BF22</f>
        <v>0</v>
      </c>
      <c r="BG14" s="224">
        <f t="shared" si="172"/>
        <v>0</v>
      </c>
      <c r="BH14" s="224">
        <f t="shared" si="172"/>
        <v>0</v>
      </c>
      <c r="BI14" s="224">
        <f t="shared" si="172"/>
        <v>0</v>
      </c>
      <c r="BJ14" s="224">
        <f t="shared" si="172"/>
        <v>0</v>
      </c>
      <c r="BK14" s="224">
        <f t="shared" si="172"/>
        <v>0</v>
      </c>
      <c r="BL14" s="213">
        <f t="shared" si="45"/>
        <v>0</v>
      </c>
      <c r="BM14" s="224">
        <f t="shared" si="172"/>
        <v>0</v>
      </c>
      <c r="BN14" s="224">
        <f t="shared" si="172"/>
        <v>0</v>
      </c>
      <c r="BO14" s="224">
        <f t="shared" si="172"/>
        <v>0</v>
      </c>
      <c r="BP14" s="224">
        <f t="shared" si="172"/>
        <v>0</v>
      </c>
      <c r="BQ14" s="224">
        <f t="shared" si="172"/>
        <v>0</v>
      </c>
      <c r="BR14" s="224">
        <f t="shared" si="172"/>
        <v>0</v>
      </c>
      <c r="BS14" s="213">
        <f t="shared" si="47"/>
        <v>0</v>
      </c>
      <c r="BT14" s="224">
        <f t="shared" si="172"/>
        <v>0</v>
      </c>
      <c r="BU14" s="224">
        <f t="shared" si="172"/>
        <v>0</v>
      </c>
      <c r="BV14" s="224">
        <f t="shared" si="172"/>
        <v>0</v>
      </c>
      <c r="BW14" s="213">
        <f t="shared" si="48"/>
        <v>0</v>
      </c>
      <c r="BX14" s="224">
        <f t="shared" si="172"/>
        <v>0</v>
      </c>
      <c r="BY14" s="224">
        <f t="shared" si="172"/>
        <v>0</v>
      </c>
      <c r="BZ14" s="213">
        <f t="shared" si="49"/>
        <v>0</v>
      </c>
      <c r="CA14" s="224">
        <f t="shared" si="172"/>
        <v>0</v>
      </c>
      <c r="CB14" s="224">
        <f t="shared" si="172"/>
        <v>0</v>
      </c>
      <c r="CC14" s="213">
        <f t="shared" si="50"/>
        <v>0</v>
      </c>
      <c r="CD14" s="224">
        <f t="shared" si="172"/>
        <v>0</v>
      </c>
      <c r="CE14" s="224">
        <f t="shared" si="172"/>
        <v>0</v>
      </c>
      <c r="CF14" s="224">
        <f t="shared" si="172"/>
        <v>0</v>
      </c>
      <c r="CG14" s="224">
        <f t="shared" si="172"/>
        <v>0</v>
      </c>
      <c r="CH14" s="224">
        <f t="shared" si="172"/>
        <v>0</v>
      </c>
      <c r="CI14" s="224">
        <f t="shared" si="172"/>
        <v>0</v>
      </c>
      <c r="CJ14" s="224">
        <f t="shared" si="172"/>
        <v>0</v>
      </c>
      <c r="CK14" s="224">
        <f t="shared" si="172"/>
        <v>0</v>
      </c>
      <c r="CL14" s="213">
        <f t="shared" si="51"/>
        <v>0</v>
      </c>
      <c r="CM14" s="224">
        <f t="shared" si="172"/>
        <v>0</v>
      </c>
      <c r="CN14" s="224">
        <f t="shared" si="172"/>
        <v>0</v>
      </c>
      <c r="CO14" s="224">
        <f t="shared" si="172"/>
        <v>0</v>
      </c>
      <c r="CP14" s="224">
        <f t="shared" si="172"/>
        <v>0</v>
      </c>
      <c r="CQ14" s="213">
        <f t="shared" si="52"/>
        <v>0</v>
      </c>
      <c r="CR14" s="224">
        <f t="shared" si="172"/>
        <v>0</v>
      </c>
      <c r="CS14" s="224">
        <f t="shared" si="172"/>
        <v>0</v>
      </c>
      <c r="CT14" s="224">
        <f t="shared" si="172"/>
        <v>0</v>
      </c>
      <c r="CU14" s="224">
        <f t="shared" si="172"/>
        <v>0</v>
      </c>
      <c r="CV14" s="224">
        <f t="shared" si="172"/>
        <v>0</v>
      </c>
      <c r="CW14" s="224">
        <f t="shared" si="172"/>
        <v>0</v>
      </c>
      <c r="CX14" s="213">
        <f t="shared" si="53"/>
        <v>0</v>
      </c>
      <c r="CY14" s="224">
        <f t="shared" si="172"/>
        <v>0</v>
      </c>
      <c r="CZ14" s="224">
        <f t="shared" si="172"/>
        <v>0</v>
      </c>
      <c r="DA14" s="224">
        <f t="shared" si="172"/>
        <v>0</v>
      </c>
      <c r="DB14" s="213">
        <f t="shared" si="54"/>
        <v>0</v>
      </c>
      <c r="DC14" s="224">
        <f t="shared" si="172"/>
        <v>0</v>
      </c>
      <c r="DD14" s="224">
        <f t="shared" si="172"/>
        <v>0</v>
      </c>
      <c r="DE14" s="213">
        <f t="shared" si="55"/>
        <v>0</v>
      </c>
      <c r="DF14" s="224">
        <f t="shared" si="172"/>
        <v>0</v>
      </c>
      <c r="DG14" s="224">
        <f t="shared" si="172"/>
        <v>0</v>
      </c>
      <c r="DH14" s="213">
        <f t="shared" si="56"/>
        <v>0</v>
      </c>
      <c r="DI14" s="224">
        <f t="shared" si="172"/>
        <v>0</v>
      </c>
      <c r="DJ14" s="224">
        <f t="shared" si="172"/>
        <v>0</v>
      </c>
      <c r="DK14" s="213">
        <f t="shared" si="57"/>
        <v>0</v>
      </c>
      <c r="DL14" s="224">
        <f t="shared" si="172"/>
        <v>0</v>
      </c>
      <c r="DM14" s="224">
        <f t="shared" si="172"/>
        <v>0</v>
      </c>
      <c r="DN14" s="224">
        <f t="shared" si="172"/>
        <v>0</v>
      </c>
      <c r="DO14" s="224">
        <f t="shared" si="172"/>
        <v>0</v>
      </c>
      <c r="DP14" s="224">
        <f t="shared" si="172"/>
        <v>0</v>
      </c>
      <c r="DQ14" s="224">
        <f t="shared" si="172"/>
        <v>0</v>
      </c>
      <c r="DR14" s="224">
        <f t="shared" ref="DR14:FU14" si="173">DR21+DR23+DR24+DR25+DR26+DR22</f>
        <v>0</v>
      </c>
      <c r="DS14" s="224">
        <f t="shared" si="173"/>
        <v>0</v>
      </c>
      <c r="DT14" s="224">
        <f t="shared" si="173"/>
        <v>0</v>
      </c>
      <c r="DU14" s="224">
        <f t="shared" si="173"/>
        <v>0</v>
      </c>
      <c r="DV14" s="224">
        <f t="shared" si="173"/>
        <v>0</v>
      </c>
      <c r="DW14" s="213">
        <f t="shared" si="58"/>
        <v>0</v>
      </c>
      <c r="DX14" s="224">
        <f t="shared" si="173"/>
        <v>0</v>
      </c>
      <c r="DY14" s="224">
        <f t="shared" si="173"/>
        <v>0</v>
      </c>
      <c r="DZ14" s="224">
        <f t="shared" si="173"/>
        <v>0</v>
      </c>
      <c r="EA14" s="213">
        <f t="shared" si="59"/>
        <v>0</v>
      </c>
      <c r="EB14" s="224">
        <f t="shared" si="173"/>
        <v>0</v>
      </c>
      <c r="EC14" s="224">
        <f t="shared" si="173"/>
        <v>0</v>
      </c>
      <c r="ED14" s="224">
        <f t="shared" si="173"/>
        <v>0</v>
      </c>
      <c r="EE14" s="224">
        <f t="shared" si="173"/>
        <v>0</v>
      </c>
      <c r="EF14" s="224">
        <f t="shared" si="173"/>
        <v>0</v>
      </c>
      <c r="EG14" s="224">
        <f t="shared" si="173"/>
        <v>0</v>
      </c>
      <c r="EH14" s="213">
        <f t="shared" si="61"/>
        <v>0</v>
      </c>
      <c r="EI14" s="224">
        <f t="shared" si="173"/>
        <v>0</v>
      </c>
      <c r="EJ14" s="224">
        <f t="shared" si="173"/>
        <v>0</v>
      </c>
      <c r="EK14" s="224">
        <f t="shared" si="173"/>
        <v>0</v>
      </c>
      <c r="EL14" s="213">
        <f t="shared" si="62"/>
        <v>0</v>
      </c>
      <c r="EM14" s="224">
        <f t="shared" si="173"/>
        <v>0</v>
      </c>
      <c r="EN14" s="224">
        <f t="shared" si="173"/>
        <v>0</v>
      </c>
      <c r="EO14" s="213">
        <f t="shared" si="63"/>
        <v>0</v>
      </c>
      <c r="EP14" s="224">
        <f t="shared" si="173"/>
        <v>0</v>
      </c>
      <c r="EQ14" s="224">
        <f t="shared" si="173"/>
        <v>0</v>
      </c>
      <c r="ER14" s="213">
        <f t="shared" si="64"/>
        <v>0</v>
      </c>
      <c r="ES14" s="224">
        <f t="shared" si="173"/>
        <v>0</v>
      </c>
      <c r="ET14" s="224">
        <f t="shared" si="173"/>
        <v>0</v>
      </c>
      <c r="EU14" s="213">
        <f t="shared" si="65"/>
        <v>0</v>
      </c>
      <c r="EV14" s="224">
        <f t="shared" si="173"/>
        <v>0</v>
      </c>
      <c r="EW14" s="224">
        <f t="shared" si="173"/>
        <v>0</v>
      </c>
      <c r="EX14" s="224">
        <f t="shared" si="173"/>
        <v>0</v>
      </c>
      <c r="EY14" s="224">
        <f t="shared" si="173"/>
        <v>0</v>
      </c>
      <c r="EZ14" s="224">
        <f t="shared" si="173"/>
        <v>0</v>
      </c>
      <c r="FA14" s="224">
        <f t="shared" si="173"/>
        <v>0</v>
      </c>
      <c r="FB14" s="224">
        <f t="shared" si="173"/>
        <v>0</v>
      </c>
      <c r="FC14" s="224">
        <f t="shared" si="173"/>
        <v>0</v>
      </c>
      <c r="FD14" s="224">
        <f t="shared" si="173"/>
        <v>0</v>
      </c>
      <c r="FE14" s="224">
        <f t="shared" si="173"/>
        <v>0</v>
      </c>
      <c r="FF14" s="224">
        <f t="shared" si="173"/>
        <v>0</v>
      </c>
      <c r="FG14" s="213">
        <f t="shared" si="66"/>
        <v>0</v>
      </c>
      <c r="FH14" s="224">
        <f t="shared" si="173"/>
        <v>0</v>
      </c>
      <c r="FI14" s="224">
        <f t="shared" si="173"/>
        <v>0</v>
      </c>
      <c r="FJ14" s="224">
        <f t="shared" si="173"/>
        <v>0</v>
      </c>
      <c r="FK14" s="213">
        <f t="shared" si="67"/>
        <v>0</v>
      </c>
      <c r="FL14" s="224">
        <f t="shared" si="173"/>
        <v>0</v>
      </c>
      <c r="FM14" s="224">
        <f t="shared" si="173"/>
        <v>0</v>
      </c>
      <c r="FN14" s="224">
        <f t="shared" si="173"/>
        <v>0</v>
      </c>
      <c r="FO14" s="224">
        <f t="shared" si="173"/>
        <v>0</v>
      </c>
      <c r="FP14" s="224">
        <f t="shared" si="173"/>
        <v>0</v>
      </c>
      <c r="FQ14" s="224">
        <f t="shared" si="173"/>
        <v>0</v>
      </c>
      <c r="FR14" s="213">
        <f t="shared" si="68"/>
        <v>0</v>
      </c>
      <c r="FS14" s="224">
        <f t="shared" si="173"/>
        <v>0</v>
      </c>
      <c r="FT14" s="224">
        <f t="shared" si="173"/>
        <v>0</v>
      </c>
      <c r="FU14" s="224">
        <f t="shared" si="173"/>
        <v>0</v>
      </c>
      <c r="FV14" s="213">
        <f t="shared" si="69"/>
        <v>0</v>
      </c>
      <c r="FW14" s="224">
        <f t="shared" ref="FW14:FX14" si="174">FW21+FW23+FW24+FW25+FW26+FW22</f>
        <v>0</v>
      </c>
      <c r="FX14" s="224">
        <f t="shared" si="174"/>
        <v>0</v>
      </c>
      <c r="FY14" s="213">
        <f t="shared" si="70"/>
        <v>0</v>
      </c>
      <c r="FZ14" s="224">
        <f t="shared" ref="FZ14:GA14" si="175">FZ21+FZ23+FZ24+FZ25+FZ26+FZ22</f>
        <v>0</v>
      </c>
      <c r="GA14" s="224">
        <f t="shared" si="175"/>
        <v>0</v>
      </c>
      <c r="GB14" s="213">
        <f t="shared" si="71"/>
        <v>0</v>
      </c>
      <c r="GC14" s="224">
        <f t="shared" ref="GC14:IP14" si="176">GC21+GC23+GC24+GC25+GC26+GC22</f>
        <v>0</v>
      </c>
      <c r="GD14" s="224">
        <f t="shared" si="176"/>
        <v>0</v>
      </c>
      <c r="GE14" s="213">
        <f t="shared" si="72"/>
        <v>0</v>
      </c>
      <c r="GF14" s="224">
        <f t="shared" si="176"/>
        <v>0</v>
      </c>
      <c r="GG14" s="224">
        <f t="shared" si="176"/>
        <v>0</v>
      </c>
      <c r="GH14" s="224">
        <f t="shared" si="176"/>
        <v>0</v>
      </c>
      <c r="GI14" s="224">
        <f t="shared" si="176"/>
        <v>0</v>
      </c>
      <c r="GJ14" s="224">
        <f t="shared" si="176"/>
        <v>0</v>
      </c>
      <c r="GK14" s="224">
        <f t="shared" si="176"/>
        <v>0</v>
      </c>
      <c r="GL14" s="224">
        <f t="shared" si="176"/>
        <v>0</v>
      </c>
      <c r="GM14" s="224">
        <f t="shared" si="176"/>
        <v>0</v>
      </c>
      <c r="GN14" s="217">
        <f t="shared" si="73"/>
        <v>0</v>
      </c>
      <c r="GO14" s="224">
        <f t="shared" si="176"/>
        <v>0</v>
      </c>
      <c r="GP14" s="224">
        <f t="shared" si="176"/>
        <v>0</v>
      </c>
      <c r="GQ14" s="224">
        <f t="shared" si="176"/>
        <v>0</v>
      </c>
      <c r="GR14" s="213">
        <f t="shared" si="3"/>
        <v>0</v>
      </c>
      <c r="GS14" s="224">
        <f t="shared" si="176"/>
        <v>0</v>
      </c>
      <c r="GT14" s="224">
        <f t="shared" si="176"/>
        <v>0</v>
      </c>
      <c r="GU14" s="224">
        <f t="shared" si="176"/>
        <v>0</v>
      </c>
      <c r="GV14" s="224">
        <f t="shared" si="176"/>
        <v>0</v>
      </c>
      <c r="GW14" s="213">
        <f t="shared" si="75"/>
        <v>0</v>
      </c>
      <c r="GX14" s="224">
        <f t="shared" si="176"/>
        <v>0</v>
      </c>
      <c r="GY14" s="224">
        <f t="shared" si="176"/>
        <v>0</v>
      </c>
      <c r="GZ14" s="224">
        <f t="shared" si="176"/>
        <v>0</v>
      </c>
      <c r="HA14" s="224">
        <f t="shared" si="176"/>
        <v>0</v>
      </c>
      <c r="HB14" s="213">
        <f t="shared" si="76"/>
        <v>0</v>
      </c>
      <c r="HC14" s="224">
        <f t="shared" si="176"/>
        <v>0</v>
      </c>
      <c r="HD14" s="224">
        <f t="shared" si="176"/>
        <v>0</v>
      </c>
      <c r="HE14" s="224">
        <f t="shared" si="176"/>
        <v>0</v>
      </c>
      <c r="HF14" s="224">
        <f t="shared" si="176"/>
        <v>0</v>
      </c>
      <c r="HG14" s="213">
        <f t="shared" si="77"/>
        <v>0</v>
      </c>
      <c r="HH14" s="224">
        <f t="shared" si="176"/>
        <v>0</v>
      </c>
      <c r="HI14" s="224">
        <f t="shared" si="176"/>
        <v>0</v>
      </c>
      <c r="HJ14" s="224">
        <f t="shared" si="176"/>
        <v>0</v>
      </c>
      <c r="HK14" s="224">
        <f t="shared" si="176"/>
        <v>0</v>
      </c>
      <c r="HL14" s="213">
        <f t="shared" si="78"/>
        <v>0</v>
      </c>
      <c r="HM14" s="224">
        <f t="shared" si="176"/>
        <v>0</v>
      </c>
      <c r="HN14" s="224">
        <f t="shared" si="176"/>
        <v>0</v>
      </c>
      <c r="HO14" s="224">
        <f t="shared" si="176"/>
        <v>0</v>
      </c>
      <c r="HP14" s="224">
        <f t="shared" si="176"/>
        <v>0</v>
      </c>
      <c r="HQ14" s="213">
        <f t="shared" si="79"/>
        <v>0</v>
      </c>
      <c r="HR14" s="224">
        <f t="shared" si="176"/>
        <v>0</v>
      </c>
      <c r="HS14" s="224">
        <f t="shared" si="176"/>
        <v>0</v>
      </c>
      <c r="HT14" s="224">
        <f t="shared" si="176"/>
        <v>0</v>
      </c>
      <c r="HU14" s="224">
        <f t="shared" si="176"/>
        <v>0</v>
      </c>
      <c r="HV14" s="217">
        <f t="shared" si="80"/>
        <v>0</v>
      </c>
      <c r="HW14" s="224">
        <f t="shared" si="176"/>
        <v>0</v>
      </c>
      <c r="HX14" s="224">
        <f t="shared" si="176"/>
        <v>0</v>
      </c>
      <c r="HY14" s="224">
        <f t="shared" si="176"/>
        <v>0</v>
      </c>
      <c r="HZ14" s="213">
        <f t="shared" si="81"/>
        <v>0</v>
      </c>
      <c r="IA14" s="224">
        <f t="shared" si="176"/>
        <v>0</v>
      </c>
      <c r="IB14" s="224">
        <f t="shared" si="176"/>
        <v>0</v>
      </c>
      <c r="IC14" s="224">
        <f t="shared" si="176"/>
        <v>0</v>
      </c>
      <c r="ID14" s="224">
        <f t="shared" si="176"/>
        <v>0</v>
      </c>
      <c r="IE14" s="213">
        <f t="shared" si="82"/>
        <v>0</v>
      </c>
      <c r="IF14" s="224">
        <f t="shared" si="176"/>
        <v>0</v>
      </c>
      <c r="IG14" s="224">
        <f t="shared" si="176"/>
        <v>0</v>
      </c>
      <c r="IH14" s="224">
        <f t="shared" si="176"/>
        <v>0</v>
      </c>
      <c r="II14" s="224">
        <f t="shared" si="176"/>
        <v>0</v>
      </c>
      <c r="IJ14" s="213">
        <f t="shared" si="83"/>
        <v>0</v>
      </c>
      <c r="IK14" s="224">
        <f t="shared" si="176"/>
        <v>0</v>
      </c>
      <c r="IL14" s="224">
        <f t="shared" si="176"/>
        <v>0</v>
      </c>
      <c r="IM14" s="224">
        <f t="shared" si="176"/>
        <v>0</v>
      </c>
      <c r="IN14" s="224">
        <f t="shared" si="176"/>
        <v>0</v>
      </c>
      <c r="IO14" s="213">
        <f t="shared" si="84"/>
        <v>0</v>
      </c>
      <c r="IP14" s="224">
        <f t="shared" si="176"/>
        <v>0</v>
      </c>
      <c r="IQ14" s="224">
        <f t="shared" ref="IQ14:LB14" si="177">IQ21+IQ23+IQ24+IQ25+IQ26+IQ22</f>
        <v>0</v>
      </c>
      <c r="IR14" s="224">
        <f t="shared" si="177"/>
        <v>0</v>
      </c>
      <c r="IS14" s="224">
        <f t="shared" si="177"/>
        <v>0</v>
      </c>
      <c r="IT14" s="213">
        <f t="shared" si="85"/>
        <v>0</v>
      </c>
      <c r="IU14" s="224">
        <f t="shared" si="177"/>
        <v>0</v>
      </c>
      <c r="IV14" s="224">
        <f t="shared" si="177"/>
        <v>0</v>
      </c>
      <c r="IW14" s="224">
        <f t="shared" si="177"/>
        <v>0</v>
      </c>
      <c r="IX14" s="213">
        <f t="shared" si="86"/>
        <v>0</v>
      </c>
      <c r="IY14" s="224">
        <f t="shared" si="177"/>
        <v>0</v>
      </c>
      <c r="IZ14" s="224">
        <f t="shared" si="177"/>
        <v>0</v>
      </c>
      <c r="JA14" s="224">
        <f t="shared" si="177"/>
        <v>0</v>
      </c>
      <c r="JB14" s="213">
        <f t="shared" si="87"/>
        <v>0</v>
      </c>
      <c r="JC14" s="224">
        <f t="shared" si="177"/>
        <v>0</v>
      </c>
      <c r="JD14" s="224">
        <f t="shared" si="177"/>
        <v>0</v>
      </c>
      <c r="JE14" s="224">
        <f t="shared" si="177"/>
        <v>0</v>
      </c>
      <c r="JF14" s="213">
        <f t="shared" si="88"/>
        <v>0</v>
      </c>
      <c r="JG14" s="224">
        <f t="shared" si="177"/>
        <v>0</v>
      </c>
      <c r="JH14" s="224">
        <f t="shared" si="177"/>
        <v>0</v>
      </c>
      <c r="JI14" s="224">
        <f t="shared" si="177"/>
        <v>0</v>
      </c>
      <c r="JJ14" s="224">
        <f t="shared" si="177"/>
        <v>0</v>
      </c>
      <c r="JK14" s="224">
        <f t="shared" si="177"/>
        <v>0</v>
      </c>
      <c r="JL14" s="224">
        <f t="shared" si="177"/>
        <v>0</v>
      </c>
      <c r="JM14" s="224">
        <f t="shared" si="177"/>
        <v>0</v>
      </c>
      <c r="JN14" s="224">
        <f t="shared" si="177"/>
        <v>0</v>
      </c>
      <c r="JO14" s="224">
        <f t="shared" si="177"/>
        <v>0</v>
      </c>
      <c r="JP14" s="224">
        <f t="shared" si="177"/>
        <v>0</v>
      </c>
      <c r="JQ14" s="224">
        <f t="shared" si="177"/>
        <v>0</v>
      </c>
      <c r="JR14" s="224">
        <f t="shared" si="177"/>
        <v>0</v>
      </c>
      <c r="JS14" s="224">
        <f t="shared" si="177"/>
        <v>0</v>
      </c>
      <c r="JT14" s="224">
        <f t="shared" si="177"/>
        <v>0</v>
      </c>
      <c r="JU14" s="224">
        <f t="shared" si="177"/>
        <v>0</v>
      </c>
      <c r="JV14" s="224">
        <f t="shared" si="177"/>
        <v>0</v>
      </c>
      <c r="JW14" s="224">
        <f t="shared" si="177"/>
        <v>0</v>
      </c>
      <c r="JX14" s="224">
        <f t="shared" si="177"/>
        <v>0</v>
      </c>
      <c r="JY14" s="224">
        <f t="shared" si="177"/>
        <v>0</v>
      </c>
      <c r="JZ14" s="224">
        <f t="shared" si="177"/>
        <v>0</v>
      </c>
      <c r="KA14" s="224">
        <f t="shared" si="177"/>
        <v>0</v>
      </c>
      <c r="KB14" s="224">
        <f t="shared" si="177"/>
        <v>0</v>
      </c>
      <c r="KC14" s="224">
        <f t="shared" si="177"/>
        <v>0</v>
      </c>
      <c r="KD14" s="224">
        <f t="shared" si="177"/>
        <v>0</v>
      </c>
      <c r="KE14" s="224">
        <f t="shared" si="177"/>
        <v>0</v>
      </c>
      <c r="KF14" s="224">
        <f t="shared" si="177"/>
        <v>0</v>
      </c>
      <c r="KG14" s="224">
        <f t="shared" si="177"/>
        <v>0</v>
      </c>
      <c r="KH14" s="224">
        <f t="shared" si="177"/>
        <v>0</v>
      </c>
      <c r="KI14" s="224">
        <f t="shared" si="177"/>
        <v>0</v>
      </c>
      <c r="KJ14" s="224">
        <f t="shared" si="177"/>
        <v>0</v>
      </c>
      <c r="KK14" s="224">
        <f t="shared" si="177"/>
        <v>0</v>
      </c>
      <c r="KL14" s="224">
        <f t="shared" si="177"/>
        <v>0</v>
      </c>
      <c r="KM14" s="224">
        <f t="shared" si="177"/>
        <v>0</v>
      </c>
      <c r="KN14" s="224">
        <f t="shared" si="177"/>
        <v>0</v>
      </c>
      <c r="KO14" s="224">
        <f t="shared" si="177"/>
        <v>0</v>
      </c>
      <c r="KP14" s="224">
        <f t="shared" si="177"/>
        <v>0</v>
      </c>
      <c r="KQ14" s="224">
        <f t="shared" si="177"/>
        <v>0</v>
      </c>
      <c r="KR14" s="224">
        <f t="shared" si="177"/>
        <v>0</v>
      </c>
      <c r="KS14" s="224">
        <f t="shared" si="177"/>
        <v>0</v>
      </c>
      <c r="KT14" s="224">
        <f t="shared" si="177"/>
        <v>0</v>
      </c>
      <c r="KU14" s="224">
        <f t="shared" si="177"/>
        <v>0</v>
      </c>
      <c r="KV14" s="224">
        <f t="shared" si="177"/>
        <v>0</v>
      </c>
      <c r="KW14" s="224">
        <f t="shared" si="177"/>
        <v>0</v>
      </c>
      <c r="KX14" s="224">
        <f t="shared" si="177"/>
        <v>0</v>
      </c>
      <c r="KY14" s="224">
        <f t="shared" si="177"/>
        <v>0</v>
      </c>
      <c r="KZ14" s="213">
        <f t="shared" si="90"/>
        <v>0</v>
      </c>
      <c r="LA14" s="224">
        <f t="shared" si="177"/>
        <v>0</v>
      </c>
      <c r="LB14" s="224">
        <f t="shared" si="177"/>
        <v>0</v>
      </c>
      <c r="LC14" s="224">
        <f t="shared" ref="LC14" si="178">LC21+LC23+LC24+LC25+LC26+LC22</f>
        <v>0</v>
      </c>
      <c r="LD14" s="213">
        <f t="shared" si="91"/>
        <v>0</v>
      </c>
      <c r="LE14" s="224">
        <f t="shared" ref="LE14:LG14" si="179">LE21+LE23+LE24+LE25+LE26+LE22</f>
        <v>0</v>
      </c>
      <c r="LF14" s="224">
        <f t="shared" si="179"/>
        <v>0</v>
      </c>
      <c r="LG14" s="224">
        <f t="shared" si="179"/>
        <v>0</v>
      </c>
      <c r="LH14" s="213">
        <f t="shared" si="92"/>
        <v>0</v>
      </c>
      <c r="LI14" s="224">
        <f t="shared" ref="LI14:LK14" si="180">LI21+LI23+LI24+LI25+LI26+LI22</f>
        <v>0</v>
      </c>
      <c r="LJ14" s="224">
        <f t="shared" si="180"/>
        <v>0</v>
      </c>
      <c r="LK14" s="224">
        <f t="shared" si="180"/>
        <v>0</v>
      </c>
      <c r="LL14" s="213">
        <f t="shared" si="93"/>
        <v>0</v>
      </c>
      <c r="LM14" s="224">
        <f t="shared" ref="LM14:LO14" si="181">LM21+LM23+LM24+LM25+LM26+LM22</f>
        <v>0</v>
      </c>
      <c r="LN14" s="224">
        <f t="shared" si="181"/>
        <v>0</v>
      </c>
      <c r="LO14" s="224">
        <f t="shared" si="181"/>
        <v>0</v>
      </c>
      <c r="LP14" s="213">
        <f t="shared" si="94"/>
        <v>0</v>
      </c>
      <c r="LQ14" s="224">
        <f t="shared" ref="LQ14:LS14" si="182">LQ21+LQ23+LQ24+LQ25+LQ26+LQ22</f>
        <v>0</v>
      </c>
      <c r="LR14" s="224">
        <f t="shared" si="182"/>
        <v>0</v>
      </c>
      <c r="LS14" s="224">
        <f t="shared" si="182"/>
        <v>0</v>
      </c>
      <c r="LT14" s="213">
        <f t="shared" si="95"/>
        <v>0</v>
      </c>
      <c r="LU14" s="224">
        <f t="shared" ref="LU14:LW14" si="183">LU21+LU23+LU24+LU25+LU26+LU22</f>
        <v>0</v>
      </c>
      <c r="LV14" s="224">
        <f t="shared" si="183"/>
        <v>0</v>
      </c>
      <c r="LW14" s="224">
        <f t="shared" si="183"/>
        <v>0</v>
      </c>
      <c r="LX14" s="198">
        <f t="shared" si="96"/>
        <v>0</v>
      </c>
      <c r="LY14" s="224">
        <f t="shared" ref="LY14:OJ14" si="184">LY21+LY23+LY24+LY25+LY26+LY22</f>
        <v>0</v>
      </c>
      <c r="LZ14" s="224">
        <f t="shared" si="184"/>
        <v>0</v>
      </c>
      <c r="MA14" s="224">
        <f t="shared" si="184"/>
        <v>0</v>
      </c>
      <c r="MB14" s="213">
        <f t="shared" si="97"/>
        <v>0</v>
      </c>
      <c r="MC14" s="224">
        <f t="shared" si="184"/>
        <v>0</v>
      </c>
      <c r="MD14" s="213">
        <f t="shared" si="98"/>
        <v>0</v>
      </c>
      <c r="ME14" s="224">
        <f t="shared" si="184"/>
        <v>0</v>
      </c>
      <c r="MF14" s="213">
        <f t="shared" si="100"/>
        <v>0</v>
      </c>
      <c r="MG14" s="224">
        <f t="shared" si="184"/>
        <v>0</v>
      </c>
      <c r="MH14" s="213">
        <f t="shared" si="101"/>
        <v>0</v>
      </c>
      <c r="MI14" s="224">
        <f t="shared" si="184"/>
        <v>0</v>
      </c>
      <c r="MJ14" s="213">
        <f t="shared" si="102"/>
        <v>0</v>
      </c>
      <c r="MK14" s="224">
        <f t="shared" si="184"/>
        <v>0</v>
      </c>
      <c r="ML14" s="213">
        <f t="shared" si="103"/>
        <v>0</v>
      </c>
      <c r="MM14" s="224">
        <f t="shared" si="184"/>
        <v>0</v>
      </c>
      <c r="MN14" s="224">
        <f t="shared" si="184"/>
        <v>0</v>
      </c>
      <c r="MO14" s="224">
        <f t="shared" si="184"/>
        <v>0</v>
      </c>
      <c r="MP14" s="224">
        <f t="shared" si="184"/>
        <v>0</v>
      </c>
      <c r="MQ14" s="224">
        <f t="shared" si="184"/>
        <v>0</v>
      </c>
      <c r="MR14" s="224">
        <f t="shared" si="184"/>
        <v>0</v>
      </c>
      <c r="MS14" s="224">
        <f t="shared" si="184"/>
        <v>0</v>
      </c>
      <c r="MT14" s="224">
        <f t="shared" si="184"/>
        <v>0</v>
      </c>
      <c r="MU14" s="224">
        <f t="shared" si="184"/>
        <v>0</v>
      </c>
      <c r="MV14" s="224">
        <f t="shared" si="184"/>
        <v>0</v>
      </c>
      <c r="MW14" s="213">
        <f t="shared" si="104"/>
        <v>0</v>
      </c>
      <c r="MX14" s="224">
        <f t="shared" si="184"/>
        <v>0</v>
      </c>
      <c r="MY14" s="224">
        <f t="shared" si="184"/>
        <v>0</v>
      </c>
      <c r="MZ14" s="224">
        <f t="shared" si="184"/>
        <v>0</v>
      </c>
      <c r="NA14" s="213">
        <f t="shared" si="105"/>
        <v>0</v>
      </c>
      <c r="NB14" s="224">
        <f t="shared" si="184"/>
        <v>0</v>
      </c>
      <c r="NC14" s="224">
        <f t="shared" si="184"/>
        <v>0</v>
      </c>
      <c r="ND14" s="224">
        <f t="shared" si="184"/>
        <v>0</v>
      </c>
      <c r="NE14" s="213">
        <f t="shared" si="106"/>
        <v>0</v>
      </c>
      <c r="NF14" s="224">
        <f t="shared" si="184"/>
        <v>0</v>
      </c>
      <c r="NG14" s="224">
        <f t="shared" si="184"/>
        <v>0</v>
      </c>
      <c r="NH14" s="224">
        <f t="shared" si="184"/>
        <v>0</v>
      </c>
      <c r="NI14" s="213">
        <f t="shared" si="107"/>
        <v>0</v>
      </c>
      <c r="NJ14" s="224">
        <f t="shared" si="184"/>
        <v>0</v>
      </c>
      <c r="NK14" s="224">
        <f t="shared" si="184"/>
        <v>0</v>
      </c>
      <c r="NL14" s="224">
        <f t="shared" si="184"/>
        <v>0</v>
      </c>
      <c r="NM14" s="213">
        <f t="shared" si="108"/>
        <v>0</v>
      </c>
      <c r="NN14" s="224">
        <f t="shared" si="184"/>
        <v>0</v>
      </c>
      <c r="NO14" s="224">
        <f t="shared" si="184"/>
        <v>0</v>
      </c>
      <c r="NP14" s="224">
        <f t="shared" si="184"/>
        <v>0</v>
      </c>
      <c r="NQ14" s="213">
        <f t="shared" si="109"/>
        <v>0</v>
      </c>
      <c r="NR14" s="224">
        <f t="shared" si="184"/>
        <v>0</v>
      </c>
      <c r="NS14" s="224">
        <f t="shared" si="184"/>
        <v>0</v>
      </c>
      <c r="NT14" s="224">
        <f t="shared" si="184"/>
        <v>0</v>
      </c>
      <c r="NU14" s="213">
        <f t="shared" si="110"/>
        <v>0</v>
      </c>
      <c r="NV14" s="224">
        <f t="shared" si="184"/>
        <v>0</v>
      </c>
      <c r="NW14" s="224">
        <f t="shared" si="184"/>
        <v>0</v>
      </c>
      <c r="NX14" s="224">
        <f t="shared" si="184"/>
        <v>0</v>
      </c>
      <c r="NY14" s="217">
        <f t="shared" si="112"/>
        <v>0</v>
      </c>
      <c r="NZ14" s="224">
        <f t="shared" si="184"/>
        <v>0</v>
      </c>
      <c r="OA14" s="224">
        <f t="shared" si="184"/>
        <v>0</v>
      </c>
      <c r="OB14" s="224">
        <f t="shared" si="184"/>
        <v>0</v>
      </c>
      <c r="OC14" s="217">
        <f t="shared" si="114"/>
        <v>0</v>
      </c>
      <c r="OD14" s="224">
        <f t="shared" si="184"/>
        <v>0</v>
      </c>
      <c r="OE14" s="224">
        <f t="shared" si="184"/>
        <v>0</v>
      </c>
      <c r="OF14" s="224">
        <f t="shared" si="184"/>
        <v>0</v>
      </c>
      <c r="OG14" s="224">
        <f t="shared" si="184"/>
        <v>0</v>
      </c>
      <c r="OH14" s="224">
        <f t="shared" si="184"/>
        <v>0</v>
      </c>
      <c r="OI14" s="224">
        <f t="shared" si="184"/>
        <v>0</v>
      </c>
      <c r="OJ14" s="224">
        <f t="shared" si="184"/>
        <v>0</v>
      </c>
      <c r="OK14" s="224">
        <f t="shared" ref="OK14:QV14" si="185">OK21+OK23+OK24+OK25+OK26+OK22</f>
        <v>0</v>
      </c>
      <c r="OL14" s="224">
        <f t="shared" si="185"/>
        <v>0</v>
      </c>
      <c r="OM14" s="224">
        <f t="shared" si="185"/>
        <v>0</v>
      </c>
      <c r="ON14" s="224">
        <f t="shared" si="185"/>
        <v>0</v>
      </c>
      <c r="OO14" s="224">
        <f t="shared" si="185"/>
        <v>0</v>
      </c>
      <c r="OP14" s="224">
        <f t="shared" si="185"/>
        <v>0</v>
      </c>
      <c r="OQ14" s="224">
        <f t="shared" si="185"/>
        <v>0</v>
      </c>
      <c r="OR14" s="218">
        <f t="shared" si="116"/>
        <v>0</v>
      </c>
      <c r="OS14" s="224">
        <f t="shared" si="185"/>
        <v>0</v>
      </c>
      <c r="OT14" s="224">
        <f t="shared" si="185"/>
        <v>0</v>
      </c>
      <c r="OU14" s="224">
        <f t="shared" si="185"/>
        <v>0</v>
      </c>
      <c r="OV14" s="224">
        <f t="shared" si="185"/>
        <v>0</v>
      </c>
      <c r="OW14" s="224">
        <f t="shared" si="185"/>
        <v>0</v>
      </c>
      <c r="OX14" s="219">
        <f t="shared" si="11"/>
        <v>0</v>
      </c>
      <c r="OY14" s="224">
        <f t="shared" si="185"/>
        <v>0</v>
      </c>
      <c r="OZ14" s="224">
        <f t="shared" si="185"/>
        <v>0</v>
      </c>
      <c r="PA14" s="224">
        <f t="shared" si="185"/>
        <v>0</v>
      </c>
      <c r="PB14" s="220">
        <f t="shared" si="119"/>
        <v>0</v>
      </c>
      <c r="PC14" s="224">
        <f t="shared" si="185"/>
        <v>0</v>
      </c>
      <c r="PD14" s="224">
        <f t="shared" si="185"/>
        <v>0</v>
      </c>
      <c r="PE14" s="224">
        <f t="shared" si="185"/>
        <v>0</v>
      </c>
      <c r="PF14" s="220">
        <f t="shared" si="121"/>
        <v>0</v>
      </c>
      <c r="PG14" s="224">
        <f t="shared" si="185"/>
        <v>0</v>
      </c>
      <c r="PH14" s="224">
        <f t="shared" si="185"/>
        <v>0</v>
      </c>
      <c r="PI14" s="224">
        <f t="shared" si="185"/>
        <v>0</v>
      </c>
      <c r="PJ14" s="220">
        <f t="shared" si="123"/>
        <v>0</v>
      </c>
      <c r="PK14" s="224">
        <f t="shared" si="185"/>
        <v>0</v>
      </c>
      <c r="PL14" s="224">
        <f t="shared" si="185"/>
        <v>0</v>
      </c>
      <c r="PM14" s="224">
        <f t="shared" si="185"/>
        <v>0</v>
      </c>
      <c r="PN14" s="220">
        <f t="shared" si="125"/>
        <v>0</v>
      </c>
      <c r="PO14" s="224">
        <f t="shared" si="185"/>
        <v>0</v>
      </c>
      <c r="PP14" s="224">
        <f t="shared" si="185"/>
        <v>0</v>
      </c>
      <c r="PQ14" s="224">
        <f t="shared" si="185"/>
        <v>0</v>
      </c>
      <c r="PR14" s="220">
        <f t="shared" si="127"/>
        <v>0</v>
      </c>
      <c r="PS14" s="224">
        <f t="shared" si="185"/>
        <v>0</v>
      </c>
      <c r="PT14" s="224">
        <f t="shared" si="185"/>
        <v>0</v>
      </c>
      <c r="PU14" s="224">
        <f t="shared" si="185"/>
        <v>0</v>
      </c>
      <c r="PV14" s="220">
        <f t="shared" si="129"/>
        <v>0</v>
      </c>
      <c r="PW14" s="224">
        <f t="shared" si="185"/>
        <v>0</v>
      </c>
      <c r="PX14" s="224">
        <f t="shared" si="185"/>
        <v>0</v>
      </c>
      <c r="PY14" s="224">
        <f t="shared" si="185"/>
        <v>0</v>
      </c>
      <c r="PZ14" s="220">
        <f t="shared" si="131"/>
        <v>0</v>
      </c>
      <c r="QA14" s="224">
        <f t="shared" si="185"/>
        <v>0</v>
      </c>
      <c r="QB14" s="224">
        <f t="shared" si="185"/>
        <v>0</v>
      </c>
      <c r="QC14" s="224">
        <f t="shared" si="185"/>
        <v>0</v>
      </c>
      <c r="QD14" s="220">
        <f t="shared" si="132"/>
        <v>0</v>
      </c>
      <c r="QE14" s="224">
        <f t="shared" si="185"/>
        <v>0</v>
      </c>
      <c r="QF14" s="224">
        <f t="shared" si="185"/>
        <v>0</v>
      </c>
      <c r="QG14" s="224">
        <f t="shared" si="185"/>
        <v>0</v>
      </c>
      <c r="QH14" s="224">
        <f t="shared" si="185"/>
        <v>0</v>
      </c>
      <c r="QI14" s="224">
        <f t="shared" si="185"/>
        <v>0</v>
      </c>
      <c r="QJ14" s="224">
        <f t="shared" si="185"/>
        <v>0</v>
      </c>
      <c r="QK14" s="224">
        <f t="shared" si="185"/>
        <v>0</v>
      </c>
      <c r="QL14" s="213">
        <f t="shared" si="133"/>
        <v>0</v>
      </c>
      <c r="QM14" s="224">
        <f t="shared" si="185"/>
        <v>0</v>
      </c>
      <c r="QN14" s="224">
        <f t="shared" si="185"/>
        <v>0</v>
      </c>
      <c r="QO14" s="224">
        <f t="shared" si="185"/>
        <v>0</v>
      </c>
      <c r="QP14" s="224">
        <f t="shared" si="185"/>
        <v>0</v>
      </c>
      <c r="QQ14" s="224">
        <f t="shared" si="185"/>
        <v>0</v>
      </c>
      <c r="QR14" s="224">
        <f t="shared" si="185"/>
        <v>0</v>
      </c>
      <c r="QS14" s="213">
        <f t="shared" si="135"/>
        <v>0</v>
      </c>
      <c r="QT14" s="224">
        <f t="shared" si="185"/>
        <v>0</v>
      </c>
      <c r="QU14" s="224">
        <f t="shared" si="185"/>
        <v>0</v>
      </c>
      <c r="QV14" s="224">
        <f t="shared" si="185"/>
        <v>0</v>
      </c>
      <c r="QW14" s="224">
        <f t="shared" ref="QW14:QY14" si="186">QW21+QW23+QW24+QW25+QW26+QW22</f>
        <v>0</v>
      </c>
      <c r="QX14" s="224">
        <f t="shared" si="186"/>
        <v>0</v>
      </c>
      <c r="QY14" s="224">
        <f t="shared" si="186"/>
        <v>0</v>
      </c>
      <c r="QZ14" s="213">
        <f t="shared" si="137"/>
        <v>0</v>
      </c>
      <c r="RA14" s="224">
        <f t="shared" ref="RA14:RF14" si="187">RA21+RA23+RA24+RA25+RA26+RA22</f>
        <v>0</v>
      </c>
      <c r="RB14" s="224">
        <f t="shared" si="187"/>
        <v>0</v>
      </c>
      <c r="RC14" s="224">
        <f t="shared" si="187"/>
        <v>0</v>
      </c>
      <c r="RD14" s="224">
        <f t="shared" si="187"/>
        <v>0</v>
      </c>
      <c r="RE14" s="224">
        <f t="shared" si="187"/>
        <v>0</v>
      </c>
      <c r="RF14" s="224">
        <f t="shared" si="187"/>
        <v>0</v>
      </c>
      <c r="RG14" s="213">
        <f t="shared" si="139"/>
        <v>0</v>
      </c>
      <c r="RH14" s="224">
        <f t="shared" ref="RH14:RM14" si="188">RH21+RH23+RH24+RH25+RH26+RH22</f>
        <v>0</v>
      </c>
      <c r="RI14" s="224">
        <f t="shared" si="188"/>
        <v>0</v>
      </c>
      <c r="RJ14" s="224">
        <f t="shared" si="188"/>
        <v>0</v>
      </c>
      <c r="RK14" s="224">
        <f t="shared" si="188"/>
        <v>0</v>
      </c>
      <c r="RL14" s="224">
        <f t="shared" si="188"/>
        <v>0</v>
      </c>
      <c r="RM14" s="224">
        <f t="shared" si="188"/>
        <v>0</v>
      </c>
      <c r="RN14" s="213">
        <f t="shared" si="141"/>
        <v>0</v>
      </c>
      <c r="RO14" s="224">
        <f t="shared" ref="RO14:TZ14" si="189">RO21+RO23+RO24+RO25+RO26+RO22</f>
        <v>0</v>
      </c>
      <c r="RP14" s="224">
        <f t="shared" si="189"/>
        <v>0</v>
      </c>
      <c r="RQ14" s="224">
        <f t="shared" si="189"/>
        <v>0</v>
      </c>
      <c r="RR14" s="224">
        <f t="shared" si="189"/>
        <v>0</v>
      </c>
      <c r="RS14" s="224">
        <f t="shared" si="189"/>
        <v>0</v>
      </c>
      <c r="RT14" s="224">
        <f t="shared" si="189"/>
        <v>0</v>
      </c>
      <c r="RU14" s="213">
        <f t="shared" si="143"/>
        <v>0</v>
      </c>
      <c r="RV14" s="224">
        <f t="shared" si="189"/>
        <v>0</v>
      </c>
      <c r="RW14" s="224">
        <f t="shared" si="189"/>
        <v>0</v>
      </c>
      <c r="RX14" s="224">
        <f t="shared" si="189"/>
        <v>0</v>
      </c>
      <c r="RY14" s="224">
        <f t="shared" si="189"/>
        <v>0</v>
      </c>
      <c r="RZ14" s="224">
        <f t="shared" si="189"/>
        <v>0</v>
      </c>
      <c r="SA14" s="224">
        <f t="shared" si="189"/>
        <v>0</v>
      </c>
      <c r="SB14" s="224">
        <f t="shared" si="189"/>
        <v>0</v>
      </c>
      <c r="SC14" s="213">
        <f t="shared" si="145"/>
        <v>0</v>
      </c>
      <c r="SD14" s="224">
        <f t="shared" si="189"/>
        <v>0</v>
      </c>
      <c r="SE14" s="224">
        <f t="shared" si="189"/>
        <v>0</v>
      </c>
      <c r="SF14" s="224">
        <f t="shared" si="189"/>
        <v>0</v>
      </c>
      <c r="SG14" s="213">
        <f t="shared" si="147"/>
        <v>0</v>
      </c>
      <c r="SH14" s="224">
        <f t="shared" si="189"/>
        <v>0</v>
      </c>
      <c r="SI14" s="224">
        <f t="shared" si="189"/>
        <v>0</v>
      </c>
      <c r="SJ14" s="224">
        <f t="shared" si="189"/>
        <v>0</v>
      </c>
      <c r="SK14" s="224">
        <f t="shared" si="189"/>
        <v>0</v>
      </c>
      <c r="SL14" s="224">
        <f t="shared" si="189"/>
        <v>0</v>
      </c>
      <c r="SM14" s="224">
        <f t="shared" si="189"/>
        <v>0</v>
      </c>
      <c r="SN14" s="213">
        <f t="shared" si="149"/>
        <v>0</v>
      </c>
      <c r="SO14" s="224">
        <f t="shared" si="189"/>
        <v>0</v>
      </c>
      <c r="SP14" s="224">
        <f t="shared" si="189"/>
        <v>0</v>
      </c>
      <c r="SQ14" s="224">
        <f t="shared" si="189"/>
        <v>0</v>
      </c>
      <c r="SR14" s="213">
        <f t="shared" si="151"/>
        <v>0</v>
      </c>
      <c r="SS14" s="224">
        <f t="shared" si="189"/>
        <v>0</v>
      </c>
      <c r="ST14" s="224">
        <f t="shared" si="189"/>
        <v>0</v>
      </c>
      <c r="SU14" s="213">
        <f t="shared" si="153"/>
        <v>0</v>
      </c>
      <c r="SV14" s="224">
        <f t="shared" si="189"/>
        <v>0</v>
      </c>
      <c r="SW14" s="224">
        <f t="shared" si="189"/>
        <v>0</v>
      </c>
      <c r="SX14" s="213">
        <f t="shared" si="155"/>
        <v>0</v>
      </c>
      <c r="SY14" s="224">
        <f t="shared" si="189"/>
        <v>0</v>
      </c>
      <c r="SZ14" s="224">
        <f t="shared" si="189"/>
        <v>0</v>
      </c>
      <c r="TA14" s="213">
        <f t="shared" si="157"/>
        <v>0</v>
      </c>
      <c r="TB14" s="224">
        <f t="shared" si="189"/>
        <v>0</v>
      </c>
      <c r="TC14" s="224">
        <f t="shared" si="189"/>
        <v>0</v>
      </c>
      <c r="TD14" s="224">
        <f t="shared" si="189"/>
        <v>0</v>
      </c>
      <c r="TE14" s="224">
        <f t="shared" si="189"/>
        <v>0</v>
      </c>
      <c r="TF14" s="224">
        <f t="shared" si="189"/>
        <v>0</v>
      </c>
      <c r="TG14" s="224">
        <f t="shared" si="189"/>
        <v>0</v>
      </c>
      <c r="TH14" s="224">
        <f t="shared" si="189"/>
        <v>0</v>
      </c>
      <c r="TI14" s="224">
        <f t="shared" si="189"/>
        <v>0</v>
      </c>
      <c r="TJ14" s="224">
        <f t="shared" si="189"/>
        <v>0</v>
      </c>
      <c r="TK14" s="224">
        <f t="shared" si="189"/>
        <v>0</v>
      </c>
      <c r="TL14" s="224">
        <f t="shared" si="189"/>
        <v>0</v>
      </c>
      <c r="TM14" s="224">
        <f t="shared" si="189"/>
        <v>0</v>
      </c>
      <c r="TN14" s="224">
        <f t="shared" si="189"/>
        <v>0</v>
      </c>
      <c r="TO14" s="224">
        <f t="shared" si="189"/>
        <v>0</v>
      </c>
      <c r="TP14" s="224">
        <f t="shared" si="189"/>
        <v>0</v>
      </c>
      <c r="TQ14" s="224">
        <f t="shared" si="189"/>
        <v>0</v>
      </c>
      <c r="TR14" s="224">
        <f t="shared" si="189"/>
        <v>0</v>
      </c>
      <c r="TS14" s="224">
        <f t="shared" si="189"/>
        <v>0</v>
      </c>
      <c r="TT14" s="224">
        <f t="shared" si="189"/>
        <v>0</v>
      </c>
      <c r="TU14" s="224">
        <f t="shared" si="189"/>
        <v>0</v>
      </c>
      <c r="TV14" s="227">
        <f t="shared" si="189"/>
        <v>0</v>
      </c>
      <c r="TW14" s="224">
        <f t="shared" si="189"/>
        <v>0</v>
      </c>
      <c r="TX14" s="224">
        <f t="shared" si="189"/>
        <v>0</v>
      </c>
      <c r="TY14" s="224">
        <f t="shared" si="189"/>
        <v>0</v>
      </c>
      <c r="TZ14" s="228">
        <f t="shared" si="189"/>
        <v>0</v>
      </c>
      <c r="UA14" s="227">
        <f t="shared" ref="UA14:UC14" si="190">UA21+UA23+UA24+UA25+UA26+UA22</f>
        <v>0</v>
      </c>
      <c r="UB14" s="224">
        <f t="shared" si="190"/>
        <v>0</v>
      </c>
      <c r="UC14" s="228">
        <f t="shared" si="190"/>
        <v>0</v>
      </c>
    </row>
    <row r="15" spans="1:549" s="182" customFormat="1" x14ac:dyDescent="0.25">
      <c r="A15" s="229" t="s">
        <v>232</v>
      </c>
      <c r="B15" s="230"/>
      <c r="C15" s="230" t="s">
        <v>233</v>
      </c>
      <c r="D15" s="36"/>
      <c r="E15" s="229"/>
      <c r="F15" s="229"/>
      <c r="G15" s="229"/>
      <c r="H15" s="219"/>
      <c r="I15" s="229"/>
      <c r="J15" s="229"/>
      <c r="K15" s="229"/>
      <c r="L15" s="219"/>
      <c r="M15" s="229"/>
      <c r="N15" s="229"/>
      <c r="O15" s="219"/>
      <c r="P15" s="229"/>
      <c r="Q15" s="229"/>
      <c r="R15" s="229"/>
      <c r="S15" s="229"/>
      <c r="T15" s="219"/>
      <c r="U15" s="229"/>
      <c r="V15" s="229"/>
      <c r="W15" s="229"/>
      <c r="X15" s="219"/>
      <c r="Y15" s="229"/>
      <c r="Z15" s="229"/>
      <c r="AA15" s="219"/>
      <c r="AB15" s="229"/>
      <c r="AC15" s="229"/>
      <c r="AD15" s="219"/>
      <c r="AE15" s="229"/>
      <c r="AF15" s="229"/>
      <c r="AG15" s="229"/>
      <c r="AH15" s="219"/>
      <c r="AI15" s="229"/>
      <c r="AJ15" s="229"/>
      <c r="AK15" s="229"/>
      <c r="AL15" s="219"/>
      <c r="AM15" s="229"/>
      <c r="AN15" s="229"/>
      <c r="AO15" s="229"/>
      <c r="AP15" s="219"/>
      <c r="AQ15" s="229"/>
      <c r="AR15" s="229"/>
      <c r="AS15" s="229"/>
      <c r="AT15" s="229"/>
      <c r="AU15" s="219"/>
      <c r="AV15" s="229"/>
      <c r="AW15" s="229"/>
      <c r="AX15" s="229"/>
      <c r="AY15" s="229"/>
      <c r="AZ15" s="229"/>
      <c r="BA15" s="229"/>
      <c r="BB15" s="229"/>
      <c r="BC15" s="229"/>
      <c r="BD15" s="219"/>
      <c r="BE15" s="229"/>
      <c r="BF15" s="229"/>
      <c r="BG15" s="229"/>
      <c r="BH15" s="229"/>
      <c r="BI15" s="229"/>
      <c r="BJ15" s="229"/>
      <c r="BK15" s="229"/>
      <c r="BL15" s="219"/>
      <c r="BM15" s="229"/>
      <c r="BN15" s="229"/>
      <c r="BO15" s="229"/>
      <c r="BP15" s="229"/>
      <c r="BQ15" s="229"/>
      <c r="BR15" s="229"/>
      <c r="BS15" s="219"/>
      <c r="BT15" s="229"/>
      <c r="BU15" s="229"/>
      <c r="BV15" s="229"/>
      <c r="BW15" s="219"/>
      <c r="BX15" s="229"/>
      <c r="BY15" s="229"/>
      <c r="BZ15" s="219"/>
      <c r="CA15" s="229"/>
      <c r="CB15" s="229"/>
      <c r="CC15" s="219"/>
      <c r="CD15" s="229"/>
      <c r="CE15" s="229"/>
      <c r="CF15" s="229"/>
      <c r="CG15" s="229"/>
      <c r="CH15" s="229"/>
      <c r="CI15" s="229"/>
      <c r="CJ15" s="229"/>
      <c r="CK15" s="229"/>
      <c r="CL15" s="219"/>
      <c r="CM15" s="229"/>
      <c r="CN15" s="229"/>
      <c r="CO15" s="229"/>
      <c r="CP15" s="229"/>
      <c r="CQ15" s="219"/>
      <c r="CR15" s="229"/>
      <c r="CS15" s="229"/>
      <c r="CT15" s="229"/>
      <c r="CU15" s="229"/>
      <c r="CV15" s="229"/>
      <c r="CW15" s="229"/>
      <c r="CX15" s="219"/>
      <c r="CY15" s="229"/>
      <c r="CZ15" s="229"/>
      <c r="DA15" s="229"/>
      <c r="DB15" s="219"/>
      <c r="DC15" s="229"/>
      <c r="DD15" s="229"/>
      <c r="DE15" s="219"/>
      <c r="DF15" s="229"/>
      <c r="DG15" s="229"/>
      <c r="DH15" s="219"/>
      <c r="DI15" s="229"/>
      <c r="DJ15" s="229"/>
      <c r="DK15" s="219"/>
      <c r="DL15" s="229"/>
      <c r="DM15" s="229"/>
      <c r="DN15" s="229"/>
      <c r="DO15" s="229"/>
      <c r="DP15" s="229"/>
      <c r="DQ15" s="229"/>
      <c r="DR15" s="229"/>
      <c r="DS15" s="229"/>
      <c r="DT15" s="229"/>
      <c r="DU15" s="229"/>
      <c r="DV15" s="229"/>
      <c r="DW15" s="219"/>
      <c r="DX15" s="229"/>
      <c r="DY15" s="229"/>
      <c r="DZ15" s="229"/>
      <c r="EA15" s="219"/>
      <c r="EB15" s="229"/>
      <c r="EC15" s="229"/>
      <c r="ED15" s="229"/>
      <c r="EE15" s="229"/>
      <c r="EF15" s="229"/>
      <c r="EG15" s="229"/>
      <c r="EH15" s="219"/>
      <c r="EI15" s="229"/>
      <c r="EJ15" s="229"/>
      <c r="EK15" s="229"/>
      <c r="EL15" s="219"/>
      <c r="EM15" s="229"/>
      <c r="EN15" s="229"/>
      <c r="EO15" s="219"/>
      <c r="EP15" s="229"/>
      <c r="EQ15" s="229"/>
      <c r="ER15" s="219"/>
      <c r="ES15" s="229"/>
      <c r="ET15" s="229"/>
      <c r="EU15" s="219"/>
      <c r="EV15" s="229"/>
      <c r="EW15" s="229"/>
      <c r="EX15" s="229"/>
      <c r="EY15" s="229"/>
      <c r="EZ15" s="229"/>
      <c r="FA15" s="229"/>
      <c r="FB15" s="229"/>
      <c r="FC15" s="229"/>
      <c r="FD15" s="229"/>
      <c r="FE15" s="229"/>
      <c r="FF15" s="229"/>
      <c r="FG15" s="219"/>
      <c r="FH15" s="229"/>
      <c r="FI15" s="229"/>
      <c r="FJ15" s="229"/>
      <c r="FK15" s="219"/>
      <c r="FL15" s="229"/>
      <c r="FM15" s="229"/>
      <c r="FN15" s="229"/>
      <c r="FO15" s="229"/>
      <c r="FP15" s="229"/>
      <c r="FQ15" s="229"/>
      <c r="FR15" s="219"/>
      <c r="FS15" s="229"/>
      <c r="FT15" s="229"/>
      <c r="FU15" s="229"/>
      <c r="FV15" s="219"/>
      <c r="FW15" s="229"/>
      <c r="FX15" s="229"/>
      <c r="FY15" s="219"/>
      <c r="FZ15" s="229"/>
      <c r="GA15" s="229"/>
      <c r="GB15" s="219"/>
      <c r="GC15" s="229"/>
      <c r="GD15" s="229"/>
      <c r="GE15" s="219"/>
      <c r="GF15" s="229"/>
      <c r="GG15" s="229"/>
      <c r="GH15" s="229"/>
      <c r="GI15" s="229"/>
      <c r="GJ15" s="229"/>
      <c r="GK15" s="229"/>
      <c r="GL15" s="229"/>
      <c r="GM15" s="229"/>
      <c r="GN15" s="219"/>
      <c r="GO15" s="229"/>
      <c r="GP15" s="229"/>
      <c r="GQ15" s="229"/>
      <c r="GR15" s="219"/>
      <c r="GS15" s="229"/>
      <c r="GT15" s="229"/>
      <c r="GU15" s="229"/>
      <c r="GV15" s="229"/>
      <c r="GW15" s="219"/>
      <c r="GX15" s="229"/>
      <c r="GY15" s="229"/>
      <c r="GZ15" s="229"/>
      <c r="HA15" s="229"/>
      <c r="HB15" s="219"/>
      <c r="HC15" s="229"/>
      <c r="HD15" s="229"/>
      <c r="HE15" s="229"/>
      <c r="HF15" s="229"/>
      <c r="HG15" s="219"/>
      <c r="HH15" s="229"/>
      <c r="HI15" s="229"/>
      <c r="HJ15" s="229"/>
      <c r="HK15" s="229"/>
      <c r="HL15" s="219"/>
      <c r="HM15" s="229"/>
      <c r="HN15" s="229"/>
      <c r="HO15" s="229"/>
      <c r="HP15" s="229"/>
      <c r="HQ15" s="219"/>
      <c r="HR15" s="229"/>
      <c r="HS15" s="229"/>
      <c r="HT15" s="229"/>
      <c r="HU15" s="229"/>
      <c r="HV15" s="219"/>
      <c r="HW15" s="229"/>
      <c r="HX15" s="229"/>
      <c r="HY15" s="229"/>
      <c r="HZ15" s="219"/>
      <c r="IA15" s="229"/>
      <c r="IB15" s="229"/>
      <c r="IC15" s="229"/>
      <c r="ID15" s="229"/>
      <c r="IE15" s="219"/>
      <c r="IF15" s="229"/>
      <c r="IG15" s="229"/>
      <c r="IH15" s="229"/>
      <c r="II15" s="229"/>
      <c r="IJ15" s="219"/>
      <c r="IK15" s="229"/>
      <c r="IL15" s="229"/>
      <c r="IM15" s="229"/>
      <c r="IN15" s="229"/>
      <c r="IO15" s="219"/>
      <c r="IP15" s="229"/>
      <c r="IQ15" s="229"/>
      <c r="IR15" s="229"/>
      <c r="IS15" s="229"/>
      <c r="IT15" s="219"/>
      <c r="IU15" s="229"/>
      <c r="IV15" s="229"/>
      <c r="IW15" s="229"/>
      <c r="IX15" s="229"/>
      <c r="IY15" s="229"/>
      <c r="IZ15" s="229"/>
      <c r="JA15" s="229"/>
      <c r="JB15" s="229"/>
      <c r="JC15" s="229"/>
      <c r="JD15" s="229"/>
      <c r="JE15" s="229"/>
      <c r="JF15" s="219"/>
      <c r="JG15" s="229"/>
      <c r="JH15" s="229"/>
      <c r="JI15" s="229"/>
      <c r="JJ15" s="229"/>
      <c r="JK15" s="229"/>
      <c r="JL15" s="229"/>
      <c r="JM15" s="229"/>
      <c r="JN15" s="229"/>
      <c r="JO15" s="229"/>
      <c r="JP15" s="229"/>
      <c r="JQ15" s="229"/>
      <c r="JR15" s="229"/>
      <c r="JS15" s="229"/>
      <c r="JT15" s="229"/>
      <c r="JU15" s="229"/>
      <c r="JV15" s="229"/>
      <c r="JW15" s="229"/>
      <c r="JX15" s="229"/>
      <c r="JY15" s="229"/>
      <c r="JZ15" s="229"/>
      <c r="KA15" s="229"/>
      <c r="KB15" s="229"/>
      <c r="KC15" s="229"/>
      <c r="KD15" s="229"/>
      <c r="KE15" s="229"/>
      <c r="KF15" s="229"/>
      <c r="KG15" s="229"/>
      <c r="KH15" s="229"/>
      <c r="KI15" s="229"/>
      <c r="KJ15" s="229"/>
      <c r="KK15" s="229"/>
      <c r="KL15" s="229"/>
      <c r="KM15" s="229"/>
      <c r="KN15" s="229"/>
      <c r="KO15" s="229"/>
      <c r="KP15" s="229"/>
      <c r="KQ15" s="229"/>
      <c r="KR15" s="229"/>
      <c r="KS15" s="229"/>
      <c r="KT15" s="229"/>
      <c r="KU15" s="229"/>
      <c r="KV15" s="229"/>
      <c r="KW15" s="229"/>
      <c r="KX15" s="229"/>
      <c r="KY15" s="229"/>
      <c r="KZ15" s="219"/>
      <c r="LA15" s="229"/>
      <c r="LB15" s="229"/>
      <c r="LC15" s="229"/>
      <c r="LD15" s="219"/>
      <c r="LE15" s="229"/>
      <c r="LF15" s="229"/>
      <c r="LG15" s="229"/>
      <c r="LH15" s="219"/>
      <c r="LI15" s="229"/>
      <c r="LJ15" s="229"/>
      <c r="LK15" s="229"/>
      <c r="LL15" s="219"/>
      <c r="LM15" s="229"/>
      <c r="LN15" s="229"/>
      <c r="LO15" s="229"/>
      <c r="LP15" s="219"/>
      <c r="LQ15" s="229"/>
      <c r="LR15" s="229"/>
      <c r="LS15" s="229"/>
      <c r="LT15" s="219"/>
      <c r="LU15" s="229"/>
      <c r="LV15" s="229"/>
      <c r="LW15" s="229"/>
      <c r="LX15" s="219"/>
      <c r="LY15" s="229"/>
      <c r="LZ15" s="229"/>
      <c r="MA15" s="229"/>
      <c r="MB15" s="219"/>
      <c r="MC15" s="229"/>
      <c r="MD15" s="219"/>
      <c r="ME15" s="229"/>
      <c r="MF15" s="219"/>
      <c r="MG15" s="229"/>
      <c r="MH15" s="219"/>
      <c r="MI15" s="229"/>
      <c r="MJ15" s="219"/>
      <c r="MK15" s="229"/>
      <c r="ML15" s="219"/>
      <c r="MM15" s="229"/>
      <c r="MN15" s="229"/>
      <c r="MO15" s="229"/>
      <c r="MP15" s="229"/>
      <c r="MQ15" s="229"/>
      <c r="MR15" s="229"/>
      <c r="MS15" s="229"/>
      <c r="MT15" s="229"/>
      <c r="MU15" s="229"/>
      <c r="MV15" s="229"/>
      <c r="MW15" s="219"/>
      <c r="MX15" s="229"/>
      <c r="MY15" s="229"/>
      <c r="MZ15" s="229"/>
      <c r="NA15" s="219"/>
      <c r="NB15" s="229"/>
      <c r="NC15" s="229"/>
      <c r="ND15" s="229"/>
      <c r="NE15" s="219"/>
      <c r="NF15" s="229"/>
      <c r="NG15" s="229"/>
      <c r="NH15" s="229"/>
      <c r="NI15" s="219"/>
      <c r="NJ15" s="229"/>
      <c r="NK15" s="229"/>
      <c r="NL15" s="229"/>
      <c r="NM15" s="219"/>
      <c r="NN15" s="229"/>
      <c r="NO15" s="229"/>
      <c r="NP15" s="229"/>
      <c r="NQ15" s="219"/>
      <c r="NR15" s="229"/>
      <c r="NS15" s="229"/>
      <c r="NT15" s="229"/>
      <c r="NU15" s="219"/>
      <c r="NV15" s="229"/>
      <c r="NW15" s="229"/>
      <c r="NX15" s="229"/>
      <c r="NY15" s="219"/>
      <c r="NZ15" s="229"/>
      <c r="OA15" s="229"/>
      <c r="OB15" s="229"/>
      <c r="OC15" s="219"/>
      <c r="OD15" s="229"/>
      <c r="OE15" s="229"/>
      <c r="OF15" s="229"/>
      <c r="OG15" s="229"/>
      <c r="OH15" s="229"/>
      <c r="OI15" s="229"/>
      <c r="OJ15" s="229"/>
      <c r="OK15" s="229"/>
      <c r="OL15" s="229"/>
      <c r="OM15" s="229"/>
      <c r="ON15" s="229"/>
      <c r="OO15" s="229"/>
      <c r="OP15" s="229"/>
      <c r="OQ15" s="229"/>
      <c r="OR15" s="219"/>
      <c r="OS15" s="229"/>
      <c r="OT15" s="229"/>
      <c r="OU15" s="229"/>
      <c r="OV15" s="229"/>
      <c r="OW15" s="229"/>
      <c r="OX15" s="219"/>
      <c r="OY15" s="229"/>
      <c r="OZ15" s="229"/>
      <c r="PA15" s="229"/>
      <c r="PB15" s="219"/>
      <c r="PC15" s="229"/>
      <c r="PD15" s="229"/>
      <c r="PE15" s="229"/>
      <c r="PF15" s="219"/>
      <c r="PG15" s="229"/>
      <c r="PH15" s="229"/>
      <c r="PI15" s="229"/>
      <c r="PJ15" s="219"/>
      <c r="PK15" s="229"/>
      <c r="PL15" s="229"/>
      <c r="PM15" s="229"/>
      <c r="PN15" s="219"/>
      <c r="PO15" s="229"/>
      <c r="PP15" s="229"/>
      <c r="PQ15" s="229"/>
      <c r="PR15" s="219"/>
      <c r="PS15" s="229"/>
      <c r="PT15" s="229"/>
      <c r="PU15" s="229"/>
      <c r="PV15" s="219"/>
      <c r="PW15" s="229"/>
      <c r="PX15" s="229"/>
      <c r="PY15" s="229"/>
      <c r="PZ15" s="219"/>
      <c r="QA15" s="229"/>
      <c r="QB15" s="229"/>
      <c r="QC15" s="229"/>
      <c r="QD15" s="219"/>
      <c r="QE15" s="229"/>
      <c r="QF15" s="229"/>
      <c r="QG15" s="229"/>
      <c r="QH15" s="229"/>
      <c r="QI15" s="229"/>
      <c r="QJ15" s="229"/>
      <c r="QK15" s="229"/>
      <c r="QL15" s="219"/>
      <c r="QM15" s="229"/>
      <c r="QN15" s="229"/>
      <c r="QO15" s="229"/>
      <c r="QP15" s="229"/>
      <c r="QQ15" s="229"/>
      <c r="QR15" s="229"/>
      <c r="QS15" s="219"/>
      <c r="QT15" s="229"/>
      <c r="QU15" s="229"/>
      <c r="QV15" s="229"/>
      <c r="QW15" s="229"/>
      <c r="QX15" s="229"/>
      <c r="QY15" s="229"/>
      <c r="QZ15" s="219"/>
      <c r="RA15" s="229"/>
      <c r="RB15" s="229"/>
      <c r="RC15" s="229"/>
      <c r="RD15" s="229"/>
      <c r="RE15" s="229"/>
      <c r="RF15" s="229"/>
      <c r="RG15" s="219"/>
      <c r="RH15" s="229"/>
      <c r="RI15" s="229"/>
      <c r="RJ15" s="229"/>
      <c r="RK15" s="229"/>
      <c r="RL15" s="229"/>
      <c r="RM15" s="229"/>
      <c r="RN15" s="219"/>
      <c r="RO15" s="229"/>
      <c r="RP15" s="229"/>
      <c r="RQ15" s="229"/>
      <c r="RR15" s="229"/>
      <c r="RS15" s="229"/>
      <c r="RT15" s="229"/>
      <c r="RU15" s="219"/>
      <c r="RV15" s="229"/>
      <c r="RW15" s="229"/>
      <c r="RX15" s="229"/>
      <c r="RY15" s="229"/>
      <c r="RZ15" s="229"/>
      <c r="SA15" s="229"/>
      <c r="SB15" s="229"/>
      <c r="SC15" s="219"/>
      <c r="SD15" s="229"/>
      <c r="SE15" s="229"/>
      <c r="SF15" s="229"/>
      <c r="SG15" s="219"/>
      <c r="SH15" s="229"/>
      <c r="SI15" s="229"/>
      <c r="SJ15" s="229"/>
      <c r="SK15" s="229"/>
      <c r="SL15" s="229"/>
      <c r="SM15" s="229"/>
      <c r="SN15" s="219"/>
      <c r="SO15" s="229"/>
      <c r="SP15" s="229"/>
      <c r="SQ15" s="229"/>
      <c r="SR15" s="219"/>
      <c r="SS15" s="229"/>
      <c r="ST15" s="229"/>
      <c r="SU15" s="219"/>
      <c r="SV15" s="229"/>
      <c r="SW15" s="229"/>
      <c r="SX15" s="219"/>
      <c r="SY15" s="229"/>
      <c r="SZ15" s="229"/>
      <c r="TA15" s="219"/>
      <c r="TB15" s="229"/>
      <c r="TC15" s="229"/>
      <c r="TD15" s="229"/>
      <c r="TE15" s="229"/>
      <c r="TF15" s="229"/>
      <c r="TG15" s="229"/>
      <c r="TH15" s="229"/>
      <c r="TI15" s="229"/>
      <c r="TJ15" s="229"/>
      <c r="TK15" s="229"/>
      <c r="TL15" s="229"/>
      <c r="TM15" s="229"/>
      <c r="TN15" s="229"/>
      <c r="TO15" s="229"/>
      <c r="TP15" s="229"/>
      <c r="TQ15" s="229"/>
      <c r="TR15" s="229"/>
      <c r="TS15" s="229"/>
      <c r="TT15" s="229"/>
      <c r="TU15" s="229"/>
      <c r="TV15" s="229"/>
      <c r="TW15" s="229"/>
      <c r="TX15" s="229"/>
      <c r="TY15" s="229"/>
      <c r="TZ15" s="229"/>
      <c r="UA15" s="229"/>
      <c r="UB15" s="229"/>
      <c r="UC15" s="229"/>
    </row>
    <row r="16" spans="1:549" s="182" customFormat="1" hidden="1" x14ac:dyDescent="0.25">
      <c r="A16" s="229" t="s">
        <v>234</v>
      </c>
      <c r="B16" s="230"/>
      <c r="C16" s="230" t="s">
        <v>235</v>
      </c>
      <c r="D16" s="36"/>
      <c r="E16" s="229">
        <f>E37+E42+E31+E35+E49+E46+E30+E36+E54</f>
        <v>0</v>
      </c>
      <c r="F16" s="229">
        <f t="shared" ref="F16:G16" si="191">F37+F42+F31+F35+F49+F46+F30+F36+F54</f>
        <v>0</v>
      </c>
      <c r="G16" s="229">
        <f t="shared" si="191"/>
        <v>0</v>
      </c>
      <c r="H16" s="219">
        <f t="shared" si="33"/>
        <v>0</v>
      </c>
      <c r="I16" s="229">
        <f>I37+I42+I31+I35+I49+I46+I30+I36+I54</f>
        <v>0</v>
      </c>
      <c r="J16" s="229">
        <f t="shared" ref="J16:K16" si="192">J37+J42+J31+J35+J49+J46+J30+J36+J54</f>
        <v>0</v>
      </c>
      <c r="K16" s="229">
        <f t="shared" si="192"/>
        <v>0</v>
      </c>
      <c r="L16" s="219">
        <f t="shared" si="34"/>
        <v>0</v>
      </c>
      <c r="M16" s="229">
        <f t="shared" ref="M16:N16" si="193">M37+M42+M31+M35+M49+M46+M30+M36+M54</f>
        <v>0</v>
      </c>
      <c r="N16" s="229">
        <f t="shared" si="193"/>
        <v>0</v>
      </c>
      <c r="O16" s="219">
        <f t="shared" si="35"/>
        <v>0</v>
      </c>
      <c r="P16" s="229">
        <f>P37+P42+P31+P35+P49+P46+P30+P36+P54</f>
        <v>0</v>
      </c>
      <c r="Q16" s="229">
        <f t="shared" ref="Q16:S16" si="194">Q37+Q42+Q31+Q35+Q49+Q46+Q30+Q36+Q54</f>
        <v>0</v>
      </c>
      <c r="R16" s="229">
        <f t="shared" si="194"/>
        <v>0</v>
      </c>
      <c r="S16" s="229">
        <f t="shared" si="194"/>
        <v>0</v>
      </c>
      <c r="T16" s="219">
        <f t="shared" si="36"/>
        <v>0</v>
      </c>
      <c r="U16" s="229">
        <f t="shared" ref="U16:W16" si="195">U37+U42+U31+U35+U49+U46+U30+U36+U54</f>
        <v>0</v>
      </c>
      <c r="V16" s="229">
        <f t="shared" si="195"/>
        <v>0</v>
      </c>
      <c r="W16" s="229">
        <f t="shared" si="195"/>
        <v>0</v>
      </c>
      <c r="X16" s="219">
        <f t="shared" si="37"/>
        <v>0</v>
      </c>
      <c r="Y16" s="229">
        <f t="shared" ref="Y16:Z16" si="196">Y37+Y42+Y31+Y35+Y49+Y46+Y30+Y36+Y54</f>
        <v>0</v>
      </c>
      <c r="Z16" s="229">
        <f t="shared" si="196"/>
        <v>0</v>
      </c>
      <c r="AA16" s="219">
        <f t="shared" si="38"/>
        <v>0</v>
      </c>
      <c r="AB16" s="229">
        <f t="shared" ref="AB16:AC16" si="197">AB37+AB42+AB31+AB35+AB49+AB46+AB30+AB36+AB54</f>
        <v>0</v>
      </c>
      <c r="AC16" s="229">
        <f t="shared" si="197"/>
        <v>0</v>
      </c>
      <c r="AD16" s="219">
        <f t="shared" si="39"/>
        <v>0</v>
      </c>
      <c r="AE16" s="229">
        <f t="shared" ref="AE16:AG16" si="198">AE37+AE42+AE31+AE35+AE49+AE46+AE30+AE36+AE54</f>
        <v>0</v>
      </c>
      <c r="AF16" s="229">
        <f t="shared" si="198"/>
        <v>0</v>
      </c>
      <c r="AG16" s="229">
        <f t="shared" si="198"/>
        <v>0</v>
      </c>
      <c r="AH16" s="219">
        <f t="shared" si="40"/>
        <v>0</v>
      </c>
      <c r="AI16" s="229">
        <f t="shared" ref="AI16:AK16" si="199">AI37+AI42+AI31+AI35+AI49+AI46+AI30+AI36+AI54</f>
        <v>0</v>
      </c>
      <c r="AJ16" s="229">
        <f t="shared" si="199"/>
        <v>0</v>
      </c>
      <c r="AK16" s="229">
        <f t="shared" si="199"/>
        <v>0</v>
      </c>
      <c r="AL16" s="219">
        <f t="shared" si="41"/>
        <v>0</v>
      </c>
      <c r="AM16" s="229">
        <f t="shared" ref="AM16:AO16" si="200">AM37+AM42+AM31+AM35+AM49+AM46+AM30+AM36+AM54</f>
        <v>0</v>
      </c>
      <c r="AN16" s="229">
        <f t="shared" si="200"/>
        <v>0</v>
      </c>
      <c r="AO16" s="229">
        <f t="shared" si="200"/>
        <v>0</v>
      </c>
      <c r="AP16" s="219">
        <f t="shared" si="42"/>
        <v>0</v>
      </c>
      <c r="AQ16" s="229">
        <f t="shared" ref="AQ16:AT16" si="201">AQ37+AQ42+AQ31+AQ35+AQ49+AQ46+AQ30+AQ36+AQ54</f>
        <v>0</v>
      </c>
      <c r="AR16" s="229">
        <f t="shared" si="201"/>
        <v>0</v>
      </c>
      <c r="AS16" s="229">
        <f t="shared" si="201"/>
        <v>0</v>
      </c>
      <c r="AT16" s="229">
        <f t="shared" si="201"/>
        <v>0</v>
      </c>
      <c r="AU16" s="219">
        <f t="shared" si="43"/>
        <v>0</v>
      </c>
      <c r="AV16" s="229">
        <f t="shared" ref="AV16:BC16" si="202">AV37+AV42+AV31+AV35+AV49+AV46+AV30+AV36+AV54</f>
        <v>0</v>
      </c>
      <c r="AW16" s="229">
        <f t="shared" si="202"/>
        <v>0</v>
      </c>
      <c r="AX16" s="229">
        <f t="shared" si="202"/>
        <v>0</v>
      </c>
      <c r="AY16" s="229">
        <f t="shared" si="202"/>
        <v>0</v>
      </c>
      <c r="AZ16" s="229">
        <f t="shared" si="202"/>
        <v>0</v>
      </c>
      <c r="BA16" s="229">
        <f t="shared" si="202"/>
        <v>0</v>
      </c>
      <c r="BB16" s="229">
        <f t="shared" si="202"/>
        <v>0</v>
      </c>
      <c r="BC16" s="229">
        <f t="shared" si="202"/>
        <v>0</v>
      </c>
      <c r="BD16" s="219">
        <f t="shared" si="44"/>
        <v>0</v>
      </c>
      <c r="BE16" s="229">
        <f t="shared" ref="BE16:BK16" si="203">BE37+BE42+BE31+BE35+BE49+BE46+BE30+BE36+BE54</f>
        <v>0</v>
      </c>
      <c r="BF16" s="229">
        <f t="shared" si="203"/>
        <v>0</v>
      </c>
      <c r="BG16" s="229">
        <f t="shared" si="203"/>
        <v>0</v>
      </c>
      <c r="BH16" s="229">
        <f t="shared" si="203"/>
        <v>0</v>
      </c>
      <c r="BI16" s="229">
        <f t="shared" si="203"/>
        <v>0</v>
      </c>
      <c r="BJ16" s="229">
        <f t="shared" si="203"/>
        <v>0</v>
      </c>
      <c r="BK16" s="229">
        <f t="shared" si="203"/>
        <v>0</v>
      </c>
      <c r="BL16" s="219">
        <f t="shared" si="45"/>
        <v>0</v>
      </c>
      <c r="BM16" s="229">
        <f t="shared" ref="BM16:BR16" si="204">BM37+BM42+BM31+BM35+BM49+BM46+BM30+BM36+BM54</f>
        <v>0</v>
      </c>
      <c r="BN16" s="229">
        <f t="shared" si="204"/>
        <v>0</v>
      </c>
      <c r="BO16" s="229">
        <f t="shared" si="204"/>
        <v>0</v>
      </c>
      <c r="BP16" s="229">
        <f t="shared" si="204"/>
        <v>0</v>
      </c>
      <c r="BQ16" s="229">
        <f t="shared" si="204"/>
        <v>0</v>
      </c>
      <c r="BR16" s="229">
        <f t="shared" si="204"/>
        <v>0</v>
      </c>
      <c r="BS16" s="219">
        <f t="shared" si="47"/>
        <v>0</v>
      </c>
      <c r="BT16" s="229">
        <f t="shared" ref="BT16:BV16" si="205">BT37+BT42+BT31+BT35+BT49+BT46+BT30+BT36+BT54</f>
        <v>0</v>
      </c>
      <c r="BU16" s="229">
        <f t="shared" si="205"/>
        <v>0</v>
      </c>
      <c r="BV16" s="229">
        <f t="shared" si="205"/>
        <v>0</v>
      </c>
      <c r="BW16" s="219">
        <f t="shared" si="48"/>
        <v>0</v>
      </c>
      <c r="BX16" s="229">
        <f t="shared" ref="BX16:BY16" si="206">BX37+BX42+BX31+BX35+BX49+BX46+BX30+BX36+BX54</f>
        <v>0</v>
      </c>
      <c r="BY16" s="229">
        <f t="shared" si="206"/>
        <v>0</v>
      </c>
      <c r="BZ16" s="219">
        <f t="shared" si="49"/>
        <v>0</v>
      </c>
      <c r="CA16" s="229">
        <f t="shared" ref="CA16:CB16" si="207">CA37+CA42+CA31+CA35+CA49+CA46+CA30+CA36+CA54</f>
        <v>0</v>
      </c>
      <c r="CB16" s="229">
        <f t="shared" si="207"/>
        <v>0</v>
      </c>
      <c r="CC16" s="219">
        <f t="shared" si="50"/>
        <v>0</v>
      </c>
      <c r="CD16" s="229">
        <f t="shared" ref="CD16:CK16" si="208">CD37+CD42+CD31+CD35+CD49+CD46+CD30+CD36+CD54</f>
        <v>0</v>
      </c>
      <c r="CE16" s="229">
        <f t="shared" si="208"/>
        <v>0</v>
      </c>
      <c r="CF16" s="229">
        <f t="shared" si="208"/>
        <v>0</v>
      </c>
      <c r="CG16" s="229">
        <f t="shared" si="208"/>
        <v>0</v>
      </c>
      <c r="CH16" s="229">
        <f t="shared" si="208"/>
        <v>0</v>
      </c>
      <c r="CI16" s="229">
        <f t="shared" si="208"/>
        <v>0</v>
      </c>
      <c r="CJ16" s="229">
        <f t="shared" si="208"/>
        <v>0</v>
      </c>
      <c r="CK16" s="229">
        <f t="shared" si="208"/>
        <v>0</v>
      </c>
      <c r="CL16" s="219">
        <f t="shared" si="51"/>
        <v>0</v>
      </c>
      <c r="CM16" s="229">
        <f t="shared" ref="CM16:CP16" si="209">CM37+CM42+CM31+CM35+CM49+CM46+CM30+CM36+CM54</f>
        <v>0</v>
      </c>
      <c r="CN16" s="229">
        <f t="shared" si="209"/>
        <v>0</v>
      </c>
      <c r="CO16" s="229">
        <f t="shared" si="209"/>
        <v>0</v>
      </c>
      <c r="CP16" s="229">
        <f t="shared" si="209"/>
        <v>0</v>
      </c>
      <c r="CQ16" s="219">
        <f t="shared" si="52"/>
        <v>0</v>
      </c>
      <c r="CR16" s="229">
        <f t="shared" ref="CR16:CW16" si="210">CR37+CR42+CR31+CR35+CR49+CR46+CR30+CR36+CR54</f>
        <v>0</v>
      </c>
      <c r="CS16" s="229">
        <f t="shared" si="210"/>
        <v>0</v>
      </c>
      <c r="CT16" s="229">
        <f t="shared" si="210"/>
        <v>0</v>
      </c>
      <c r="CU16" s="229">
        <f t="shared" si="210"/>
        <v>0</v>
      </c>
      <c r="CV16" s="229">
        <f t="shared" si="210"/>
        <v>0</v>
      </c>
      <c r="CW16" s="229">
        <f t="shared" si="210"/>
        <v>0</v>
      </c>
      <c r="CX16" s="219">
        <f t="shared" si="53"/>
        <v>0</v>
      </c>
      <c r="CY16" s="229">
        <f t="shared" ref="CY16:DA16" si="211">CY37+CY42+CY31+CY35+CY49+CY46+CY30+CY36+CY54</f>
        <v>0</v>
      </c>
      <c r="CZ16" s="229">
        <f t="shared" si="211"/>
        <v>0</v>
      </c>
      <c r="DA16" s="229">
        <f t="shared" si="211"/>
        <v>0</v>
      </c>
      <c r="DB16" s="219">
        <f t="shared" si="54"/>
        <v>0</v>
      </c>
      <c r="DC16" s="229">
        <f t="shared" ref="DC16:DD16" si="212">DC37+DC42+DC31+DC35+DC49+DC46+DC30+DC36+DC54</f>
        <v>0</v>
      </c>
      <c r="DD16" s="229">
        <f t="shared" si="212"/>
        <v>0</v>
      </c>
      <c r="DE16" s="219">
        <f t="shared" si="55"/>
        <v>0</v>
      </c>
      <c r="DF16" s="229">
        <f t="shared" ref="DF16:DG16" si="213">DF37+DF42+DF31+DF35+DF49+DF46+DF30+DF36+DF54</f>
        <v>0</v>
      </c>
      <c r="DG16" s="229">
        <f t="shared" si="213"/>
        <v>0</v>
      </c>
      <c r="DH16" s="219">
        <f t="shared" si="56"/>
        <v>0</v>
      </c>
      <c r="DI16" s="229">
        <f t="shared" ref="DI16:DJ16" si="214">DI37+DI42+DI31+DI35+DI49+DI46+DI30+DI36+DI54</f>
        <v>0</v>
      </c>
      <c r="DJ16" s="229">
        <f t="shared" si="214"/>
        <v>0</v>
      </c>
      <c r="DK16" s="219">
        <f t="shared" si="57"/>
        <v>0</v>
      </c>
      <c r="DL16" s="229">
        <f t="shared" ref="DL16:DV16" si="215">DL37+DL42+DL31+DL35+DL49+DL46+DL30+DL36+DL54</f>
        <v>0</v>
      </c>
      <c r="DM16" s="229">
        <f t="shared" si="215"/>
        <v>0</v>
      </c>
      <c r="DN16" s="229">
        <f t="shared" si="215"/>
        <v>0</v>
      </c>
      <c r="DO16" s="229">
        <f t="shared" si="215"/>
        <v>0</v>
      </c>
      <c r="DP16" s="229">
        <f t="shared" si="215"/>
        <v>0</v>
      </c>
      <c r="DQ16" s="229">
        <f t="shared" si="215"/>
        <v>0</v>
      </c>
      <c r="DR16" s="229">
        <f t="shared" si="215"/>
        <v>0</v>
      </c>
      <c r="DS16" s="229">
        <f t="shared" si="215"/>
        <v>0</v>
      </c>
      <c r="DT16" s="229">
        <f t="shared" si="215"/>
        <v>0</v>
      </c>
      <c r="DU16" s="229">
        <f t="shared" si="215"/>
        <v>0</v>
      </c>
      <c r="DV16" s="229">
        <f t="shared" si="215"/>
        <v>0</v>
      </c>
      <c r="DW16" s="219">
        <f t="shared" si="58"/>
        <v>0</v>
      </c>
      <c r="DX16" s="229">
        <f t="shared" ref="DX16:DZ16" si="216">DX37+DX42+DX31+DX35+DX49+DX46+DX30+DX36+DX54</f>
        <v>0</v>
      </c>
      <c r="DY16" s="229">
        <f t="shared" si="216"/>
        <v>0</v>
      </c>
      <c r="DZ16" s="229">
        <f t="shared" si="216"/>
        <v>0</v>
      </c>
      <c r="EA16" s="219">
        <f t="shared" si="59"/>
        <v>0</v>
      </c>
      <c r="EB16" s="229">
        <f t="shared" ref="EB16:EG16" si="217">EB37+EB42+EB31+EB35+EB49+EB46+EB30+EB36+EB54</f>
        <v>0</v>
      </c>
      <c r="EC16" s="229">
        <f t="shared" si="217"/>
        <v>0</v>
      </c>
      <c r="ED16" s="229">
        <f t="shared" si="217"/>
        <v>0</v>
      </c>
      <c r="EE16" s="229">
        <f t="shared" si="217"/>
        <v>0</v>
      </c>
      <c r="EF16" s="229">
        <f t="shared" si="217"/>
        <v>0</v>
      </c>
      <c r="EG16" s="229">
        <f t="shared" si="217"/>
        <v>0</v>
      </c>
      <c r="EH16" s="219">
        <f t="shared" si="61"/>
        <v>0</v>
      </c>
      <c r="EI16" s="229">
        <f t="shared" ref="EI16:EK16" si="218">EI37+EI42+EI31+EI35+EI49+EI46+EI30+EI36+EI54</f>
        <v>0</v>
      </c>
      <c r="EJ16" s="229">
        <f t="shared" si="218"/>
        <v>0</v>
      </c>
      <c r="EK16" s="229">
        <f t="shared" si="218"/>
        <v>0</v>
      </c>
      <c r="EL16" s="219">
        <f t="shared" si="62"/>
        <v>0</v>
      </c>
      <c r="EM16" s="229">
        <f t="shared" ref="EM16:EN16" si="219">EM37+EM42+EM31+EM35+EM49+EM46+EM30+EM36+EM54</f>
        <v>0</v>
      </c>
      <c r="EN16" s="229">
        <f t="shared" si="219"/>
        <v>0</v>
      </c>
      <c r="EO16" s="219">
        <f t="shared" si="63"/>
        <v>0</v>
      </c>
      <c r="EP16" s="229">
        <f t="shared" ref="EP16:EQ16" si="220">EP37+EP42+EP31+EP35+EP49+EP46+EP30+EP36+EP54</f>
        <v>0</v>
      </c>
      <c r="EQ16" s="229">
        <f t="shared" si="220"/>
        <v>0</v>
      </c>
      <c r="ER16" s="219">
        <f t="shared" si="64"/>
        <v>0</v>
      </c>
      <c r="ES16" s="229">
        <f t="shared" ref="ES16:ET16" si="221">ES37+ES42+ES31+ES35+ES49+ES46+ES30+ES36+ES54</f>
        <v>0</v>
      </c>
      <c r="ET16" s="229">
        <f t="shared" si="221"/>
        <v>0</v>
      </c>
      <c r="EU16" s="219">
        <f t="shared" si="65"/>
        <v>0</v>
      </c>
      <c r="EV16" s="229">
        <f t="shared" ref="EV16:FF16" si="222">EV37+EV42+EV31+EV35+EV49+EV46+EV30+EV36+EV54</f>
        <v>0</v>
      </c>
      <c r="EW16" s="229">
        <f t="shared" si="222"/>
        <v>0</v>
      </c>
      <c r="EX16" s="229">
        <f t="shared" si="222"/>
        <v>0</v>
      </c>
      <c r="EY16" s="229">
        <f t="shared" si="222"/>
        <v>0</v>
      </c>
      <c r="EZ16" s="229">
        <f t="shared" si="222"/>
        <v>0</v>
      </c>
      <c r="FA16" s="229">
        <f t="shared" si="222"/>
        <v>0</v>
      </c>
      <c r="FB16" s="229">
        <f t="shared" si="222"/>
        <v>0</v>
      </c>
      <c r="FC16" s="229">
        <f t="shared" si="222"/>
        <v>0</v>
      </c>
      <c r="FD16" s="229">
        <f t="shared" si="222"/>
        <v>0</v>
      </c>
      <c r="FE16" s="229">
        <f t="shared" si="222"/>
        <v>0</v>
      </c>
      <c r="FF16" s="229">
        <f t="shared" si="222"/>
        <v>0</v>
      </c>
      <c r="FG16" s="219">
        <f t="shared" si="66"/>
        <v>0</v>
      </c>
      <c r="FH16" s="229">
        <f t="shared" ref="FH16:FJ16" si="223">FH37+FH42+FH31+FH35+FH49+FH46+FH30+FH36+FH54</f>
        <v>0</v>
      </c>
      <c r="FI16" s="229">
        <f t="shared" si="223"/>
        <v>0</v>
      </c>
      <c r="FJ16" s="229">
        <f t="shared" si="223"/>
        <v>0</v>
      </c>
      <c r="FK16" s="219">
        <f t="shared" si="67"/>
        <v>0</v>
      </c>
      <c r="FL16" s="229">
        <f t="shared" ref="FL16:FQ16" si="224">FL37+FL42+FL31+FL35+FL49+FL46+FL30+FL36+FL54</f>
        <v>0</v>
      </c>
      <c r="FM16" s="229">
        <f t="shared" si="224"/>
        <v>0</v>
      </c>
      <c r="FN16" s="229">
        <f t="shared" si="224"/>
        <v>0</v>
      </c>
      <c r="FO16" s="229">
        <f t="shared" si="224"/>
        <v>0</v>
      </c>
      <c r="FP16" s="229">
        <f t="shared" si="224"/>
        <v>0</v>
      </c>
      <c r="FQ16" s="229">
        <f t="shared" si="224"/>
        <v>0</v>
      </c>
      <c r="FR16" s="219">
        <f t="shared" si="68"/>
        <v>0</v>
      </c>
      <c r="FS16" s="229">
        <f t="shared" ref="FS16:FU16" si="225">FS37+FS42+FS31+FS35+FS49+FS46+FS30+FS36+FS54</f>
        <v>0</v>
      </c>
      <c r="FT16" s="229">
        <f t="shared" si="225"/>
        <v>0</v>
      </c>
      <c r="FU16" s="229">
        <f t="shared" si="225"/>
        <v>0</v>
      </c>
      <c r="FV16" s="219">
        <f t="shared" si="69"/>
        <v>0</v>
      </c>
      <c r="FW16" s="229">
        <f t="shared" ref="FW16:FX16" si="226">FW37+FW42+FW31+FW35+FW49+FW46+FW30+FW36+FW54</f>
        <v>0</v>
      </c>
      <c r="FX16" s="229">
        <f t="shared" si="226"/>
        <v>0</v>
      </c>
      <c r="FY16" s="219">
        <f t="shared" si="70"/>
        <v>0</v>
      </c>
      <c r="FZ16" s="229">
        <f t="shared" ref="FZ16:GA16" si="227">FZ37+FZ42+FZ31+FZ35+FZ49+FZ46+FZ30+FZ36+FZ54</f>
        <v>0</v>
      </c>
      <c r="GA16" s="229">
        <f t="shared" si="227"/>
        <v>0</v>
      </c>
      <c r="GB16" s="219">
        <f t="shared" si="71"/>
        <v>0</v>
      </c>
      <c r="GC16" s="229">
        <f t="shared" ref="GC16:GD16" si="228">GC37+GC42+GC31+GC35+GC49+GC46+GC30+GC36+GC54</f>
        <v>0</v>
      </c>
      <c r="GD16" s="229">
        <f t="shared" si="228"/>
        <v>0</v>
      </c>
      <c r="GE16" s="219">
        <f t="shared" si="72"/>
        <v>0</v>
      </c>
      <c r="GF16" s="229">
        <f t="shared" ref="GF16:GM16" si="229">GF37+GF42+GF31+GF35+GF49+GF46+GF30+GF36+GF54</f>
        <v>0</v>
      </c>
      <c r="GG16" s="229">
        <f t="shared" si="229"/>
        <v>0</v>
      </c>
      <c r="GH16" s="229">
        <f t="shared" si="229"/>
        <v>0</v>
      </c>
      <c r="GI16" s="229">
        <f t="shared" si="229"/>
        <v>0</v>
      </c>
      <c r="GJ16" s="229">
        <f t="shared" si="229"/>
        <v>0</v>
      </c>
      <c r="GK16" s="229">
        <f t="shared" si="229"/>
        <v>0</v>
      </c>
      <c r="GL16" s="229">
        <f t="shared" si="229"/>
        <v>0</v>
      </c>
      <c r="GM16" s="229">
        <f t="shared" si="229"/>
        <v>0</v>
      </c>
      <c r="GN16" s="219">
        <f t="shared" si="73"/>
        <v>0</v>
      </c>
      <c r="GO16" s="229">
        <f t="shared" ref="GO16:GQ16" si="230">GO37+GO42+GO31+GO35+GO49+GO46+GO30+GO36+GO54</f>
        <v>0</v>
      </c>
      <c r="GP16" s="229">
        <f t="shared" si="230"/>
        <v>0</v>
      </c>
      <c r="GQ16" s="229">
        <f t="shared" si="230"/>
        <v>0</v>
      </c>
      <c r="GR16" s="219">
        <f t="shared" si="3"/>
        <v>0</v>
      </c>
      <c r="GS16" s="229">
        <f t="shared" ref="GS16:GV16" si="231">GS37+GS42+GS31+GS35+GS49+GS46+GS30+GS36+GS54</f>
        <v>0</v>
      </c>
      <c r="GT16" s="229">
        <f t="shared" si="231"/>
        <v>0</v>
      </c>
      <c r="GU16" s="229">
        <f t="shared" si="231"/>
        <v>0</v>
      </c>
      <c r="GV16" s="229">
        <f t="shared" si="231"/>
        <v>0</v>
      </c>
      <c r="GW16" s="219">
        <f t="shared" si="75"/>
        <v>0</v>
      </c>
      <c r="GX16" s="229">
        <f t="shared" ref="GX16:HA16" si="232">GX37+GX42+GX31+GX35+GX49+GX46+GX30+GX36+GX54</f>
        <v>0</v>
      </c>
      <c r="GY16" s="229">
        <f t="shared" si="232"/>
        <v>0</v>
      </c>
      <c r="GZ16" s="229">
        <f t="shared" si="232"/>
        <v>0</v>
      </c>
      <c r="HA16" s="229">
        <f t="shared" si="232"/>
        <v>0</v>
      </c>
      <c r="HB16" s="219">
        <f t="shared" si="76"/>
        <v>0</v>
      </c>
      <c r="HC16" s="229">
        <f t="shared" ref="HC16:HF16" si="233">HC37+HC42+HC31+HC35+HC49+HC46+HC30+HC36+HC54</f>
        <v>0</v>
      </c>
      <c r="HD16" s="229">
        <f t="shared" si="233"/>
        <v>0</v>
      </c>
      <c r="HE16" s="229">
        <f t="shared" si="233"/>
        <v>0</v>
      </c>
      <c r="HF16" s="229">
        <f t="shared" si="233"/>
        <v>0</v>
      </c>
      <c r="HG16" s="219">
        <f t="shared" si="77"/>
        <v>0</v>
      </c>
      <c r="HH16" s="229">
        <f t="shared" ref="HH16:HK16" si="234">HH37+HH42+HH31+HH35+HH49+HH46+HH30+HH36+HH54</f>
        <v>0</v>
      </c>
      <c r="HI16" s="229">
        <f t="shared" si="234"/>
        <v>0</v>
      </c>
      <c r="HJ16" s="229">
        <f t="shared" si="234"/>
        <v>0</v>
      </c>
      <c r="HK16" s="229">
        <f t="shared" si="234"/>
        <v>0</v>
      </c>
      <c r="HL16" s="219">
        <f t="shared" si="78"/>
        <v>0</v>
      </c>
      <c r="HM16" s="229">
        <f t="shared" ref="HM16:HP16" si="235">HM37+HM42+HM31+HM35+HM49+HM46+HM30+HM36+HM54</f>
        <v>0</v>
      </c>
      <c r="HN16" s="229">
        <f t="shared" si="235"/>
        <v>0</v>
      </c>
      <c r="HO16" s="229">
        <f t="shared" si="235"/>
        <v>0</v>
      </c>
      <c r="HP16" s="229">
        <f t="shared" si="235"/>
        <v>0</v>
      </c>
      <c r="HQ16" s="219">
        <f t="shared" si="79"/>
        <v>0</v>
      </c>
      <c r="HR16" s="229">
        <f t="shared" ref="HR16:HU16" si="236">HR37+HR42+HR31+HR35+HR49+HR46+HR30+HR36+HR54</f>
        <v>0</v>
      </c>
      <c r="HS16" s="229">
        <f t="shared" si="236"/>
        <v>0</v>
      </c>
      <c r="HT16" s="229">
        <f t="shared" si="236"/>
        <v>0</v>
      </c>
      <c r="HU16" s="229">
        <f t="shared" si="236"/>
        <v>0</v>
      </c>
      <c r="HV16" s="219">
        <f t="shared" si="80"/>
        <v>0</v>
      </c>
      <c r="HW16" s="229">
        <f t="shared" ref="HW16:HY16" si="237">HW37+HW42+HW31+HW35+HW49+HW46+HW30+HW36+HW54</f>
        <v>0</v>
      </c>
      <c r="HX16" s="229">
        <f t="shared" si="237"/>
        <v>0</v>
      </c>
      <c r="HY16" s="229">
        <f t="shared" si="237"/>
        <v>0</v>
      </c>
      <c r="HZ16" s="219">
        <f t="shared" si="81"/>
        <v>0</v>
      </c>
      <c r="IA16" s="229">
        <f t="shared" ref="IA16:ID16" si="238">IA37+IA42+IA31+IA35+IA49+IA46+IA30+IA36+IA54</f>
        <v>0</v>
      </c>
      <c r="IB16" s="229">
        <f t="shared" si="238"/>
        <v>0</v>
      </c>
      <c r="IC16" s="229">
        <f t="shared" si="238"/>
        <v>0</v>
      </c>
      <c r="ID16" s="229">
        <f t="shared" si="238"/>
        <v>0</v>
      </c>
      <c r="IE16" s="219">
        <f t="shared" si="82"/>
        <v>0</v>
      </c>
      <c r="IF16" s="229">
        <f t="shared" ref="IF16:II16" si="239">IF37+IF42+IF31+IF35+IF49+IF46+IF30+IF36+IF54</f>
        <v>0</v>
      </c>
      <c r="IG16" s="229">
        <f t="shared" si="239"/>
        <v>0</v>
      </c>
      <c r="IH16" s="229">
        <f t="shared" si="239"/>
        <v>0</v>
      </c>
      <c r="II16" s="229">
        <f t="shared" si="239"/>
        <v>0</v>
      </c>
      <c r="IJ16" s="219">
        <f t="shared" si="83"/>
        <v>0</v>
      </c>
      <c r="IK16" s="229">
        <f t="shared" ref="IK16:IN16" si="240">IK37+IK42+IK31+IK35+IK49+IK46+IK30+IK36+IK54</f>
        <v>0</v>
      </c>
      <c r="IL16" s="229">
        <f t="shared" si="240"/>
        <v>0</v>
      </c>
      <c r="IM16" s="229">
        <f t="shared" si="240"/>
        <v>0</v>
      </c>
      <c r="IN16" s="229">
        <f t="shared" si="240"/>
        <v>0</v>
      </c>
      <c r="IO16" s="219">
        <f t="shared" si="84"/>
        <v>0</v>
      </c>
      <c r="IP16" s="229">
        <f t="shared" ref="IP16:IS16" si="241">IP37+IP42+IP31+IP35+IP49+IP46+IP30+IP36+IP54</f>
        <v>0</v>
      </c>
      <c r="IQ16" s="229">
        <f t="shared" si="241"/>
        <v>0</v>
      </c>
      <c r="IR16" s="229">
        <f t="shared" si="241"/>
        <v>0</v>
      </c>
      <c r="IS16" s="229">
        <f t="shared" si="241"/>
        <v>0</v>
      </c>
      <c r="IT16" s="219">
        <f t="shared" si="85"/>
        <v>0</v>
      </c>
      <c r="IU16" s="229">
        <f t="shared" ref="IU16:IW16" si="242">IU37+IU42+IU31+IU35+IU49+IU46+IU30+IU36+IU54</f>
        <v>0</v>
      </c>
      <c r="IV16" s="229">
        <f t="shared" si="242"/>
        <v>0</v>
      </c>
      <c r="IW16" s="229">
        <f t="shared" si="242"/>
        <v>0</v>
      </c>
      <c r="IX16" s="219">
        <f t="shared" si="86"/>
        <v>0</v>
      </c>
      <c r="IY16" s="229">
        <f t="shared" ref="IY16:JA16" si="243">IY37+IY42+IY31+IY35+IY49+IY46+IY30+IY36+IY54</f>
        <v>0</v>
      </c>
      <c r="IZ16" s="229">
        <f t="shared" si="243"/>
        <v>0</v>
      </c>
      <c r="JA16" s="229">
        <f t="shared" si="243"/>
        <v>0</v>
      </c>
      <c r="JB16" s="219">
        <f t="shared" si="87"/>
        <v>0</v>
      </c>
      <c r="JC16" s="229">
        <f t="shared" ref="JC16:JE16" si="244">JC37+JC42+JC31+JC35+JC49+JC46+JC30+JC36+JC54</f>
        <v>0</v>
      </c>
      <c r="JD16" s="229">
        <f t="shared" si="244"/>
        <v>0</v>
      </c>
      <c r="JE16" s="229">
        <f t="shared" si="244"/>
        <v>0</v>
      </c>
      <c r="JF16" s="219">
        <f t="shared" si="88"/>
        <v>0</v>
      </c>
      <c r="JG16" s="229">
        <f t="shared" ref="JG16:KY16" si="245">JG37+JG42+JG31+JG35+JG49+JG46+JG30+JG36+JG54</f>
        <v>0</v>
      </c>
      <c r="JH16" s="229">
        <f t="shared" si="245"/>
        <v>0</v>
      </c>
      <c r="JI16" s="229">
        <f t="shared" si="245"/>
        <v>0</v>
      </c>
      <c r="JJ16" s="229">
        <f t="shared" si="245"/>
        <v>0</v>
      </c>
      <c r="JK16" s="229">
        <f t="shared" si="245"/>
        <v>0</v>
      </c>
      <c r="JL16" s="229">
        <f t="shared" si="245"/>
        <v>0</v>
      </c>
      <c r="JM16" s="229">
        <f t="shared" si="245"/>
        <v>0</v>
      </c>
      <c r="JN16" s="229">
        <f t="shared" si="245"/>
        <v>0</v>
      </c>
      <c r="JO16" s="229">
        <f t="shared" si="245"/>
        <v>0</v>
      </c>
      <c r="JP16" s="229">
        <f t="shared" si="245"/>
        <v>0</v>
      </c>
      <c r="JQ16" s="229">
        <f t="shared" si="245"/>
        <v>0</v>
      </c>
      <c r="JR16" s="229">
        <f t="shared" si="245"/>
        <v>0</v>
      </c>
      <c r="JS16" s="229">
        <f t="shared" si="245"/>
        <v>0</v>
      </c>
      <c r="JT16" s="229">
        <f t="shared" si="245"/>
        <v>0</v>
      </c>
      <c r="JU16" s="229">
        <f t="shared" si="245"/>
        <v>0</v>
      </c>
      <c r="JV16" s="229">
        <f t="shared" si="245"/>
        <v>0</v>
      </c>
      <c r="JW16" s="229">
        <f t="shared" si="245"/>
        <v>0</v>
      </c>
      <c r="JX16" s="229">
        <f t="shared" si="245"/>
        <v>0</v>
      </c>
      <c r="JY16" s="229">
        <f t="shared" si="245"/>
        <v>0</v>
      </c>
      <c r="JZ16" s="229">
        <f t="shared" si="245"/>
        <v>0</v>
      </c>
      <c r="KA16" s="229">
        <f t="shared" si="245"/>
        <v>0</v>
      </c>
      <c r="KB16" s="229">
        <f t="shared" si="245"/>
        <v>0</v>
      </c>
      <c r="KC16" s="229">
        <f t="shared" si="245"/>
        <v>0</v>
      </c>
      <c r="KD16" s="229">
        <f t="shared" si="245"/>
        <v>0</v>
      </c>
      <c r="KE16" s="229">
        <f t="shared" si="245"/>
        <v>0</v>
      </c>
      <c r="KF16" s="229">
        <f t="shared" si="245"/>
        <v>0</v>
      </c>
      <c r="KG16" s="229">
        <f t="shared" si="245"/>
        <v>0</v>
      </c>
      <c r="KH16" s="229">
        <f t="shared" si="245"/>
        <v>0</v>
      </c>
      <c r="KI16" s="229">
        <f t="shared" si="245"/>
        <v>0</v>
      </c>
      <c r="KJ16" s="229">
        <f t="shared" si="245"/>
        <v>0</v>
      </c>
      <c r="KK16" s="229">
        <f t="shared" si="245"/>
        <v>0</v>
      </c>
      <c r="KL16" s="229">
        <f t="shared" si="245"/>
        <v>0</v>
      </c>
      <c r="KM16" s="229">
        <f t="shared" si="245"/>
        <v>0</v>
      </c>
      <c r="KN16" s="229">
        <f t="shared" si="245"/>
        <v>0</v>
      </c>
      <c r="KO16" s="229">
        <f t="shared" si="245"/>
        <v>0</v>
      </c>
      <c r="KP16" s="229">
        <f t="shared" si="245"/>
        <v>0</v>
      </c>
      <c r="KQ16" s="229">
        <f t="shared" si="245"/>
        <v>0</v>
      </c>
      <c r="KR16" s="229">
        <f t="shared" si="245"/>
        <v>0</v>
      </c>
      <c r="KS16" s="229">
        <f t="shared" si="245"/>
        <v>0</v>
      </c>
      <c r="KT16" s="229">
        <f t="shared" si="245"/>
        <v>0</v>
      </c>
      <c r="KU16" s="229">
        <f t="shared" si="245"/>
        <v>0</v>
      </c>
      <c r="KV16" s="229">
        <f t="shared" si="245"/>
        <v>0</v>
      </c>
      <c r="KW16" s="229">
        <f t="shared" si="245"/>
        <v>0</v>
      </c>
      <c r="KX16" s="229">
        <f t="shared" si="245"/>
        <v>0</v>
      </c>
      <c r="KY16" s="229">
        <f t="shared" si="245"/>
        <v>0</v>
      </c>
      <c r="KZ16" s="219">
        <f t="shared" si="90"/>
        <v>0</v>
      </c>
      <c r="LA16" s="229">
        <f t="shared" ref="LA16:LC16" si="246">LA37+LA42+LA31+LA35+LA49+LA46+LA30+LA36+LA54</f>
        <v>0</v>
      </c>
      <c r="LB16" s="229">
        <f t="shared" si="246"/>
        <v>0</v>
      </c>
      <c r="LC16" s="229">
        <f t="shared" si="246"/>
        <v>0</v>
      </c>
      <c r="LD16" s="219">
        <f t="shared" si="91"/>
        <v>0</v>
      </c>
      <c r="LE16" s="229">
        <f t="shared" ref="LE16:LG16" si="247">LE37+LE42+LE31+LE35+LE49+LE46+LE30+LE36+LE54</f>
        <v>0</v>
      </c>
      <c r="LF16" s="229">
        <f t="shared" si="247"/>
        <v>0</v>
      </c>
      <c r="LG16" s="229">
        <f t="shared" si="247"/>
        <v>0</v>
      </c>
      <c r="LH16" s="219">
        <f t="shared" si="92"/>
        <v>0</v>
      </c>
      <c r="LI16" s="229">
        <f t="shared" ref="LI16:LK16" si="248">LI37+LI42+LI31+LI35+LI49+LI46+LI30+LI36+LI54</f>
        <v>0</v>
      </c>
      <c r="LJ16" s="229">
        <f t="shared" si="248"/>
        <v>0</v>
      </c>
      <c r="LK16" s="229">
        <f t="shared" si="248"/>
        <v>0</v>
      </c>
      <c r="LL16" s="219">
        <f t="shared" si="93"/>
        <v>0</v>
      </c>
      <c r="LM16" s="229">
        <f t="shared" ref="LM16:LO16" si="249">LM37+LM42+LM31+LM35+LM49+LM46+LM30+LM36+LM54</f>
        <v>0</v>
      </c>
      <c r="LN16" s="229">
        <f t="shared" si="249"/>
        <v>0</v>
      </c>
      <c r="LO16" s="229">
        <f t="shared" si="249"/>
        <v>0</v>
      </c>
      <c r="LP16" s="219">
        <f t="shared" si="94"/>
        <v>0</v>
      </c>
      <c r="LQ16" s="229">
        <f t="shared" ref="LQ16:LS16" si="250">LQ37+LQ42+LQ31+LQ35+LQ49+LQ46+LQ30+LQ36+LQ54</f>
        <v>0</v>
      </c>
      <c r="LR16" s="229">
        <f t="shared" si="250"/>
        <v>0</v>
      </c>
      <c r="LS16" s="229">
        <f t="shared" si="250"/>
        <v>0</v>
      </c>
      <c r="LT16" s="219">
        <f t="shared" si="95"/>
        <v>0</v>
      </c>
      <c r="LU16" s="229">
        <f t="shared" ref="LU16:LW16" si="251">LU37+LU42+LU31+LU35+LU49+LU46+LU30+LU36+LU54</f>
        <v>0</v>
      </c>
      <c r="LV16" s="229">
        <f t="shared" si="251"/>
        <v>0</v>
      </c>
      <c r="LW16" s="229">
        <f t="shared" si="251"/>
        <v>0</v>
      </c>
      <c r="LX16" s="219">
        <f t="shared" si="96"/>
        <v>0</v>
      </c>
      <c r="LY16" s="229">
        <f t="shared" ref="LY16:MA16" si="252">LY37+LY42+LY31+LY35+LY49+LY46+LY30+LY36+LY54</f>
        <v>0</v>
      </c>
      <c r="LZ16" s="229">
        <f t="shared" si="252"/>
        <v>0</v>
      </c>
      <c r="MA16" s="229">
        <f t="shared" si="252"/>
        <v>0</v>
      </c>
      <c r="MB16" s="219">
        <f t="shared" si="97"/>
        <v>0</v>
      </c>
      <c r="MC16" s="229">
        <f t="shared" ref="MC16" si="253">MC37+MC42+MC31+MC35+MC49+MC46+MC30+MC36+MC54</f>
        <v>0</v>
      </c>
      <c r="MD16" s="219">
        <f t="shared" si="98"/>
        <v>0</v>
      </c>
      <c r="ME16" s="229">
        <f t="shared" ref="ME16" si="254">ME37+ME42+ME31+ME35+ME49+ME46+ME30+ME36+ME54</f>
        <v>0</v>
      </c>
      <c r="MF16" s="219">
        <f t="shared" si="100"/>
        <v>0</v>
      </c>
      <c r="MG16" s="229">
        <f t="shared" ref="MG16" si="255">MG37+MG42+MG31+MG35+MG49+MG46+MG30+MG36+MG54</f>
        <v>0</v>
      </c>
      <c r="MH16" s="219">
        <f t="shared" si="101"/>
        <v>0</v>
      </c>
      <c r="MI16" s="229">
        <f t="shared" ref="MI16" si="256">MI37+MI42+MI31+MI35+MI49+MI46+MI30+MI36+MI54</f>
        <v>0</v>
      </c>
      <c r="MJ16" s="219">
        <f t="shared" si="102"/>
        <v>0</v>
      </c>
      <c r="MK16" s="229">
        <f t="shared" ref="MK16" si="257">MK37+MK42+MK31+MK35+MK49+MK46+MK30+MK36+MK54</f>
        <v>0</v>
      </c>
      <c r="ML16" s="219">
        <f t="shared" si="103"/>
        <v>0</v>
      </c>
      <c r="MM16" s="229">
        <f t="shared" ref="MM16:MV16" si="258">MM37+MM42+MM31+MM35+MM49+MM46+MM30+MM36+MM54</f>
        <v>0</v>
      </c>
      <c r="MN16" s="229">
        <f t="shared" si="258"/>
        <v>0</v>
      </c>
      <c r="MO16" s="229">
        <f t="shared" si="258"/>
        <v>0</v>
      </c>
      <c r="MP16" s="229">
        <f t="shared" si="258"/>
        <v>0</v>
      </c>
      <c r="MQ16" s="229">
        <f t="shared" si="258"/>
        <v>0</v>
      </c>
      <c r="MR16" s="229">
        <f t="shared" si="258"/>
        <v>0</v>
      </c>
      <c r="MS16" s="229">
        <f t="shared" si="258"/>
        <v>0</v>
      </c>
      <c r="MT16" s="229">
        <f t="shared" si="258"/>
        <v>0</v>
      </c>
      <c r="MU16" s="229">
        <f t="shared" si="258"/>
        <v>0</v>
      </c>
      <c r="MV16" s="229">
        <f t="shared" si="258"/>
        <v>0</v>
      </c>
      <c r="MW16" s="219">
        <f t="shared" si="104"/>
        <v>0</v>
      </c>
      <c r="MX16" s="229">
        <f t="shared" ref="MX16:MZ16" si="259">MX37+MX42+MX31+MX35+MX49+MX46+MX30+MX36+MX54</f>
        <v>0</v>
      </c>
      <c r="MY16" s="229">
        <f t="shared" si="259"/>
        <v>0</v>
      </c>
      <c r="MZ16" s="229">
        <f t="shared" si="259"/>
        <v>0</v>
      </c>
      <c r="NA16" s="219">
        <f t="shared" si="105"/>
        <v>0</v>
      </c>
      <c r="NB16" s="229">
        <f t="shared" ref="NB16:ND16" si="260">NB37+NB42+NB31+NB35+NB49+NB46+NB30+NB36+NB54</f>
        <v>0</v>
      </c>
      <c r="NC16" s="229">
        <f t="shared" si="260"/>
        <v>0</v>
      </c>
      <c r="ND16" s="229">
        <f t="shared" si="260"/>
        <v>0</v>
      </c>
      <c r="NE16" s="219">
        <f t="shared" si="106"/>
        <v>0</v>
      </c>
      <c r="NF16" s="229">
        <f t="shared" ref="NF16:NH16" si="261">NF37+NF42+NF31+NF35+NF49+NF46+NF30+NF36+NF54</f>
        <v>0</v>
      </c>
      <c r="NG16" s="229">
        <f t="shared" si="261"/>
        <v>0</v>
      </c>
      <c r="NH16" s="229">
        <f t="shared" si="261"/>
        <v>0</v>
      </c>
      <c r="NI16" s="219">
        <f t="shared" si="107"/>
        <v>0</v>
      </c>
      <c r="NJ16" s="229">
        <f t="shared" ref="NJ16:NL16" si="262">NJ37+NJ42+NJ31+NJ35+NJ49+NJ46+NJ30+NJ36+NJ54</f>
        <v>0</v>
      </c>
      <c r="NK16" s="229">
        <f t="shared" si="262"/>
        <v>0</v>
      </c>
      <c r="NL16" s="229">
        <f t="shared" si="262"/>
        <v>0</v>
      </c>
      <c r="NM16" s="219">
        <f t="shared" si="108"/>
        <v>0</v>
      </c>
      <c r="NN16" s="229">
        <f t="shared" ref="NN16:NP16" si="263">NN37+NN42+NN31+NN35+NN49+NN46+NN30+NN36+NN54</f>
        <v>0</v>
      </c>
      <c r="NO16" s="229">
        <f t="shared" si="263"/>
        <v>0</v>
      </c>
      <c r="NP16" s="229">
        <f t="shared" si="263"/>
        <v>0</v>
      </c>
      <c r="NQ16" s="219">
        <f t="shared" si="109"/>
        <v>0</v>
      </c>
      <c r="NR16" s="229">
        <f t="shared" ref="NR16:NT16" si="264">NR37+NR42+NR31+NR35+NR49+NR46+NR30+NR36+NR54</f>
        <v>0</v>
      </c>
      <c r="NS16" s="229">
        <f t="shared" si="264"/>
        <v>0</v>
      </c>
      <c r="NT16" s="229">
        <f t="shared" si="264"/>
        <v>0</v>
      </c>
      <c r="NU16" s="219">
        <f t="shared" si="110"/>
        <v>0</v>
      </c>
      <c r="NV16" s="229">
        <f t="shared" ref="NV16:NX16" si="265">NV37+NV42+NV31+NV35+NV49+NV46+NV30+NV36+NV54</f>
        <v>0</v>
      </c>
      <c r="NW16" s="229">
        <f t="shared" si="265"/>
        <v>0</v>
      </c>
      <c r="NX16" s="229">
        <f t="shared" si="265"/>
        <v>0</v>
      </c>
      <c r="NY16" s="219">
        <f t="shared" si="112"/>
        <v>0</v>
      </c>
      <c r="NZ16" s="229">
        <f t="shared" ref="NZ16:OB16" si="266">NZ37+NZ42+NZ31+NZ35+NZ49+NZ46+NZ30+NZ36+NZ54</f>
        <v>0</v>
      </c>
      <c r="OA16" s="229">
        <f t="shared" si="266"/>
        <v>0</v>
      </c>
      <c r="OB16" s="229">
        <f t="shared" si="266"/>
        <v>0</v>
      </c>
      <c r="OC16" s="219">
        <f t="shared" si="114"/>
        <v>0</v>
      </c>
      <c r="OD16" s="229">
        <f t="shared" ref="OD16:OQ16" si="267">OD37+OD42+OD31+OD35+OD49+OD46+OD30+OD36+OD54</f>
        <v>0</v>
      </c>
      <c r="OE16" s="229">
        <f t="shared" si="267"/>
        <v>0</v>
      </c>
      <c r="OF16" s="229">
        <f t="shared" si="267"/>
        <v>0</v>
      </c>
      <c r="OG16" s="229">
        <f t="shared" si="267"/>
        <v>0</v>
      </c>
      <c r="OH16" s="229">
        <f t="shared" si="267"/>
        <v>0</v>
      </c>
      <c r="OI16" s="229">
        <f t="shared" si="267"/>
        <v>0</v>
      </c>
      <c r="OJ16" s="229">
        <f t="shared" si="267"/>
        <v>0</v>
      </c>
      <c r="OK16" s="229">
        <f t="shared" si="267"/>
        <v>0</v>
      </c>
      <c r="OL16" s="229">
        <f t="shared" si="267"/>
        <v>0</v>
      </c>
      <c r="OM16" s="229">
        <f t="shared" si="267"/>
        <v>0</v>
      </c>
      <c r="ON16" s="229">
        <f t="shared" si="267"/>
        <v>0</v>
      </c>
      <c r="OO16" s="229">
        <f t="shared" si="267"/>
        <v>0</v>
      </c>
      <c r="OP16" s="229">
        <f t="shared" si="267"/>
        <v>0</v>
      </c>
      <c r="OQ16" s="229">
        <f t="shared" si="267"/>
        <v>0</v>
      </c>
      <c r="OR16" s="219">
        <f t="shared" si="116"/>
        <v>0</v>
      </c>
      <c r="OS16" s="229">
        <f t="shared" ref="OS16:OW16" si="268">OS37+OS42+OS31+OS35+OS49+OS46+OS30+OS36+OS54</f>
        <v>0</v>
      </c>
      <c r="OT16" s="229">
        <f t="shared" si="268"/>
        <v>0</v>
      </c>
      <c r="OU16" s="229">
        <f t="shared" si="268"/>
        <v>0</v>
      </c>
      <c r="OV16" s="229">
        <f t="shared" si="268"/>
        <v>0</v>
      </c>
      <c r="OW16" s="229">
        <f t="shared" si="268"/>
        <v>0</v>
      </c>
      <c r="OX16" s="219">
        <f t="shared" si="11"/>
        <v>0</v>
      </c>
      <c r="OY16" s="229">
        <f t="shared" ref="OY16:PA16" si="269">OY37+OY42+OY31+OY35+OY49+OY46+OY30+OY36+OY54</f>
        <v>0</v>
      </c>
      <c r="OZ16" s="229">
        <f t="shared" si="269"/>
        <v>0</v>
      </c>
      <c r="PA16" s="229">
        <f t="shared" si="269"/>
        <v>0</v>
      </c>
      <c r="PB16" s="219">
        <f t="shared" si="119"/>
        <v>0</v>
      </c>
      <c r="PC16" s="229">
        <f t="shared" ref="PC16:PE16" si="270">PC37+PC42+PC31+PC35+PC49+PC46+PC30+PC36+PC54</f>
        <v>0</v>
      </c>
      <c r="PD16" s="229">
        <f t="shared" si="270"/>
        <v>0</v>
      </c>
      <c r="PE16" s="229">
        <f t="shared" si="270"/>
        <v>0</v>
      </c>
      <c r="PF16" s="219">
        <f t="shared" si="121"/>
        <v>0</v>
      </c>
      <c r="PG16" s="229">
        <f t="shared" ref="PG16:PI16" si="271">PG37+PG42+PG31+PG35+PG49+PG46+PG30+PG36+PG54</f>
        <v>0</v>
      </c>
      <c r="PH16" s="229">
        <f t="shared" si="271"/>
        <v>0</v>
      </c>
      <c r="PI16" s="229">
        <f t="shared" si="271"/>
        <v>0</v>
      </c>
      <c r="PJ16" s="219">
        <f t="shared" si="123"/>
        <v>0</v>
      </c>
      <c r="PK16" s="229">
        <f t="shared" ref="PK16:PM16" si="272">PK37+PK42+PK31+PK35+PK49+PK46+PK30+PK36+PK54</f>
        <v>0</v>
      </c>
      <c r="PL16" s="229">
        <f t="shared" si="272"/>
        <v>0</v>
      </c>
      <c r="PM16" s="229">
        <f t="shared" si="272"/>
        <v>0</v>
      </c>
      <c r="PN16" s="219">
        <f t="shared" si="125"/>
        <v>0</v>
      </c>
      <c r="PO16" s="229">
        <f t="shared" ref="PO16:PQ16" si="273">PO37+PO42+PO31+PO35+PO49+PO46+PO30+PO36+PO54</f>
        <v>0</v>
      </c>
      <c r="PP16" s="229">
        <f t="shared" si="273"/>
        <v>0</v>
      </c>
      <c r="PQ16" s="229">
        <f t="shared" si="273"/>
        <v>0</v>
      </c>
      <c r="PR16" s="219">
        <f t="shared" si="127"/>
        <v>0</v>
      </c>
      <c r="PS16" s="229">
        <f t="shared" ref="PS16:PU16" si="274">PS37+PS42+PS31+PS35+PS49+PS46+PS30+PS36+PS54</f>
        <v>0</v>
      </c>
      <c r="PT16" s="229">
        <f t="shared" si="274"/>
        <v>0</v>
      </c>
      <c r="PU16" s="229">
        <f t="shared" si="274"/>
        <v>0</v>
      </c>
      <c r="PV16" s="219">
        <f t="shared" si="129"/>
        <v>0</v>
      </c>
      <c r="PW16" s="229">
        <f t="shared" ref="PW16:PY16" si="275">PW37+PW42+PW31+PW35+PW49+PW46+PW30+PW36+PW54</f>
        <v>0</v>
      </c>
      <c r="PX16" s="229">
        <f t="shared" si="275"/>
        <v>0</v>
      </c>
      <c r="PY16" s="229">
        <f t="shared" si="275"/>
        <v>0</v>
      </c>
      <c r="PZ16" s="219">
        <f t="shared" si="131"/>
        <v>0</v>
      </c>
      <c r="QA16" s="229">
        <f t="shared" ref="QA16:QC16" si="276">QA37+QA42+QA31+QA35+QA49+QA46+QA30+QA36+QA54</f>
        <v>0</v>
      </c>
      <c r="QB16" s="229">
        <f t="shared" si="276"/>
        <v>0</v>
      </c>
      <c r="QC16" s="229">
        <f t="shared" si="276"/>
        <v>0</v>
      </c>
      <c r="QD16" s="219">
        <f t="shared" si="132"/>
        <v>0</v>
      </c>
      <c r="QE16" s="229">
        <f t="shared" ref="QE16:QK16" si="277">QE37+QE42+QE31+QE35+QE49+QE46+QE30+QE36+QE54</f>
        <v>0</v>
      </c>
      <c r="QF16" s="229">
        <f t="shared" si="277"/>
        <v>0</v>
      </c>
      <c r="QG16" s="229">
        <f t="shared" si="277"/>
        <v>0</v>
      </c>
      <c r="QH16" s="229">
        <f t="shared" si="277"/>
        <v>0</v>
      </c>
      <c r="QI16" s="229">
        <f t="shared" si="277"/>
        <v>0</v>
      </c>
      <c r="QJ16" s="229">
        <f t="shared" si="277"/>
        <v>0</v>
      </c>
      <c r="QK16" s="229">
        <f t="shared" si="277"/>
        <v>0</v>
      </c>
      <c r="QL16" s="219">
        <f t="shared" si="133"/>
        <v>0</v>
      </c>
      <c r="QM16" s="229">
        <f t="shared" ref="QM16:QR16" si="278">QM37+QM42+QM31+QM35+QM49+QM46+QM30+QM36+QM54</f>
        <v>0</v>
      </c>
      <c r="QN16" s="229">
        <f t="shared" si="278"/>
        <v>0</v>
      </c>
      <c r="QO16" s="229">
        <f t="shared" si="278"/>
        <v>0</v>
      </c>
      <c r="QP16" s="229">
        <f t="shared" si="278"/>
        <v>0</v>
      </c>
      <c r="QQ16" s="229">
        <f t="shared" si="278"/>
        <v>0</v>
      </c>
      <c r="QR16" s="229">
        <f t="shared" si="278"/>
        <v>0</v>
      </c>
      <c r="QS16" s="219">
        <f t="shared" si="135"/>
        <v>0</v>
      </c>
      <c r="QT16" s="229">
        <f t="shared" ref="QT16:QY16" si="279">QT37+QT42+QT31+QT35+QT49+QT46+QT30+QT36+QT54</f>
        <v>0</v>
      </c>
      <c r="QU16" s="229">
        <f t="shared" si="279"/>
        <v>0</v>
      </c>
      <c r="QV16" s="229">
        <f t="shared" si="279"/>
        <v>0</v>
      </c>
      <c r="QW16" s="229">
        <f t="shared" si="279"/>
        <v>0</v>
      </c>
      <c r="QX16" s="229">
        <f t="shared" si="279"/>
        <v>0</v>
      </c>
      <c r="QY16" s="229">
        <f t="shared" si="279"/>
        <v>0</v>
      </c>
      <c r="QZ16" s="219">
        <f t="shared" si="137"/>
        <v>0</v>
      </c>
      <c r="RA16" s="229">
        <f t="shared" ref="RA16:RF16" si="280">RA37+RA42+RA31+RA35+RA49+RA46+RA30+RA36+RA54</f>
        <v>0</v>
      </c>
      <c r="RB16" s="229">
        <f t="shared" si="280"/>
        <v>0</v>
      </c>
      <c r="RC16" s="229">
        <f t="shared" si="280"/>
        <v>0</v>
      </c>
      <c r="RD16" s="229">
        <f t="shared" si="280"/>
        <v>0</v>
      </c>
      <c r="RE16" s="229">
        <f t="shared" si="280"/>
        <v>0</v>
      </c>
      <c r="RF16" s="229">
        <f t="shared" si="280"/>
        <v>0</v>
      </c>
      <c r="RG16" s="219">
        <f t="shared" si="139"/>
        <v>0</v>
      </c>
      <c r="RH16" s="229">
        <f t="shared" ref="RH16:RM16" si="281">RH37+RH42+RH31+RH35+RH49+RH46+RH30+RH36+RH54</f>
        <v>0</v>
      </c>
      <c r="RI16" s="229">
        <f t="shared" si="281"/>
        <v>0</v>
      </c>
      <c r="RJ16" s="229">
        <f t="shared" si="281"/>
        <v>0</v>
      </c>
      <c r="RK16" s="229">
        <f t="shared" si="281"/>
        <v>0</v>
      </c>
      <c r="RL16" s="229">
        <f t="shared" si="281"/>
        <v>0</v>
      </c>
      <c r="RM16" s="229">
        <f t="shared" si="281"/>
        <v>0</v>
      </c>
      <c r="RN16" s="219">
        <f t="shared" si="141"/>
        <v>0</v>
      </c>
      <c r="RO16" s="229">
        <f t="shared" ref="RO16:RT16" si="282">RO37+RO42+RO31+RO35+RO49+RO46+RO30+RO36+RO54</f>
        <v>0</v>
      </c>
      <c r="RP16" s="229">
        <f t="shared" si="282"/>
        <v>0</v>
      </c>
      <c r="RQ16" s="229">
        <f t="shared" si="282"/>
        <v>0</v>
      </c>
      <c r="RR16" s="229">
        <f t="shared" si="282"/>
        <v>0</v>
      </c>
      <c r="RS16" s="229">
        <f t="shared" si="282"/>
        <v>0</v>
      </c>
      <c r="RT16" s="229">
        <f t="shared" si="282"/>
        <v>0</v>
      </c>
      <c r="RU16" s="219">
        <f t="shared" si="143"/>
        <v>0</v>
      </c>
      <c r="RV16" s="229">
        <f t="shared" ref="RV16:SF16" si="283">RV37+RV42+RV31+RV35+RV49+RV46+RV30+RV36+RV54</f>
        <v>0</v>
      </c>
      <c r="RW16" s="229">
        <f t="shared" si="283"/>
        <v>0</v>
      </c>
      <c r="RX16" s="229">
        <f t="shared" si="283"/>
        <v>0</v>
      </c>
      <c r="RY16" s="229">
        <f t="shared" si="283"/>
        <v>0</v>
      </c>
      <c r="RZ16" s="229">
        <f t="shared" si="283"/>
        <v>0</v>
      </c>
      <c r="SA16" s="229">
        <f t="shared" si="283"/>
        <v>0</v>
      </c>
      <c r="SB16" s="229">
        <f t="shared" si="283"/>
        <v>0</v>
      </c>
      <c r="SC16" s="219">
        <f t="shared" si="145"/>
        <v>0</v>
      </c>
      <c r="SD16" s="229">
        <f t="shared" si="283"/>
        <v>0</v>
      </c>
      <c r="SE16" s="229">
        <f t="shared" si="283"/>
        <v>0</v>
      </c>
      <c r="SF16" s="229">
        <f t="shared" si="283"/>
        <v>0</v>
      </c>
      <c r="SG16" s="219">
        <f t="shared" si="147"/>
        <v>0</v>
      </c>
      <c r="SH16" s="229">
        <f t="shared" ref="SH16:SM16" si="284">SH37+SH42+SH31+SH35+SH49+SH46+SH30+SH36+SH54</f>
        <v>0</v>
      </c>
      <c r="SI16" s="229">
        <f t="shared" si="284"/>
        <v>0</v>
      </c>
      <c r="SJ16" s="229">
        <f t="shared" si="284"/>
        <v>0</v>
      </c>
      <c r="SK16" s="229">
        <f t="shared" si="284"/>
        <v>0</v>
      </c>
      <c r="SL16" s="229">
        <f t="shared" si="284"/>
        <v>0</v>
      </c>
      <c r="SM16" s="229">
        <f t="shared" si="284"/>
        <v>0</v>
      </c>
      <c r="SN16" s="219">
        <f t="shared" si="149"/>
        <v>0</v>
      </c>
      <c r="SO16" s="229">
        <f t="shared" ref="SO16:SQ16" si="285">SO37+SO42+SO31+SO35+SO49+SO46+SO30+SO36+SO54</f>
        <v>0</v>
      </c>
      <c r="SP16" s="229">
        <f t="shared" si="285"/>
        <v>0</v>
      </c>
      <c r="SQ16" s="229">
        <f t="shared" si="285"/>
        <v>0</v>
      </c>
      <c r="SR16" s="219">
        <f t="shared" si="151"/>
        <v>0</v>
      </c>
      <c r="SS16" s="229">
        <f t="shared" ref="SS16:ST16" si="286">SS37+SS42+SS31+SS35+SS49+SS46+SS30+SS36+SS54</f>
        <v>0</v>
      </c>
      <c r="ST16" s="229">
        <f t="shared" si="286"/>
        <v>0</v>
      </c>
      <c r="SU16" s="219">
        <f t="shared" si="153"/>
        <v>0</v>
      </c>
      <c r="SV16" s="229">
        <f t="shared" ref="SV16:SW16" si="287">SV37+SV42+SV31+SV35+SV49+SV46+SV30+SV36+SV54</f>
        <v>0</v>
      </c>
      <c r="SW16" s="229">
        <f t="shared" si="287"/>
        <v>0</v>
      </c>
      <c r="SX16" s="219">
        <f t="shared" si="155"/>
        <v>0</v>
      </c>
      <c r="SY16" s="229">
        <f t="shared" ref="SY16:SZ16" si="288">SY37+SY42+SY31+SY35+SY49+SY46+SY30+SY36+SY54</f>
        <v>0</v>
      </c>
      <c r="SZ16" s="229">
        <f t="shared" si="288"/>
        <v>0</v>
      </c>
      <c r="TA16" s="219">
        <f t="shared" si="157"/>
        <v>0</v>
      </c>
      <c r="TB16" s="229">
        <f t="shared" ref="TB16:UC16" si="289">TB37+TB42+TB31+TB35+TB49+TB46+TB30+TB36+TB54</f>
        <v>0</v>
      </c>
      <c r="TC16" s="229">
        <f t="shared" si="289"/>
        <v>0</v>
      </c>
      <c r="TD16" s="229">
        <f t="shared" si="289"/>
        <v>0</v>
      </c>
      <c r="TE16" s="229">
        <f t="shared" si="289"/>
        <v>0</v>
      </c>
      <c r="TF16" s="229">
        <f t="shared" si="289"/>
        <v>0</v>
      </c>
      <c r="TG16" s="229">
        <f t="shared" si="289"/>
        <v>0</v>
      </c>
      <c r="TH16" s="229">
        <f t="shared" si="289"/>
        <v>0</v>
      </c>
      <c r="TI16" s="229">
        <f t="shared" si="289"/>
        <v>0</v>
      </c>
      <c r="TJ16" s="229">
        <f t="shared" si="289"/>
        <v>0</v>
      </c>
      <c r="TK16" s="229">
        <f t="shared" si="289"/>
        <v>0</v>
      </c>
      <c r="TL16" s="229">
        <f t="shared" si="289"/>
        <v>0</v>
      </c>
      <c r="TM16" s="229">
        <f t="shared" si="289"/>
        <v>0</v>
      </c>
      <c r="TN16" s="229">
        <f t="shared" si="289"/>
        <v>0</v>
      </c>
      <c r="TO16" s="229">
        <f t="shared" si="289"/>
        <v>0</v>
      </c>
      <c r="TP16" s="229">
        <f t="shared" si="289"/>
        <v>0</v>
      </c>
      <c r="TQ16" s="229">
        <f t="shared" si="289"/>
        <v>0</v>
      </c>
      <c r="TR16" s="229">
        <f t="shared" si="289"/>
        <v>0</v>
      </c>
      <c r="TS16" s="229">
        <f t="shared" si="289"/>
        <v>0</v>
      </c>
      <c r="TT16" s="229">
        <f t="shared" si="289"/>
        <v>0</v>
      </c>
      <c r="TU16" s="229">
        <f t="shared" si="289"/>
        <v>0</v>
      </c>
      <c r="TV16" s="229">
        <f t="shared" si="289"/>
        <v>0</v>
      </c>
      <c r="TW16" s="229">
        <f t="shared" si="289"/>
        <v>0</v>
      </c>
      <c r="TX16" s="229">
        <f t="shared" si="289"/>
        <v>0</v>
      </c>
      <c r="TY16" s="229">
        <f t="shared" si="289"/>
        <v>0</v>
      </c>
      <c r="TZ16" s="229">
        <f t="shared" si="289"/>
        <v>0</v>
      </c>
      <c r="UA16" s="229">
        <f t="shared" si="289"/>
        <v>0</v>
      </c>
      <c r="UB16" s="229">
        <f t="shared" si="289"/>
        <v>0</v>
      </c>
      <c r="UC16" s="229">
        <f t="shared" si="289"/>
        <v>0</v>
      </c>
    </row>
    <row r="17" spans="1:549" s="182" customFormat="1" hidden="1" x14ac:dyDescent="0.25">
      <c r="A17" s="229" t="s">
        <v>236</v>
      </c>
      <c r="B17" s="230"/>
      <c r="C17" s="230" t="s">
        <v>237</v>
      </c>
      <c r="D17" s="36"/>
      <c r="E17" s="229">
        <f>E38+E39+E33+E34+E40+E44+E48</f>
        <v>0</v>
      </c>
      <c r="F17" s="229">
        <f t="shared" ref="F17:G17" si="290">F38+F39+F33+F34+F40+F44+F48</f>
        <v>0</v>
      </c>
      <c r="G17" s="229">
        <f t="shared" si="290"/>
        <v>0</v>
      </c>
      <c r="H17" s="219">
        <f t="shared" si="33"/>
        <v>0</v>
      </c>
      <c r="I17" s="229">
        <f>I38+I39+I33+I34+I40+I44+I48</f>
        <v>0</v>
      </c>
      <c r="J17" s="229">
        <f t="shared" ref="J17:K17" si="291">J38+J39+J33+J34+J40+J44+J48</f>
        <v>0</v>
      </c>
      <c r="K17" s="229">
        <f t="shared" si="291"/>
        <v>0</v>
      </c>
      <c r="L17" s="219">
        <f t="shared" si="34"/>
        <v>0</v>
      </c>
      <c r="M17" s="229">
        <f t="shared" ref="M17:N17" si="292">M38+M39+M33+M34+M40+M44+M48</f>
        <v>0</v>
      </c>
      <c r="N17" s="229">
        <f t="shared" si="292"/>
        <v>0</v>
      </c>
      <c r="O17" s="219">
        <f t="shared" si="35"/>
        <v>0</v>
      </c>
      <c r="P17" s="229">
        <f>P38+P39+P33+P34+P40+P44+P48</f>
        <v>0</v>
      </c>
      <c r="Q17" s="229">
        <f t="shared" ref="Q17:S17" si="293">Q38+Q39+Q33+Q34+Q40+Q44+Q48</f>
        <v>0</v>
      </c>
      <c r="R17" s="229">
        <f t="shared" si="293"/>
        <v>0</v>
      </c>
      <c r="S17" s="229">
        <f t="shared" si="293"/>
        <v>0</v>
      </c>
      <c r="T17" s="219">
        <f t="shared" si="36"/>
        <v>0</v>
      </c>
      <c r="U17" s="229">
        <f t="shared" ref="U17:W17" si="294">U38+U39+U33+U34+U40+U44+U48</f>
        <v>0</v>
      </c>
      <c r="V17" s="229">
        <f t="shared" si="294"/>
        <v>0</v>
      </c>
      <c r="W17" s="229">
        <f t="shared" si="294"/>
        <v>0</v>
      </c>
      <c r="X17" s="219">
        <f t="shared" si="37"/>
        <v>0</v>
      </c>
      <c r="Y17" s="229">
        <f t="shared" ref="Y17:Z17" si="295">Y38+Y39+Y33+Y34+Y40+Y44+Y48</f>
        <v>0</v>
      </c>
      <c r="Z17" s="229">
        <f t="shared" si="295"/>
        <v>0</v>
      </c>
      <c r="AA17" s="219">
        <f t="shared" si="38"/>
        <v>0</v>
      </c>
      <c r="AB17" s="229">
        <f t="shared" ref="AB17:AC17" si="296">AB38+AB39+AB33+AB34+AB40+AB44+AB48</f>
        <v>0</v>
      </c>
      <c r="AC17" s="229">
        <f t="shared" si="296"/>
        <v>0</v>
      </c>
      <c r="AD17" s="219">
        <f t="shared" si="39"/>
        <v>0</v>
      </c>
      <c r="AE17" s="229">
        <f t="shared" ref="AE17:AG17" si="297">AE38+AE39+AE33+AE34+AE40+AE44+AE48</f>
        <v>0</v>
      </c>
      <c r="AF17" s="229">
        <f t="shared" si="297"/>
        <v>0</v>
      </c>
      <c r="AG17" s="229">
        <f t="shared" si="297"/>
        <v>0</v>
      </c>
      <c r="AH17" s="219">
        <f t="shared" si="40"/>
        <v>0</v>
      </c>
      <c r="AI17" s="229">
        <f t="shared" ref="AI17:AK17" si="298">AI38+AI39+AI33+AI34+AI40+AI44+AI48</f>
        <v>0</v>
      </c>
      <c r="AJ17" s="229">
        <f t="shared" si="298"/>
        <v>0</v>
      </c>
      <c r="AK17" s="229">
        <f t="shared" si="298"/>
        <v>0</v>
      </c>
      <c r="AL17" s="219">
        <f t="shared" si="41"/>
        <v>0</v>
      </c>
      <c r="AM17" s="229">
        <f t="shared" ref="AM17:AO17" si="299">AM38+AM39+AM33+AM34+AM40+AM44+AM48</f>
        <v>0</v>
      </c>
      <c r="AN17" s="229">
        <f t="shared" si="299"/>
        <v>0</v>
      </c>
      <c r="AO17" s="229">
        <f t="shared" si="299"/>
        <v>0</v>
      </c>
      <c r="AP17" s="219">
        <f t="shared" si="42"/>
        <v>0</v>
      </c>
      <c r="AQ17" s="229">
        <f t="shared" ref="AQ17:AT17" si="300">AQ38+AQ39+AQ33+AQ34+AQ40+AQ44+AQ48</f>
        <v>0</v>
      </c>
      <c r="AR17" s="229">
        <f t="shared" si="300"/>
        <v>0</v>
      </c>
      <c r="AS17" s="229">
        <f t="shared" si="300"/>
        <v>0</v>
      </c>
      <c r="AT17" s="229">
        <f t="shared" si="300"/>
        <v>0</v>
      </c>
      <c r="AU17" s="219">
        <f t="shared" si="43"/>
        <v>0</v>
      </c>
      <c r="AV17" s="229">
        <f t="shared" ref="AV17:BC17" si="301">AV38+AV39+AV33+AV34+AV40+AV44+AV48</f>
        <v>0</v>
      </c>
      <c r="AW17" s="229">
        <f t="shared" si="301"/>
        <v>0</v>
      </c>
      <c r="AX17" s="229">
        <f t="shared" si="301"/>
        <v>0</v>
      </c>
      <c r="AY17" s="229">
        <f t="shared" si="301"/>
        <v>0</v>
      </c>
      <c r="AZ17" s="229">
        <f t="shared" si="301"/>
        <v>0</v>
      </c>
      <c r="BA17" s="229">
        <f t="shared" si="301"/>
        <v>0</v>
      </c>
      <c r="BB17" s="229">
        <f t="shared" si="301"/>
        <v>0</v>
      </c>
      <c r="BC17" s="229">
        <f t="shared" si="301"/>
        <v>0</v>
      </c>
      <c r="BD17" s="219">
        <f t="shared" si="44"/>
        <v>0</v>
      </c>
      <c r="BE17" s="229">
        <f t="shared" ref="BE17:BK17" si="302">BE38+BE39+BE33+BE34+BE40+BE44+BE48</f>
        <v>0</v>
      </c>
      <c r="BF17" s="229">
        <f t="shared" si="302"/>
        <v>0</v>
      </c>
      <c r="BG17" s="229">
        <f t="shared" si="302"/>
        <v>0</v>
      </c>
      <c r="BH17" s="229">
        <f t="shared" si="302"/>
        <v>0</v>
      </c>
      <c r="BI17" s="229">
        <f t="shared" si="302"/>
        <v>0</v>
      </c>
      <c r="BJ17" s="229">
        <f t="shared" si="302"/>
        <v>0</v>
      </c>
      <c r="BK17" s="229">
        <f t="shared" si="302"/>
        <v>0</v>
      </c>
      <c r="BL17" s="219">
        <f t="shared" si="45"/>
        <v>0</v>
      </c>
      <c r="BM17" s="229">
        <f t="shared" ref="BM17:BR17" si="303">BM38+BM39+BM33+BM34+BM40+BM44+BM48</f>
        <v>0</v>
      </c>
      <c r="BN17" s="229">
        <f t="shared" si="303"/>
        <v>0</v>
      </c>
      <c r="BO17" s="229">
        <f t="shared" si="303"/>
        <v>0</v>
      </c>
      <c r="BP17" s="229">
        <f t="shared" si="303"/>
        <v>0</v>
      </c>
      <c r="BQ17" s="229">
        <f t="shared" si="303"/>
        <v>0</v>
      </c>
      <c r="BR17" s="229">
        <f t="shared" si="303"/>
        <v>0</v>
      </c>
      <c r="BS17" s="219">
        <f t="shared" si="47"/>
        <v>0</v>
      </c>
      <c r="BT17" s="229">
        <f t="shared" ref="BT17:BV17" si="304">BT38+BT39+BT33+BT34+BT40+BT44+BT48</f>
        <v>0</v>
      </c>
      <c r="BU17" s="229">
        <f t="shared" si="304"/>
        <v>0</v>
      </c>
      <c r="BV17" s="229">
        <f t="shared" si="304"/>
        <v>0</v>
      </c>
      <c r="BW17" s="219">
        <f t="shared" si="48"/>
        <v>0</v>
      </c>
      <c r="BX17" s="229">
        <f t="shared" ref="BX17:BY17" si="305">BX38+BX39+BX33+BX34+BX40+BX44+BX48</f>
        <v>0</v>
      </c>
      <c r="BY17" s="229">
        <f t="shared" si="305"/>
        <v>0</v>
      </c>
      <c r="BZ17" s="219">
        <f t="shared" si="49"/>
        <v>0</v>
      </c>
      <c r="CA17" s="229">
        <f t="shared" ref="CA17:CB17" si="306">CA38+CA39+CA33+CA34+CA40+CA44+CA48</f>
        <v>0</v>
      </c>
      <c r="CB17" s="229">
        <f t="shared" si="306"/>
        <v>0</v>
      </c>
      <c r="CC17" s="219">
        <f t="shared" si="50"/>
        <v>0</v>
      </c>
      <c r="CD17" s="229">
        <f t="shared" ref="CD17:CK17" si="307">CD38+CD39+CD33+CD34+CD40+CD44+CD48</f>
        <v>0</v>
      </c>
      <c r="CE17" s="229">
        <f t="shared" si="307"/>
        <v>0</v>
      </c>
      <c r="CF17" s="229">
        <f t="shared" si="307"/>
        <v>0</v>
      </c>
      <c r="CG17" s="229">
        <f t="shared" si="307"/>
        <v>0</v>
      </c>
      <c r="CH17" s="229">
        <f t="shared" si="307"/>
        <v>0</v>
      </c>
      <c r="CI17" s="229">
        <f t="shared" si="307"/>
        <v>0</v>
      </c>
      <c r="CJ17" s="229">
        <f t="shared" si="307"/>
        <v>0</v>
      </c>
      <c r="CK17" s="229">
        <f t="shared" si="307"/>
        <v>0</v>
      </c>
      <c r="CL17" s="219">
        <f t="shared" si="51"/>
        <v>0</v>
      </c>
      <c r="CM17" s="229">
        <f t="shared" ref="CM17:CP17" si="308">CM38+CM39+CM33+CM34+CM40+CM44+CM48</f>
        <v>0</v>
      </c>
      <c r="CN17" s="229">
        <f t="shared" si="308"/>
        <v>0</v>
      </c>
      <c r="CO17" s="229">
        <f t="shared" si="308"/>
        <v>0</v>
      </c>
      <c r="CP17" s="229">
        <f t="shared" si="308"/>
        <v>0</v>
      </c>
      <c r="CQ17" s="219">
        <f t="shared" si="52"/>
        <v>0</v>
      </c>
      <c r="CR17" s="229">
        <f t="shared" ref="CR17:CW17" si="309">CR38+CR39+CR33+CR34+CR40+CR44+CR48</f>
        <v>0</v>
      </c>
      <c r="CS17" s="229">
        <f t="shared" si="309"/>
        <v>0</v>
      </c>
      <c r="CT17" s="229">
        <f t="shared" si="309"/>
        <v>0</v>
      </c>
      <c r="CU17" s="229">
        <f t="shared" si="309"/>
        <v>0</v>
      </c>
      <c r="CV17" s="229">
        <f t="shared" si="309"/>
        <v>0</v>
      </c>
      <c r="CW17" s="229">
        <f t="shared" si="309"/>
        <v>0</v>
      </c>
      <c r="CX17" s="219">
        <f t="shared" si="53"/>
        <v>0</v>
      </c>
      <c r="CY17" s="229">
        <f t="shared" ref="CY17:DA17" si="310">CY38+CY39+CY33+CY34+CY40+CY44+CY48</f>
        <v>0</v>
      </c>
      <c r="CZ17" s="229">
        <f t="shared" si="310"/>
        <v>0</v>
      </c>
      <c r="DA17" s="229">
        <f t="shared" si="310"/>
        <v>0</v>
      </c>
      <c r="DB17" s="219">
        <f t="shared" si="54"/>
        <v>0</v>
      </c>
      <c r="DC17" s="229">
        <f t="shared" ref="DC17:DD17" si="311">DC38+DC39+DC33+DC34+DC40+DC44+DC48</f>
        <v>0</v>
      </c>
      <c r="DD17" s="229">
        <f t="shared" si="311"/>
        <v>0</v>
      </c>
      <c r="DE17" s="219">
        <f t="shared" si="55"/>
        <v>0</v>
      </c>
      <c r="DF17" s="229">
        <f t="shared" ref="DF17:DG17" si="312">DF38+DF39+DF33+DF34+DF40+DF44+DF48</f>
        <v>0</v>
      </c>
      <c r="DG17" s="229">
        <f t="shared" si="312"/>
        <v>0</v>
      </c>
      <c r="DH17" s="219">
        <f t="shared" si="56"/>
        <v>0</v>
      </c>
      <c r="DI17" s="229">
        <f t="shared" ref="DI17:DJ17" si="313">DI38+DI39+DI33+DI34+DI40+DI44+DI48</f>
        <v>0</v>
      </c>
      <c r="DJ17" s="229">
        <f t="shared" si="313"/>
        <v>0</v>
      </c>
      <c r="DK17" s="219">
        <f t="shared" si="57"/>
        <v>0</v>
      </c>
      <c r="DL17" s="229">
        <f t="shared" ref="DL17:DV17" si="314">DL38+DL39+DL33+DL34+DL40+DL44+DL48</f>
        <v>0</v>
      </c>
      <c r="DM17" s="229">
        <f t="shared" si="314"/>
        <v>0</v>
      </c>
      <c r="DN17" s="229">
        <f t="shared" si="314"/>
        <v>0</v>
      </c>
      <c r="DO17" s="229">
        <f t="shared" si="314"/>
        <v>0</v>
      </c>
      <c r="DP17" s="229">
        <f t="shared" si="314"/>
        <v>0</v>
      </c>
      <c r="DQ17" s="229">
        <f t="shared" si="314"/>
        <v>0</v>
      </c>
      <c r="DR17" s="229">
        <f t="shared" si="314"/>
        <v>0</v>
      </c>
      <c r="DS17" s="229">
        <f t="shared" si="314"/>
        <v>0</v>
      </c>
      <c r="DT17" s="229">
        <f t="shared" si="314"/>
        <v>0</v>
      </c>
      <c r="DU17" s="229">
        <f t="shared" si="314"/>
        <v>0</v>
      </c>
      <c r="DV17" s="229">
        <f t="shared" si="314"/>
        <v>0</v>
      </c>
      <c r="DW17" s="219">
        <f t="shared" si="58"/>
        <v>0</v>
      </c>
      <c r="DX17" s="229">
        <f t="shared" ref="DX17:DZ17" si="315">DX38+DX39+DX33+DX34+DX40+DX44+DX48</f>
        <v>0</v>
      </c>
      <c r="DY17" s="229">
        <f t="shared" si="315"/>
        <v>0</v>
      </c>
      <c r="DZ17" s="229">
        <f t="shared" si="315"/>
        <v>0</v>
      </c>
      <c r="EA17" s="219">
        <f t="shared" si="59"/>
        <v>0</v>
      </c>
      <c r="EB17" s="229">
        <f t="shared" ref="EB17:EG17" si="316">EB38+EB39+EB33+EB34+EB40+EB44+EB48</f>
        <v>0</v>
      </c>
      <c r="EC17" s="229">
        <f t="shared" si="316"/>
        <v>0</v>
      </c>
      <c r="ED17" s="229">
        <f t="shared" si="316"/>
        <v>0</v>
      </c>
      <c r="EE17" s="229">
        <f t="shared" si="316"/>
        <v>0</v>
      </c>
      <c r="EF17" s="229">
        <f t="shared" si="316"/>
        <v>0</v>
      </c>
      <c r="EG17" s="229">
        <f t="shared" si="316"/>
        <v>0</v>
      </c>
      <c r="EH17" s="219">
        <f t="shared" si="61"/>
        <v>0</v>
      </c>
      <c r="EI17" s="229">
        <f t="shared" ref="EI17:EK17" si="317">EI38+EI39+EI33+EI34+EI40+EI44+EI48</f>
        <v>0</v>
      </c>
      <c r="EJ17" s="229">
        <f t="shared" si="317"/>
        <v>0</v>
      </c>
      <c r="EK17" s="229">
        <f t="shared" si="317"/>
        <v>0</v>
      </c>
      <c r="EL17" s="219">
        <f t="shared" si="62"/>
        <v>0</v>
      </c>
      <c r="EM17" s="229">
        <f t="shared" ref="EM17:EN17" si="318">EM38+EM39+EM33+EM34+EM40+EM44+EM48</f>
        <v>0</v>
      </c>
      <c r="EN17" s="229">
        <f t="shared" si="318"/>
        <v>0</v>
      </c>
      <c r="EO17" s="219">
        <f t="shared" si="63"/>
        <v>0</v>
      </c>
      <c r="EP17" s="229">
        <f t="shared" ref="EP17:EQ17" si="319">EP38+EP39+EP33+EP34+EP40+EP44+EP48</f>
        <v>0</v>
      </c>
      <c r="EQ17" s="229">
        <f t="shared" si="319"/>
        <v>0</v>
      </c>
      <c r="ER17" s="219">
        <f t="shared" si="64"/>
        <v>0</v>
      </c>
      <c r="ES17" s="229">
        <f t="shared" ref="ES17:ET17" si="320">ES38+ES39+ES33+ES34+ES40+ES44+ES48</f>
        <v>0</v>
      </c>
      <c r="ET17" s="229">
        <f t="shared" si="320"/>
        <v>0</v>
      </c>
      <c r="EU17" s="219">
        <f t="shared" si="65"/>
        <v>0</v>
      </c>
      <c r="EV17" s="229">
        <f t="shared" ref="EV17:FF17" si="321">EV38+EV39+EV33+EV34+EV40+EV44+EV48</f>
        <v>0</v>
      </c>
      <c r="EW17" s="229">
        <f t="shared" si="321"/>
        <v>0</v>
      </c>
      <c r="EX17" s="229">
        <f t="shared" si="321"/>
        <v>0</v>
      </c>
      <c r="EY17" s="229">
        <f t="shared" si="321"/>
        <v>0</v>
      </c>
      <c r="EZ17" s="229">
        <f t="shared" si="321"/>
        <v>0</v>
      </c>
      <c r="FA17" s="229">
        <f t="shared" si="321"/>
        <v>0</v>
      </c>
      <c r="FB17" s="229">
        <f t="shared" si="321"/>
        <v>0</v>
      </c>
      <c r="FC17" s="229">
        <f t="shared" si="321"/>
        <v>0</v>
      </c>
      <c r="FD17" s="229">
        <f t="shared" si="321"/>
        <v>0</v>
      </c>
      <c r="FE17" s="229">
        <f t="shared" si="321"/>
        <v>0</v>
      </c>
      <c r="FF17" s="229">
        <f t="shared" si="321"/>
        <v>0</v>
      </c>
      <c r="FG17" s="219">
        <f t="shared" si="66"/>
        <v>0</v>
      </c>
      <c r="FH17" s="229">
        <f t="shared" ref="FH17:FJ17" si="322">FH38+FH39+FH33+FH34+FH40+FH44+FH48</f>
        <v>0</v>
      </c>
      <c r="FI17" s="229">
        <f t="shared" si="322"/>
        <v>0</v>
      </c>
      <c r="FJ17" s="229">
        <f t="shared" si="322"/>
        <v>0</v>
      </c>
      <c r="FK17" s="219">
        <f t="shared" si="67"/>
        <v>0</v>
      </c>
      <c r="FL17" s="229">
        <f t="shared" ref="FL17:FQ17" si="323">FL38+FL39+FL33+FL34+FL40+FL44+FL48</f>
        <v>0</v>
      </c>
      <c r="FM17" s="229">
        <f t="shared" si="323"/>
        <v>0</v>
      </c>
      <c r="FN17" s="229">
        <f t="shared" si="323"/>
        <v>0</v>
      </c>
      <c r="FO17" s="229">
        <f t="shared" si="323"/>
        <v>0</v>
      </c>
      <c r="FP17" s="229">
        <f t="shared" si="323"/>
        <v>0</v>
      </c>
      <c r="FQ17" s="229">
        <f t="shared" si="323"/>
        <v>0</v>
      </c>
      <c r="FR17" s="219">
        <f t="shared" si="68"/>
        <v>0</v>
      </c>
      <c r="FS17" s="229">
        <f t="shared" ref="FS17:FU17" si="324">FS38+FS39+FS33+FS34+FS40+FS44+FS48</f>
        <v>0</v>
      </c>
      <c r="FT17" s="229">
        <f t="shared" si="324"/>
        <v>0</v>
      </c>
      <c r="FU17" s="229">
        <f t="shared" si="324"/>
        <v>0</v>
      </c>
      <c r="FV17" s="219">
        <f t="shared" si="69"/>
        <v>0</v>
      </c>
      <c r="FW17" s="229">
        <f t="shared" ref="FW17:FX17" si="325">FW38+FW39+FW33+FW34+FW40+FW44+FW48</f>
        <v>0</v>
      </c>
      <c r="FX17" s="229">
        <f t="shared" si="325"/>
        <v>0</v>
      </c>
      <c r="FY17" s="219">
        <f t="shared" si="70"/>
        <v>0</v>
      </c>
      <c r="FZ17" s="229">
        <f t="shared" ref="FZ17:GA17" si="326">FZ38+FZ39+FZ33+FZ34+FZ40+FZ44+FZ48</f>
        <v>0</v>
      </c>
      <c r="GA17" s="229">
        <f t="shared" si="326"/>
        <v>0</v>
      </c>
      <c r="GB17" s="219">
        <f t="shared" si="71"/>
        <v>0</v>
      </c>
      <c r="GC17" s="229">
        <f t="shared" ref="GC17:GD17" si="327">GC38+GC39+GC33+GC34+GC40+GC44+GC48</f>
        <v>0</v>
      </c>
      <c r="GD17" s="229">
        <f t="shared" si="327"/>
        <v>0</v>
      </c>
      <c r="GE17" s="219">
        <f t="shared" si="72"/>
        <v>0</v>
      </c>
      <c r="GF17" s="229">
        <f t="shared" ref="GF17:GM17" si="328">GF38+GF39+GF33+GF34+GF40+GF44+GF48</f>
        <v>0</v>
      </c>
      <c r="GG17" s="229">
        <f t="shared" si="328"/>
        <v>0</v>
      </c>
      <c r="GH17" s="229">
        <f t="shared" si="328"/>
        <v>0</v>
      </c>
      <c r="GI17" s="229">
        <f t="shared" si="328"/>
        <v>0</v>
      </c>
      <c r="GJ17" s="229">
        <f t="shared" si="328"/>
        <v>0</v>
      </c>
      <c r="GK17" s="229">
        <f t="shared" si="328"/>
        <v>0</v>
      </c>
      <c r="GL17" s="229">
        <f t="shared" si="328"/>
        <v>0</v>
      </c>
      <c r="GM17" s="229">
        <f t="shared" si="328"/>
        <v>0</v>
      </c>
      <c r="GN17" s="219">
        <f t="shared" si="73"/>
        <v>0</v>
      </c>
      <c r="GO17" s="229">
        <f t="shared" ref="GO17:GQ17" si="329">GO38+GO39+GO33+GO34+GO40+GO44+GO48</f>
        <v>0</v>
      </c>
      <c r="GP17" s="229">
        <f t="shared" si="329"/>
        <v>0</v>
      </c>
      <c r="GQ17" s="229">
        <f t="shared" si="329"/>
        <v>0</v>
      </c>
      <c r="GR17" s="219">
        <f t="shared" si="3"/>
        <v>0</v>
      </c>
      <c r="GS17" s="229">
        <f t="shared" ref="GS17:GV17" si="330">GS38+GS39+GS33+GS34+GS40+GS44+GS48</f>
        <v>0</v>
      </c>
      <c r="GT17" s="229">
        <f t="shared" si="330"/>
        <v>0</v>
      </c>
      <c r="GU17" s="229">
        <f t="shared" si="330"/>
        <v>0</v>
      </c>
      <c r="GV17" s="229">
        <f t="shared" si="330"/>
        <v>0</v>
      </c>
      <c r="GW17" s="219">
        <f t="shared" si="75"/>
        <v>0</v>
      </c>
      <c r="GX17" s="229">
        <f t="shared" ref="GX17:HA17" si="331">GX38+GX39+GX33+GX34+GX40+GX44+GX48</f>
        <v>0</v>
      </c>
      <c r="GY17" s="229">
        <f t="shared" si="331"/>
        <v>0</v>
      </c>
      <c r="GZ17" s="229">
        <f t="shared" si="331"/>
        <v>0</v>
      </c>
      <c r="HA17" s="229">
        <f t="shared" si="331"/>
        <v>0</v>
      </c>
      <c r="HB17" s="219">
        <f t="shared" si="76"/>
        <v>0</v>
      </c>
      <c r="HC17" s="229">
        <f t="shared" ref="HC17:HF17" si="332">HC38+HC39+HC33+HC34+HC40+HC44+HC48</f>
        <v>0</v>
      </c>
      <c r="HD17" s="229">
        <f t="shared" si="332"/>
        <v>0</v>
      </c>
      <c r="HE17" s="229">
        <f t="shared" si="332"/>
        <v>0</v>
      </c>
      <c r="HF17" s="229">
        <f t="shared" si="332"/>
        <v>0</v>
      </c>
      <c r="HG17" s="219">
        <f t="shared" si="77"/>
        <v>0</v>
      </c>
      <c r="HH17" s="229">
        <f t="shared" ref="HH17:HK17" si="333">HH38+HH39+HH33+HH34+HH40+HH44+HH48</f>
        <v>0</v>
      </c>
      <c r="HI17" s="229">
        <f t="shared" si="333"/>
        <v>0</v>
      </c>
      <c r="HJ17" s="229">
        <f t="shared" si="333"/>
        <v>0</v>
      </c>
      <c r="HK17" s="229">
        <f t="shared" si="333"/>
        <v>0</v>
      </c>
      <c r="HL17" s="219">
        <f t="shared" si="78"/>
        <v>0</v>
      </c>
      <c r="HM17" s="229">
        <f t="shared" ref="HM17:HP17" si="334">HM38+HM39+HM33+HM34+HM40+HM44+HM48</f>
        <v>0</v>
      </c>
      <c r="HN17" s="229">
        <f t="shared" si="334"/>
        <v>0</v>
      </c>
      <c r="HO17" s="229">
        <f t="shared" si="334"/>
        <v>0</v>
      </c>
      <c r="HP17" s="229">
        <f t="shared" si="334"/>
        <v>0</v>
      </c>
      <c r="HQ17" s="219">
        <f t="shared" si="79"/>
        <v>0</v>
      </c>
      <c r="HR17" s="229">
        <f t="shared" ref="HR17:HU17" si="335">HR38+HR39+HR33+HR34+HR40+HR44+HR48</f>
        <v>0</v>
      </c>
      <c r="HS17" s="229">
        <f t="shared" si="335"/>
        <v>0</v>
      </c>
      <c r="HT17" s="229">
        <f t="shared" si="335"/>
        <v>0</v>
      </c>
      <c r="HU17" s="229">
        <f t="shared" si="335"/>
        <v>0</v>
      </c>
      <c r="HV17" s="219">
        <f t="shared" si="80"/>
        <v>0</v>
      </c>
      <c r="HW17" s="229">
        <f t="shared" ref="HW17:HY17" si="336">HW38+HW39+HW33+HW34+HW40+HW44+HW48</f>
        <v>0</v>
      </c>
      <c r="HX17" s="229">
        <f t="shared" si="336"/>
        <v>0</v>
      </c>
      <c r="HY17" s="229">
        <f t="shared" si="336"/>
        <v>0</v>
      </c>
      <c r="HZ17" s="219">
        <f t="shared" si="81"/>
        <v>0</v>
      </c>
      <c r="IA17" s="229">
        <f t="shared" ref="IA17:ID17" si="337">IA38+IA39+IA33+IA34+IA40+IA44+IA48</f>
        <v>0</v>
      </c>
      <c r="IB17" s="229">
        <f t="shared" si="337"/>
        <v>0</v>
      </c>
      <c r="IC17" s="229">
        <f t="shared" si="337"/>
        <v>0</v>
      </c>
      <c r="ID17" s="229">
        <f t="shared" si="337"/>
        <v>0</v>
      </c>
      <c r="IE17" s="219">
        <f t="shared" si="82"/>
        <v>0</v>
      </c>
      <c r="IF17" s="229">
        <f t="shared" ref="IF17:II17" si="338">IF38+IF39+IF33+IF34+IF40+IF44+IF48</f>
        <v>0</v>
      </c>
      <c r="IG17" s="229">
        <f t="shared" si="338"/>
        <v>0</v>
      </c>
      <c r="IH17" s="229">
        <f t="shared" si="338"/>
        <v>0</v>
      </c>
      <c r="II17" s="229">
        <f t="shared" si="338"/>
        <v>0</v>
      </c>
      <c r="IJ17" s="219">
        <f t="shared" si="83"/>
        <v>0</v>
      </c>
      <c r="IK17" s="229">
        <f t="shared" ref="IK17:IN17" si="339">IK38+IK39+IK33+IK34+IK40+IK44+IK48</f>
        <v>0</v>
      </c>
      <c r="IL17" s="229">
        <f t="shared" si="339"/>
        <v>0</v>
      </c>
      <c r="IM17" s="229">
        <f t="shared" si="339"/>
        <v>0</v>
      </c>
      <c r="IN17" s="229">
        <f t="shared" si="339"/>
        <v>0</v>
      </c>
      <c r="IO17" s="219">
        <f t="shared" si="84"/>
        <v>0</v>
      </c>
      <c r="IP17" s="229">
        <f t="shared" ref="IP17:IS17" si="340">IP38+IP39+IP33+IP34+IP40+IP44+IP48</f>
        <v>0</v>
      </c>
      <c r="IQ17" s="229">
        <f t="shared" si="340"/>
        <v>0</v>
      </c>
      <c r="IR17" s="229">
        <f t="shared" si="340"/>
        <v>0</v>
      </c>
      <c r="IS17" s="229">
        <f t="shared" si="340"/>
        <v>0</v>
      </c>
      <c r="IT17" s="219">
        <f t="shared" si="85"/>
        <v>0</v>
      </c>
      <c r="IU17" s="229">
        <f t="shared" ref="IU17:IW17" si="341">IU38+IU39+IU33+IU34+IU40+IU44+IU48</f>
        <v>0</v>
      </c>
      <c r="IV17" s="229">
        <f t="shared" si="341"/>
        <v>0</v>
      </c>
      <c r="IW17" s="229">
        <f t="shared" si="341"/>
        <v>0</v>
      </c>
      <c r="IX17" s="219">
        <f t="shared" si="86"/>
        <v>0</v>
      </c>
      <c r="IY17" s="229">
        <f t="shared" ref="IY17:JA17" si="342">IY38+IY39+IY33+IY34+IY40+IY44+IY48</f>
        <v>0</v>
      </c>
      <c r="IZ17" s="229">
        <f t="shared" si="342"/>
        <v>0</v>
      </c>
      <c r="JA17" s="229">
        <f t="shared" si="342"/>
        <v>0</v>
      </c>
      <c r="JB17" s="219">
        <f t="shared" si="87"/>
        <v>0</v>
      </c>
      <c r="JC17" s="229">
        <f t="shared" ref="JC17:JE17" si="343">JC38+JC39+JC33+JC34+JC40+JC44+JC48</f>
        <v>0</v>
      </c>
      <c r="JD17" s="229">
        <f t="shared" si="343"/>
        <v>0</v>
      </c>
      <c r="JE17" s="229">
        <f t="shared" si="343"/>
        <v>0</v>
      </c>
      <c r="JF17" s="219">
        <f t="shared" si="88"/>
        <v>0</v>
      </c>
      <c r="JG17" s="229">
        <f t="shared" ref="JG17:KY17" si="344">JG38+JG39+JG33+JG34+JG40+JG44+JG48</f>
        <v>0</v>
      </c>
      <c r="JH17" s="229">
        <f t="shared" si="344"/>
        <v>0</v>
      </c>
      <c r="JI17" s="229">
        <f t="shared" si="344"/>
        <v>0</v>
      </c>
      <c r="JJ17" s="229">
        <f t="shared" si="344"/>
        <v>0</v>
      </c>
      <c r="JK17" s="229">
        <f t="shared" si="344"/>
        <v>0</v>
      </c>
      <c r="JL17" s="229">
        <f t="shared" si="344"/>
        <v>0</v>
      </c>
      <c r="JM17" s="229">
        <f t="shared" si="344"/>
        <v>0</v>
      </c>
      <c r="JN17" s="229">
        <f t="shared" si="344"/>
        <v>0</v>
      </c>
      <c r="JO17" s="229">
        <f t="shared" si="344"/>
        <v>0</v>
      </c>
      <c r="JP17" s="229">
        <f t="shared" si="344"/>
        <v>0</v>
      </c>
      <c r="JQ17" s="229">
        <f t="shared" si="344"/>
        <v>0</v>
      </c>
      <c r="JR17" s="229">
        <f t="shared" si="344"/>
        <v>0</v>
      </c>
      <c r="JS17" s="229">
        <f t="shared" si="344"/>
        <v>0</v>
      </c>
      <c r="JT17" s="229">
        <f t="shared" si="344"/>
        <v>0</v>
      </c>
      <c r="JU17" s="229">
        <f t="shared" si="344"/>
        <v>0</v>
      </c>
      <c r="JV17" s="229">
        <f t="shared" si="344"/>
        <v>0</v>
      </c>
      <c r="JW17" s="229">
        <f t="shared" si="344"/>
        <v>0</v>
      </c>
      <c r="JX17" s="229">
        <f t="shared" si="344"/>
        <v>0</v>
      </c>
      <c r="JY17" s="229">
        <f t="shared" si="344"/>
        <v>0</v>
      </c>
      <c r="JZ17" s="229">
        <f t="shared" si="344"/>
        <v>0</v>
      </c>
      <c r="KA17" s="229">
        <f t="shared" si="344"/>
        <v>0</v>
      </c>
      <c r="KB17" s="229">
        <f t="shared" si="344"/>
        <v>0</v>
      </c>
      <c r="KC17" s="229">
        <f t="shared" si="344"/>
        <v>0</v>
      </c>
      <c r="KD17" s="229">
        <f t="shared" si="344"/>
        <v>0</v>
      </c>
      <c r="KE17" s="229">
        <f t="shared" si="344"/>
        <v>0</v>
      </c>
      <c r="KF17" s="229">
        <f t="shared" si="344"/>
        <v>0</v>
      </c>
      <c r="KG17" s="229">
        <f t="shared" si="344"/>
        <v>0</v>
      </c>
      <c r="KH17" s="229">
        <f t="shared" si="344"/>
        <v>0</v>
      </c>
      <c r="KI17" s="229">
        <f t="shared" si="344"/>
        <v>0</v>
      </c>
      <c r="KJ17" s="229">
        <f t="shared" si="344"/>
        <v>0</v>
      </c>
      <c r="KK17" s="229">
        <f t="shared" si="344"/>
        <v>0</v>
      </c>
      <c r="KL17" s="229">
        <f t="shared" si="344"/>
        <v>0</v>
      </c>
      <c r="KM17" s="229">
        <f t="shared" si="344"/>
        <v>0</v>
      </c>
      <c r="KN17" s="229">
        <f t="shared" si="344"/>
        <v>0</v>
      </c>
      <c r="KO17" s="229">
        <f t="shared" si="344"/>
        <v>0</v>
      </c>
      <c r="KP17" s="229">
        <f t="shared" si="344"/>
        <v>0</v>
      </c>
      <c r="KQ17" s="229">
        <f t="shared" si="344"/>
        <v>0</v>
      </c>
      <c r="KR17" s="229">
        <f t="shared" si="344"/>
        <v>0</v>
      </c>
      <c r="KS17" s="229">
        <f t="shared" si="344"/>
        <v>0</v>
      </c>
      <c r="KT17" s="229">
        <f t="shared" si="344"/>
        <v>0</v>
      </c>
      <c r="KU17" s="229">
        <f t="shared" si="344"/>
        <v>0</v>
      </c>
      <c r="KV17" s="229">
        <f t="shared" si="344"/>
        <v>0</v>
      </c>
      <c r="KW17" s="229">
        <f t="shared" si="344"/>
        <v>0</v>
      </c>
      <c r="KX17" s="229">
        <f t="shared" si="344"/>
        <v>0</v>
      </c>
      <c r="KY17" s="229">
        <f t="shared" si="344"/>
        <v>0</v>
      </c>
      <c r="KZ17" s="219">
        <f t="shared" si="90"/>
        <v>0</v>
      </c>
      <c r="LA17" s="229">
        <f t="shared" ref="LA17:LC17" si="345">LA38+LA39+LA33+LA34+LA40+LA44+LA48</f>
        <v>0</v>
      </c>
      <c r="LB17" s="229">
        <f t="shared" si="345"/>
        <v>0</v>
      </c>
      <c r="LC17" s="229">
        <f t="shared" si="345"/>
        <v>0</v>
      </c>
      <c r="LD17" s="219">
        <f t="shared" si="91"/>
        <v>0</v>
      </c>
      <c r="LE17" s="229">
        <f t="shared" ref="LE17:LG17" si="346">LE38+LE39+LE33+LE34+LE40+LE44+LE48</f>
        <v>0</v>
      </c>
      <c r="LF17" s="229">
        <f t="shared" si="346"/>
        <v>0</v>
      </c>
      <c r="LG17" s="229">
        <f t="shared" si="346"/>
        <v>0</v>
      </c>
      <c r="LH17" s="219">
        <f t="shared" si="92"/>
        <v>0</v>
      </c>
      <c r="LI17" s="229">
        <f t="shared" ref="LI17:LK17" si="347">LI38+LI39+LI33+LI34+LI40+LI44+LI48</f>
        <v>0</v>
      </c>
      <c r="LJ17" s="229">
        <f t="shared" si="347"/>
        <v>0</v>
      </c>
      <c r="LK17" s="229">
        <f t="shared" si="347"/>
        <v>0</v>
      </c>
      <c r="LL17" s="219">
        <f t="shared" si="93"/>
        <v>0</v>
      </c>
      <c r="LM17" s="229">
        <f t="shared" ref="LM17:LO17" si="348">LM38+LM39+LM33+LM34+LM40+LM44+LM48</f>
        <v>0</v>
      </c>
      <c r="LN17" s="229">
        <f t="shared" si="348"/>
        <v>0</v>
      </c>
      <c r="LO17" s="229">
        <f t="shared" si="348"/>
        <v>0</v>
      </c>
      <c r="LP17" s="219">
        <f t="shared" si="94"/>
        <v>0</v>
      </c>
      <c r="LQ17" s="229">
        <f t="shared" ref="LQ17:LS17" si="349">LQ38+LQ39+LQ33+LQ34+LQ40+LQ44+LQ48</f>
        <v>0</v>
      </c>
      <c r="LR17" s="229">
        <f t="shared" si="349"/>
        <v>0</v>
      </c>
      <c r="LS17" s="229">
        <f t="shared" si="349"/>
        <v>0</v>
      </c>
      <c r="LT17" s="219">
        <f t="shared" si="95"/>
        <v>0</v>
      </c>
      <c r="LU17" s="229">
        <f t="shared" ref="LU17:LW17" si="350">LU38+LU39+LU33+LU34+LU40+LU44+LU48</f>
        <v>0</v>
      </c>
      <c r="LV17" s="229">
        <f t="shared" si="350"/>
        <v>0</v>
      </c>
      <c r="LW17" s="229">
        <f t="shared" si="350"/>
        <v>0</v>
      </c>
      <c r="LX17" s="219">
        <f t="shared" si="96"/>
        <v>0</v>
      </c>
      <c r="LY17" s="229">
        <f t="shared" ref="LY17:MA17" si="351">LY38+LY39+LY33+LY34+LY40+LY44+LY48</f>
        <v>0</v>
      </c>
      <c r="LZ17" s="229">
        <f t="shared" si="351"/>
        <v>0</v>
      </c>
      <c r="MA17" s="229">
        <f t="shared" si="351"/>
        <v>0</v>
      </c>
      <c r="MB17" s="219">
        <f t="shared" si="97"/>
        <v>0</v>
      </c>
      <c r="MC17" s="229">
        <f t="shared" ref="MC17" si="352">MC38+MC39+MC33+MC34+MC40+MC44+MC48</f>
        <v>0</v>
      </c>
      <c r="MD17" s="219">
        <f t="shared" si="98"/>
        <v>0</v>
      </c>
      <c r="ME17" s="229">
        <f t="shared" ref="ME17" si="353">ME38+ME39+ME33+ME34+ME40+ME44+ME48</f>
        <v>0</v>
      </c>
      <c r="MF17" s="219">
        <f t="shared" si="100"/>
        <v>0</v>
      </c>
      <c r="MG17" s="229">
        <f t="shared" ref="MG17" si="354">MG38+MG39+MG33+MG34+MG40+MG44+MG48</f>
        <v>0</v>
      </c>
      <c r="MH17" s="219">
        <f t="shared" si="101"/>
        <v>0</v>
      </c>
      <c r="MI17" s="229">
        <f t="shared" ref="MI17" si="355">MI38+MI39+MI33+MI34+MI40+MI44+MI48</f>
        <v>0</v>
      </c>
      <c r="MJ17" s="219">
        <f t="shared" si="102"/>
        <v>0</v>
      </c>
      <c r="MK17" s="229">
        <f t="shared" ref="MK17" si="356">MK38+MK39+MK33+MK34+MK40+MK44+MK48</f>
        <v>0</v>
      </c>
      <c r="ML17" s="219">
        <f t="shared" si="103"/>
        <v>0</v>
      </c>
      <c r="MM17" s="229">
        <f t="shared" ref="MM17:MV17" si="357">MM38+MM39+MM33+MM34+MM40+MM44+MM48</f>
        <v>0</v>
      </c>
      <c r="MN17" s="229">
        <f t="shared" si="357"/>
        <v>0</v>
      </c>
      <c r="MO17" s="229">
        <f t="shared" si="357"/>
        <v>0</v>
      </c>
      <c r="MP17" s="229">
        <f t="shared" si="357"/>
        <v>0</v>
      </c>
      <c r="MQ17" s="229">
        <f t="shared" si="357"/>
        <v>0</v>
      </c>
      <c r="MR17" s="229">
        <f t="shared" si="357"/>
        <v>0</v>
      </c>
      <c r="MS17" s="229">
        <f t="shared" si="357"/>
        <v>0</v>
      </c>
      <c r="MT17" s="229">
        <f t="shared" si="357"/>
        <v>0</v>
      </c>
      <c r="MU17" s="229">
        <f t="shared" si="357"/>
        <v>0</v>
      </c>
      <c r="MV17" s="229">
        <f t="shared" si="357"/>
        <v>0</v>
      </c>
      <c r="MW17" s="219">
        <f t="shared" si="104"/>
        <v>0</v>
      </c>
      <c r="MX17" s="229">
        <f t="shared" ref="MX17:MZ17" si="358">MX38+MX39+MX33+MX34+MX40+MX44+MX48</f>
        <v>0</v>
      </c>
      <c r="MY17" s="229">
        <f t="shared" si="358"/>
        <v>0</v>
      </c>
      <c r="MZ17" s="229">
        <f t="shared" si="358"/>
        <v>0</v>
      </c>
      <c r="NA17" s="219">
        <f t="shared" si="105"/>
        <v>0</v>
      </c>
      <c r="NB17" s="229">
        <f t="shared" ref="NB17:ND17" si="359">NB38+NB39+NB33+NB34+NB40+NB44+NB48</f>
        <v>0</v>
      </c>
      <c r="NC17" s="229">
        <f t="shared" si="359"/>
        <v>0</v>
      </c>
      <c r="ND17" s="229">
        <f t="shared" si="359"/>
        <v>0</v>
      </c>
      <c r="NE17" s="219">
        <f t="shared" si="106"/>
        <v>0</v>
      </c>
      <c r="NF17" s="229">
        <f t="shared" ref="NF17:NH17" si="360">NF38+NF39+NF33+NF34+NF40+NF44+NF48</f>
        <v>0</v>
      </c>
      <c r="NG17" s="229">
        <f t="shared" si="360"/>
        <v>0</v>
      </c>
      <c r="NH17" s="229">
        <f t="shared" si="360"/>
        <v>0</v>
      </c>
      <c r="NI17" s="219">
        <f t="shared" si="107"/>
        <v>0</v>
      </c>
      <c r="NJ17" s="229">
        <f t="shared" ref="NJ17:NL17" si="361">NJ38+NJ39+NJ33+NJ34+NJ40+NJ44+NJ48</f>
        <v>0</v>
      </c>
      <c r="NK17" s="229">
        <f t="shared" si="361"/>
        <v>0</v>
      </c>
      <c r="NL17" s="229">
        <f t="shared" si="361"/>
        <v>0</v>
      </c>
      <c r="NM17" s="219">
        <f t="shared" si="108"/>
        <v>0</v>
      </c>
      <c r="NN17" s="229">
        <f t="shared" ref="NN17:NP17" si="362">NN38+NN39+NN33+NN34+NN40+NN44+NN48</f>
        <v>0</v>
      </c>
      <c r="NO17" s="229">
        <f t="shared" si="362"/>
        <v>0</v>
      </c>
      <c r="NP17" s="229">
        <f t="shared" si="362"/>
        <v>0</v>
      </c>
      <c r="NQ17" s="219">
        <f t="shared" si="109"/>
        <v>0</v>
      </c>
      <c r="NR17" s="229">
        <f t="shared" ref="NR17:NT17" si="363">NR38+NR39+NR33+NR34+NR40+NR44+NR48</f>
        <v>0</v>
      </c>
      <c r="NS17" s="229">
        <f t="shared" si="363"/>
        <v>0</v>
      </c>
      <c r="NT17" s="229">
        <f t="shared" si="363"/>
        <v>0</v>
      </c>
      <c r="NU17" s="219">
        <f t="shared" si="110"/>
        <v>0</v>
      </c>
      <c r="NV17" s="229">
        <f t="shared" ref="NV17:NX17" si="364">NV38+NV39+NV33+NV34+NV40+NV44+NV48</f>
        <v>0</v>
      </c>
      <c r="NW17" s="229">
        <f t="shared" si="364"/>
        <v>0</v>
      </c>
      <c r="NX17" s="229">
        <f t="shared" si="364"/>
        <v>0</v>
      </c>
      <c r="NY17" s="219">
        <f t="shared" si="112"/>
        <v>0</v>
      </c>
      <c r="NZ17" s="229">
        <f t="shared" ref="NZ17:OB17" si="365">NZ38+NZ39+NZ33+NZ34+NZ40+NZ44+NZ48</f>
        <v>0</v>
      </c>
      <c r="OA17" s="229">
        <f t="shared" si="365"/>
        <v>0</v>
      </c>
      <c r="OB17" s="229">
        <f t="shared" si="365"/>
        <v>0</v>
      </c>
      <c r="OC17" s="219">
        <f t="shared" si="114"/>
        <v>0</v>
      </c>
      <c r="OD17" s="229">
        <f t="shared" ref="OD17:OQ17" si="366">OD38+OD39+OD33+OD34+OD40+OD44+OD48</f>
        <v>0</v>
      </c>
      <c r="OE17" s="229">
        <f t="shared" si="366"/>
        <v>0</v>
      </c>
      <c r="OF17" s="229">
        <f t="shared" si="366"/>
        <v>0</v>
      </c>
      <c r="OG17" s="229">
        <f t="shared" si="366"/>
        <v>0</v>
      </c>
      <c r="OH17" s="229">
        <f t="shared" si="366"/>
        <v>0</v>
      </c>
      <c r="OI17" s="229">
        <f t="shared" si="366"/>
        <v>0</v>
      </c>
      <c r="OJ17" s="229">
        <f t="shared" si="366"/>
        <v>0</v>
      </c>
      <c r="OK17" s="229">
        <f t="shared" si="366"/>
        <v>0</v>
      </c>
      <c r="OL17" s="229">
        <f t="shared" si="366"/>
        <v>0</v>
      </c>
      <c r="OM17" s="229">
        <f t="shared" si="366"/>
        <v>0</v>
      </c>
      <c r="ON17" s="229">
        <f t="shared" si="366"/>
        <v>0</v>
      </c>
      <c r="OO17" s="229">
        <f t="shared" si="366"/>
        <v>0</v>
      </c>
      <c r="OP17" s="229">
        <f t="shared" si="366"/>
        <v>0</v>
      </c>
      <c r="OQ17" s="229">
        <f t="shared" si="366"/>
        <v>0</v>
      </c>
      <c r="OR17" s="219">
        <f t="shared" si="116"/>
        <v>0</v>
      </c>
      <c r="OS17" s="229">
        <f t="shared" ref="OS17:OW17" si="367">OS38+OS39+OS33+OS34+OS40+OS44+OS48</f>
        <v>0</v>
      </c>
      <c r="OT17" s="229">
        <f t="shared" si="367"/>
        <v>0</v>
      </c>
      <c r="OU17" s="229">
        <f t="shared" si="367"/>
        <v>0</v>
      </c>
      <c r="OV17" s="229">
        <f t="shared" si="367"/>
        <v>0</v>
      </c>
      <c r="OW17" s="229">
        <f t="shared" si="367"/>
        <v>0</v>
      </c>
      <c r="OX17" s="219">
        <f t="shared" si="11"/>
        <v>0</v>
      </c>
      <c r="OY17" s="229">
        <f t="shared" ref="OY17:PA17" si="368">OY38+OY39+OY33+OY34+OY40+OY44+OY48</f>
        <v>0</v>
      </c>
      <c r="OZ17" s="229">
        <f t="shared" si="368"/>
        <v>0</v>
      </c>
      <c r="PA17" s="229">
        <f t="shared" si="368"/>
        <v>0</v>
      </c>
      <c r="PB17" s="219">
        <f t="shared" si="119"/>
        <v>0</v>
      </c>
      <c r="PC17" s="229">
        <f t="shared" ref="PC17:PE17" si="369">PC38+PC39+PC33+PC34+PC40+PC44+PC48</f>
        <v>0</v>
      </c>
      <c r="PD17" s="229">
        <f t="shared" si="369"/>
        <v>0</v>
      </c>
      <c r="PE17" s="229">
        <f t="shared" si="369"/>
        <v>0</v>
      </c>
      <c r="PF17" s="219">
        <f t="shared" si="121"/>
        <v>0</v>
      </c>
      <c r="PG17" s="229">
        <f t="shared" ref="PG17:PI17" si="370">PG38+PG39+PG33+PG34+PG40+PG44+PG48</f>
        <v>0</v>
      </c>
      <c r="PH17" s="229">
        <f t="shared" si="370"/>
        <v>0</v>
      </c>
      <c r="PI17" s="229">
        <f t="shared" si="370"/>
        <v>0</v>
      </c>
      <c r="PJ17" s="219">
        <f t="shared" si="123"/>
        <v>0</v>
      </c>
      <c r="PK17" s="229">
        <f t="shared" ref="PK17:PM17" si="371">PK38+PK39+PK33+PK34+PK40+PK44+PK48</f>
        <v>0</v>
      </c>
      <c r="PL17" s="229">
        <f t="shared" si="371"/>
        <v>0</v>
      </c>
      <c r="PM17" s="229">
        <f t="shared" si="371"/>
        <v>0</v>
      </c>
      <c r="PN17" s="219">
        <f t="shared" si="125"/>
        <v>0</v>
      </c>
      <c r="PO17" s="229">
        <f t="shared" ref="PO17:PQ17" si="372">PO38+PO39+PO33+PO34+PO40+PO44+PO48</f>
        <v>0</v>
      </c>
      <c r="PP17" s="229">
        <f t="shared" si="372"/>
        <v>0</v>
      </c>
      <c r="PQ17" s="229">
        <f t="shared" si="372"/>
        <v>0</v>
      </c>
      <c r="PR17" s="219">
        <f t="shared" si="127"/>
        <v>0</v>
      </c>
      <c r="PS17" s="229">
        <f t="shared" ref="PS17:PU17" si="373">PS38+PS39+PS33+PS34+PS40+PS44+PS48</f>
        <v>0</v>
      </c>
      <c r="PT17" s="229">
        <f t="shared" si="373"/>
        <v>0</v>
      </c>
      <c r="PU17" s="229">
        <f t="shared" si="373"/>
        <v>0</v>
      </c>
      <c r="PV17" s="219">
        <f t="shared" si="129"/>
        <v>0</v>
      </c>
      <c r="PW17" s="229">
        <f t="shared" ref="PW17:PY17" si="374">PW38+PW39+PW33+PW34+PW40+PW44+PW48</f>
        <v>0</v>
      </c>
      <c r="PX17" s="229">
        <f t="shared" si="374"/>
        <v>0</v>
      </c>
      <c r="PY17" s="229">
        <f t="shared" si="374"/>
        <v>0</v>
      </c>
      <c r="PZ17" s="219">
        <f t="shared" si="131"/>
        <v>0</v>
      </c>
      <c r="QA17" s="229">
        <f t="shared" ref="QA17:QC17" si="375">QA38+QA39+QA33+QA34+QA40+QA44+QA48</f>
        <v>0</v>
      </c>
      <c r="QB17" s="229">
        <f t="shared" si="375"/>
        <v>0</v>
      </c>
      <c r="QC17" s="229">
        <f t="shared" si="375"/>
        <v>0</v>
      </c>
      <c r="QD17" s="219">
        <f t="shared" si="132"/>
        <v>0</v>
      </c>
      <c r="QE17" s="229">
        <f t="shared" ref="QE17:QK17" si="376">QE38+QE39+QE33+QE34+QE40+QE44+QE48</f>
        <v>0</v>
      </c>
      <c r="QF17" s="229">
        <f t="shared" si="376"/>
        <v>0</v>
      </c>
      <c r="QG17" s="229">
        <f t="shared" si="376"/>
        <v>0</v>
      </c>
      <c r="QH17" s="229">
        <f t="shared" si="376"/>
        <v>0</v>
      </c>
      <c r="QI17" s="229">
        <f t="shared" si="376"/>
        <v>0</v>
      </c>
      <c r="QJ17" s="229">
        <f t="shared" si="376"/>
        <v>0</v>
      </c>
      <c r="QK17" s="229">
        <f t="shared" si="376"/>
        <v>0</v>
      </c>
      <c r="QL17" s="219">
        <f t="shared" si="133"/>
        <v>0</v>
      </c>
      <c r="QM17" s="229">
        <f t="shared" ref="QM17:QR17" si="377">QM38+QM39+QM33+QM34+QM40+QM44+QM48</f>
        <v>0</v>
      </c>
      <c r="QN17" s="229">
        <f t="shared" si="377"/>
        <v>0</v>
      </c>
      <c r="QO17" s="229">
        <f t="shared" si="377"/>
        <v>0</v>
      </c>
      <c r="QP17" s="229">
        <f t="shared" si="377"/>
        <v>0</v>
      </c>
      <c r="QQ17" s="229">
        <f t="shared" si="377"/>
        <v>0</v>
      </c>
      <c r="QR17" s="229">
        <f t="shared" si="377"/>
        <v>0</v>
      </c>
      <c r="QS17" s="219">
        <f t="shared" si="135"/>
        <v>0</v>
      </c>
      <c r="QT17" s="229">
        <f t="shared" ref="QT17:QY17" si="378">QT38+QT39+QT33+QT34+QT40+QT44+QT48</f>
        <v>0</v>
      </c>
      <c r="QU17" s="229">
        <f t="shared" si="378"/>
        <v>0</v>
      </c>
      <c r="QV17" s="229">
        <f t="shared" si="378"/>
        <v>0</v>
      </c>
      <c r="QW17" s="229">
        <f t="shared" si="378"/>
        <v>0</v>
      </c>
      <c r="QX17" s="229">
        <f t="shared" si="378"/>
        <v>0</v>
      </c>
      <c r="QY17" s="229">
        <f t="shared" si="378"/>
        <v>0</v>
      </c>
      <c r="QZ17" s="219">
        <f t="shared" si="137"/>
        <v>0</v>
      </c>
      <c r="RA17" s="229">
        <f t="shared" ref="RA17:RF17" si="379">RA38+RA39+RA33+RA34+RA40+RA44+RA48</f>
        <v>0</v>
      </c>
      <c r="RB17" s="229">
        <f t="shared" si="379"/>
        <v>0</v>
      </c>
      <c r="RC17" s="229">
        <f t="shared" si="379"/>
        <v>0</v>
      </c>
      <c r="RD17" s="229">
        <f t="shared" si="379"/>
        <v>0</v>
      </c>
      <c r="RE17" s="229">
        <f t="shared" si="379"/>
        <v>0</v>
      </c>
      <c r="RF17" s="229">
        <f t="shared" si="379"/>
        <v>0</v>
      </c>
      <c r="RG17" s="219">
        <f t="shared" si="139"/>
        <v>0</v>
      </c>
      <c r="RH17" s="229">
        <f t="shared" ref="RH17:RM17" si="380">RH38+RH39+RH33+RH34+RH40+RH44+RH48</f>
        <v>0</v>
      </c>
      <c r="RI17" s="229">
        <f t="shared" si="380"/>
        <v>0</v>
      </c>
      <c r="RJ17" s="229">
        <f t="shared" si="380"/>
        <v>0</v>
      </c>
      <c r="RK17" s="229">
        <f t="shared" si="380"/>
        <v>0</v>
      </c>
      <c r="RL17" s="229">
        <f t="shared" si="380"/>
        <v>0</v>
      </c>
      <c r="RM17" s="229">
        <f t="shared" si="380"/>
        <v>0</v>
      </c>
      <c r="RN17" s="219">
        <f t="shared" si="141"/>
        <v>0</v>
      </c>
      <c r="RO17" s="229">
        <f t="shared" ref="RO17:RT17" si="381">RO38+RO39+RO33+RO34+RO40+RO44+RO48</f>
        <v>0</v>
      </c>
      <c r="RP17" s="229">
        <f t="shared" si="381"/>
        <v>0</v>
      </c>
      <c r="RQ17" s="229">
        <f t="shared" si="381"/>
        <v>0</v>
      </c>
      <c r="RR17" s="229">
        <f t="shared" si="381"/>
        <v>0</v>
      </c>
      <c r="RS17" s="229">
        <f t="shared" si="381"/>
        <v>0</v>
      </c>
      <c r="RT17" s="229">
        <f t="shared" si="381"/>
        <v>0</v>
      </c>
      <c r="RU17" s="219">
        <f t="shared" si="143"/>
        <v>0</v>
      </c>
      <c r="RV17" s="229">
        <f t="shared" ref="RV17:SF17" si="382">RV38+RV39+RV33+RV34+RV40+RV44+RV48</f>
        <v>0</v>
      </c>
      <c r="RW17" s="229">
        <f t="shared" si="382"/>
        <v>0</v>
      </c>
      <c r="RX17" s="229">
        <f t="shared" si="382"/>
        <v>0</v>
      </c>
      <c r="RY17" s="229">
        <f t="shared" si="382"/>
        <v>0</v>
      </c>
      <c r="RZ17" s="229">
        <f t="shared" si="382"/>
        <v>0</v>
      </c>
      <c r="SA17" s="229">
        <f t="shared" si="382"/>
        <v>0</v>
      </c>
      <c r="SB17" s="229">
        <f t="shared" si="382"/>
        <v>0</v>
      </c>
      <c r="SC17" s="219">
        <f t="shared" si="145"/>
        <v>0</v>
      </c>
      <c r="SD17" s="229">
        <f t="shared" si="382"/>
        <v>0</v>
      </c>
      <c r="SE17" s="229">
        <f t="shared" si="382"/>
        <v>0</v>
      </c>
      <c r="SF17" s="229">
        <f t="shared" si="382"/>
        <v>0</v>
      </c>
      <c r="SG17" s="219">
        <f t="shared" si="147"/>
        <v>0</v>
      </c>
      <c r="SH17" s="229">
        <f t="shared" ref="SH17:SM17" si="383">SH38+SH39+SH33+SH34+SH40+SH44+SH48</f>
        <v>0</v>
      </c>
      <c r="SI17" s="229">
        <f t="shared" si="383"/>
        <v>0</v>
      </c>
      <c r="SJ17" s="229">
        <f t="shared" si="383"/>
        <v>0</v>
      </c>
      <c r="SK17" s="229">
        <f t="shared" si="383"/>
        <v>0</v>
      </c>
      <c r="SL17" s="229">
        <f t="shared" si="383"/>
        <v>0</v>
      </c>
      <c r="SM17" s="229">
        <f t="shared" si="383"/>
        <v>0</v>
      </c>
      <c r="SN17" s="219">
        <f t="shared" si="149"/>
        <v>0</v>
      </c>
      <c r="SO17" s="229">
        <f t="shared" ref="SO17:SQ17" si="384">SO38+SO39+SO33+SO34+SO40+SO44+SO48</f>
        <v>0</v>
      </c>
      <c r="SP17" s="229">
        <f t="shared" si="384"/>
        <v>0</v>
      </c>
      <c r="SQ17" s="229">
        <f t="shared" si="384"/>
        <v>0</v>
      </c>
      <c r="SR17" s="219">
        <f t="shared" si="151"/>
        <v>0</v>
      </c>
      <c r="SS17" s="229">
        <f t="shared" ref="SS17:ST17" si="385">SS38+SS39+SS33+SS34+SS40+SS44+SS48</f>
        <v>0</v>
      </c>
      <c r="ST17" s="229">
        <f t="shared" si="385"/>
        <v>0</v>
      </c>
      <c r="SU17" s="219">
        <f t="shared" si="153"/>
        <v>0</v>
      </c>
      <c r="SV17" s="229">
        <f t="shared" ref="SV17:SW17" si="386">SV38+SV39+SV33+SV34+SV40+SV44+SV48</f>
        <v>0</v>
      </c>
      <c r="SW17" s="229">
        <f t="shared" si="386"/>
        <v>0</v>
      </c>
      <c r="SX17" s="219">
        <f t="shared" si="155"/>
        <v>0</v>
      </c>
      <c r="SY17" s="229">
        <f t="shared" ref="SY17:SZ17" si="387">SY38+SY39+SY33+SY34+SY40+SY44+SY48</f>
        <v>0</v>
      </c>
      <c r="SZ17" s="229">
        <f t="shared" si="387"/>
        <v>0</v>
      </c>
      <c r="TA17" s="219">
        <f t="shared" si="157"/>
        <v>0</v>
      </c>
      <c r="TB17" s="229">
        <f t="shared" ref="TB17:UC17" si="388">TB38+TB39+TB33+TB34+TB40+TB44+TB48</f>
        <v>0</v>
      </c>
      <c r="TC17" s="229">
        <f t="shared" si="388"/>
        <v>0</v>
      </c>
      <c r="TD17" s="229">
        <f t="shared" si="388"/>
        <v>0</v>
      </c>
      <c r="TE17" s="229">
        <f t="shared" si="388"/>
        <v>0</v>
      </c>
      <c r="TF17" s="229">
        <f t="shared" si="388"/>
        <v>0</v>
      </c>
      <c r="TG17" s="229">
        <f t="shared" si="388"/>
        <v>0</v>
      </c>
      <c r="TH17" s="229">
        <f t="shared" si="388"/>
        <v>0</v>
      </c>
      <c r="TI17" s="229">
        <f t="shared" si="388"/>
        <v>0</v>
      </c>
      <c r="TJ17" s="229">
        <f t="shared" si="388"/>
        <v>0</v>
      </c>
      <c r="TK17" s="229">
        <f t="shared" si="388"/>
        <v>0</v>
      </c>
      <c r="TL17" s="229">
        <f t="shared" si="388"/>
        <v>0</v>
      </c>
      <c r="TM17" s="229">
        <f t="shared" si="388"/>
        <v>0</v>
      </c>
      <c r="TN17" s="229">
        <f t="shared" si="388"/>
        <v>0</v>
      </c>
      <c r="TO17" s="229">
        <f t="shared" si="388"/>
        <v>0</v>
      </c>
      <c r="TP17" s="229">
        <f t="shared" si="388"/>
        <v>0</v>
      </c>
      <c r="TQ17" s="229">
        <f t="shared" si="388"/>
        <v>0</v>
      </c>
      <c r="TR17" s="229">
        <f t="shared" si="388"/>
        <v>0</v>
      </c>
      <c r="TS17" s="229">
        <f t="shared" si="388"/>
        <v>0</v>
      </c>
      <c r="TT17" s="229">
        <f t="shared" si="388"/>
        <v>0</v>
      </c>
      <c r="TU17" s="229">
        <f t="shared" si="388"/>
        <v>0</v>
      </c>
      <c r="TV17" s="229">
        <f t="shared" si="388"/>
        <v>0</v>
      </c>
      <c r="TW17" s="229">
        <f t="shared" si="388"/>
        <v>0</v>
      </c>
      <c r="TX17" s="229">
        <f t="shared" si="388"/>
        <v>0</v>
      </c>
      <c r="TY17" s="229">
        <f t="shared" si="388"/>
        <v>0</v>
      </c>
      <c r="TZ17" s="229">
        <f t="shared" si="388"/>
        <v>0</v>
      </c>
      <c r="UA17" s="229">
        <f t="shared" si="388"/>
        <v>0</v>
      </c>
      <c r="UB17" s="229">
        <f t="shared" si="388"/>
        <v>0</v>
      </c>
      <c r="UC17" s="229">
        <f t="shared" si="388"/>
        <v>0</v>
      </c>
    </row>
    <row r="18" spans="1:549" s="182" customFormat="1" hidden="1" x14ac:dyDescent="0.25">
      <c r="A18" s="229" t="s">
        <v>238</v>
      </c>
      <c r="B18" s="230"/>
      <c r="C18" s="230" t="s">
        <v>239</v>
      </c>
      <c r="D18" s="36"/>
      <c r="E18" s="229">
        <f>E78+E56+E57+E58</f>
        <v>0</v>
      </c>
      <c r="F18" s="229">
        <f t="shared" ref="F18:G18" si="389">F78+F56+F57+F58</f>
        <v>0</v>
      </c>
      <c r="G18" s="229">
        <f t="shared" si="389"/>
        <v>0</v>
      </c>
      <c r="H18" s="219">
        <f t="shared" si="33"/>
        <v>0</v>
      </c>
      <c r="I18" s="229">
        <f>I78+I56+I57+I58</f>
        <v>0</v>
      </c>
      <c r="J18" s="229">
        <f t="shared" ref="J18:K18" si="390">J78+J56+J57+J58</f>
        <v>0</v>
      </c>
      <c r="K18" s="229">
        <f t="shared" si="390"/>
        <v>0</v>
      </c>
      <c r="L18" s="219">
        <f t="shared" si="34"/>
        <v>0</v>
      </c>
      <c r="M18" s="229">
        <f t="shared" ref="M18:N18" si="391">M78+M56+M57+M58</f>
        <v>0</v>
      </c>
      <c r="N18" s="229">
        <f t="shared" si="391"/>
        <v>0</v>
      </c>
      <c r="O18" s="219">
        <f t="shared" si="35"/>
        <v>0</v>
      </c>
      <c r="P18" s="229">
        <f>P78+P56+P57+P58</f>
        <v>0</v>
      </c>
      <c r="Q18" s="229">
        <f t="shared" ref="Q18:S18" si="392">Q78+Q56+Q57+Q58</f>
        <v>0</v>
      </c>
      <c r="R18" s="229">
        <f t="shared" si="392"/>
        <v>0</v>
      </c>
      <c r="S18" s="229">
        <f t="shared" si="392"/>
        <v>0</v>
      </c>
      <c r="T18" s="219">
        <f t="shared" si="36"/>
        <v>0</v>
      </c>
      <c r="U18" s="229">
        <f t="shared" ref="U18:W18" si="393">U78+U56+U57+U58</f>
        <v>0</v>
      </c>
      <c r="V18" s="229">
        <f t="shared" si="393"/>
        <v>0</v>
      </c>
      <c r="W18" s="229">
        <f t="shared" si="393"/>
        <v>0</v>
      </c>
      <c r="X18" s="219">
        <f t="shared" si="37"/>
        <v>0</v>
      </c>
      <c r="Y18" s="229">
        <f t="shared" ref="Y18:Z18" si="394">Y78+Y56+Y57+Y58</f>
        <v>0</v>
      </c>
      <c r="Z18" s="229">
        <f t="shared" si="394"/>
        <v>0</v>
      </c>
      <c r="AA18" s="219">
        <f t="shared" si="38"/>
        <v>0</v>
      </c>
      <c r="AB18" s="229">
        <f t="shared" ref="AB18:AC18" si="395">AB78+AB56+AB57+AB58</f>
        <v>0</v>
      </c>
      <c r="AC18" s="229">
        <f t="shared" si="395"/>
        <v>0</v>
      </c>
      <c r="AD18" s="219">
        <f t="shared" si="39"/>
        <v>0</v>
      </c>
      <c r="AE18" s="229">
        <f t="shared" ref="AE18:AG18" si="396">AE78+AE56+AE57+AE58</f>
        <v>0</v>
      </c>
      <c r="AF18" s="229">
        <f t="shared" si="396"/>
        <v>0</v>
      </c>
      <c r="AG18" s="229">
        <f t="shared" si="396"/>
        <v>0</v>
      </c>
      <c r="AH18" s="219">
        <f t="shared" si="40"/>
        <v>0</v>
      </c>
      <c r="AI18" s="229">
        <f t="shared" ref="AI18:AK18" si="397">AI78+AI56+AI57+AI58</f>
        <v>0</v>
      </c>
      <c r="AJ18" s="229">
        <f t="shared" si="397"/>
        <v>0</v>
      </c>
      <c r="AK18" s="229">
        <f t="shared" si="397"/>
        <v>0</v>
      </c>
      <c r="AL18" s="219">
        <f t="shared" si="41"/>
        <v>0</v>
      </c>
      <c r="AM18" s="229">
        <f t="shared" ref="AM18:AO18" si="398">AM78+AM56+AM57+AM58</f>
        <v>0</v>
      </c>
      <c r="AN18" s="229">
        <f t="shared" si="398"/>
        <v>0</v>
      </c>
      <c r="AO18" s="229">
        <f t="shared" si="398"/>
        <v>0</v>
      </c>
      <c r="AP18" s="219">
        <f t="shared" si="42"/>
        <v>0</v>
      </c>
      <c r="AQ18" s="229">
        <f t="shared" ref="AQ18:AT18" si="399">AQ78+AQ56+AQ57+AQ58</f>
        <v>0</v>
      </c>
      <c r="AR18" s="229">
        <f t="shared" si="399"/>
        <v>0</v>
      </c>
      <c r="AS18" s="229">
        <f t="shared" si="399"/>
        <v>0</v>
      </c>
      <c r="AT18" s="229">
        <f t="shared" si="399"/>
        <v>0</v>
      </c>
      <c r="AU18" s="219">
        <f t="shared" si="43"/>
        <v>0</v>
      </c>
      <c r="AV18" s="229">
        <f t="shared" ref="AV18:BC18" si="400">AV78+AV56+AV57+AV58</f>
        <v>0</v>
      </c>
      <c r="AW18" s="229">
        <f t="shared" si="400"/>
        <v>0</v>
      </c>
      <c r="AX18" s="229">
        <f t="shared" si="400"/>
        <v>0</v>
      </c>
      <c r="AY18" s="229">
        <f t="shared" si="400"/>
        <v>0</v>
      </c>
      <c r="AZ18" s="229">
        <f t="shared" si="400"/>
        <v>0</v>
      </c>
      <c r="BA18" s="229">
        <f t="shared" si="400"/>
        <v>0</v>
      </c>
      <c r="BB18" s="229">
        <f t="shared" si="400"/>
        <v>0</v>
      </c>
      <c r="BC18" s="229">
        <f t="shared" si="400"/>
        <v>0</v>
      </c>
      <c r="BD18" s="219">
        <f t="shared" si="44"/>
        <v>0</v>
      </c>
      <c r="BE18" s="229">
        <f t="shared" ref="BE18:BK18" si="401">BE78+BE56+BE57+BE58</f>
        <v>0</v>
      </c>
      <c r="BF18" s="229">
        <f t="shared" si="401"/>
        <v>0</v>
      </c>
      <c r="BG18" s="229">
        <f t="shared" si="401"/>
        <v>0</v>
      </c>
      <c r="BH18" s="229">
        <f t="shared" si="401"/>
        <v>0</v>
      </c>
      <c r="BI18" s="229">
        <f t="shared" si="401"/>
        <v>0</v>
      </c>
      <c r="BJ18" s="229">
        <f t="shared" si="401"/>
        <v>0</v>
      </c>
      <c r="BK18" s="229">
        <f t="shared" si="401"/>
        <v>0</v>
      </c>
      <c r="BL18" s="219">
        <f t="shared" si="45"/>
        <v>0</v>
      </c>
      <c r="BM18" s="229">
        <f t="shared" ref="BM18:BR18" si="402">BM78+BM56+BM57+BM58</f>
        <v>0</v>
      </c>
      <c r="BN18" s="229">
        <f t="shared" si="402"/>
        <v>0</v>
      </c>
      <c r="BO18" s="229">
        <f t="shared" si="402"/>
        <v>0</v>
      </c>
      <c r="BP18" s="229">
        <f t="shared" si="402"/>
        <v>0</v>
      </c>
      <c r="BQ18" s="229">
        <f t="shared" si="402"/>
        <v>0</v>
      </c>
      <c r="BR18" s="229">
        <f t="shared" si="402"/>
        <v>0</v>
      </c>
      <c r="BS18" s="219">
        <f t="shared" si="47"/>
        <v>0</v>
      </c>
      <c r="BT18" s="229">
        <f t="shared" ref="BT18:BV18" si="403">BT78+BT56+BT57+BT58</f>
        <v>0</v>
      </c>
      <c r="BU18" s="229">
        <f t="shared" si="403"/>
        <v>0</v>
      </c>
      <c r="BV18" s="229">
        <f t="shared" si="403"/>
        <v>0</v>
      </c>
      <c r="BW18" s="219">
        <f t="shared" si="48"/>
        <v>0</v>
      </c>
      <c r="BX18" s="229">
        <f t="shared" ref="BX18:BY18" si="404">BX78+BX56+BX57+BX58</f>
        <v>0</v>
      </c>
      <c r="BY18" s="229">
        <f t="shared" si="404"/>
        <v>0</v>
      </c>
      <c r="BZ18" s="219">
        <f t="shared" si="49"/>
        <v>0</v>
      </c>
      <c r="CA18" s="229">
        <f t="shared" ref="CA18:CB18" si="405">CA78+CA56+CA57+CA58</f>
        <v>0</v>
      </c>
      <c r="CB18" s="229">
        <f t="shared" si="405"/>
        <v>0</v>
      </c>
      <c r="CC18" s="219">
        <f t="shared" si="50"/>
        <v>0</v>
      </c>
      <c r="CD18" s="229">
        <f t="shared" ref="CD18:CK18" si="406">CD78+CD56+CD57+CD58</f>
        <v>0</v>
      </c>
      <c r="CE18" s="229">
        <f t="shared" si="406"/>
        <v>0</v>
      </c>
      <c r="CF18" s="229">
        <f t="shared" si="406"/>
        <v>0</v>
      </c>
      <c r="CG18" s="229">
        <f t="shared" si="406"/>
        <v>0</v>
      </c>
      <c r="CH18" s="229">
        <f t="shared" si="406"/>
        <v>0</v>
      </c>
      <c r="CI18" s="229">
        <f t="shared" si="406"/>
        <v>0</v>
      </c>
      <c r="CJ18" s="229">
        <f t="shared" si="406"/>
        <v>0</v>
      </c>
      <c r="CK18" s="229">
        <f t="shared" si="406"/>
        <v>0</v>
      </c>
      <c r="CL18" s="219">
        <f t="shared" si="51"/>
        <v>0</v>
      </c>
      <c r="CM18" s="229">
        <f t="shared" ref="CM18:CP18" si="407">CM78+CM56+CM57+CM58</f>
        <v>0</v>
      </c>
      <c r="CN18" s="229">
        <f t="shared" si="407"/>
        <v>0</v>
      </c>
      <c r="CO18" s="229">
        <f t="shared" si="407"/>
        <v>0</v>
      </c>
      <c r="CP18" s="229">
        <f t="shared" si="407"/>
        <v>0</v>
      </c>
      <c r="CQ18" s="219">
        <f t="shared" si="52"/>
        <v>0</v>
      </c>
      <c r="CR18" s="229">
        <f t="shared" ref="CR18:CW18" si="408">CR78+CR56+CR57+CR58</f>
        <v>0</v>
      </c>
      <c r="CS18" s="229">
        <f t="shared" si="408"/>
        <v>0</v>
      </c>
      <c r="CT18" s="229">
        <f t="shared" si="408"/>
        <v>0</v>
      </c>
      <c r="CU18" s="229">
        <f t="shared" si="408"/>
        <v>0</v>
      </c>
      <c r="CV18" s="229">
        <f t="shared" si="408"/>
        <v>0</v>
      </c>
      <c r="CW18" s="229">
        <f t="shared" si="408"/>
        <v>0</v>
      </c>
      <c r="CX18" s="219">
        <f t="shared" si="53"/>
        <v>0</v>
      </c>
      <c r="CY18" s="229">
        <f t="shared" ref="CY18:DA18" si="409">CY78+CY56+CY57+CY58</f>
        <v>0</v>
      </c>
      <c r="CZ18" s="229">
        <f t="shared" si="409"/>
        <v>0</v>
      </c>
      <c r="DA18" s="229">
        <f t="shared" si="409"/>
        <v>0</v>
      </c>
      <c r="DB18" s="219">
        <f t="shared" si="54"/>
        <v>0</v>
      </c>
      <c r="DC18" s="229">
        <f t="shared" ref="DC18:DD18" si="410">DC78+DC56+DC57+DC58</f>
        <v>0</v>
      </c>
      <c r="DD18" s="229">
        <f t="shared" si="410"/>
        <v>0</v>
      </c>
      <c r="DE18" s="219">
        <f t="shared" si="55"/>
        <v>0</v>
      </c>
      <c r="DF18" s="229">
        <f t="shared" ref="DF18:DG18" si="411">DF78+DF56+DF57+DF58</f>
        <v>0</v>
      </c>
      <c r="DG18" s="229">
        <f t="shared" si="411"/>
        <v>0</v>
      </c>
      <c r="DH18" s="219">
        <f t="shared" si="56"/>
        <v>0</v>
      </c>
      <c r="DI18" s="229">
        <f t="shared" ref="DI18:DJ18" si="412">DI78+DI56+DI57+DI58</f>
        <v>0</v>
      </c>
      <c r="DJ18" s="229">
        <f t="shared" si="412"/>
        <v>0</v>
      </c>
      <c r="DK18" s="219">
        <f t="shared" si="57"/>
        <v>0</v>
      </c>
      <c r="DL18" s="229">
        <f t="shared" ref="DL18:DV18" si="413">DL78+DL56+DL57+DL58</f>
        <v>0</v>
      </c>
      <c r="DM18" s="229">
        <f t="shared" si="413"/>
        <v>0</v>
      </c>
      <c r="DN18" s="229">
        <f t="shared" si="413"/>
        <v>0</v>
      </c>
      <c r="DO18" s="229">
        <f t="shared" si="413"/>
        <v>0</v>
      </c>
      <c r="DP18" s="229">
        <f t="shared" si="413"/>
        <v>0</v>
      </c>
      <c r="DQ18" s="229">
        <f t="shared" si="413"/>
        <v>0</v>
      </c>
      <c r="DR18" s="229">
        <f t="shared" si="413"/>
        <v>0</v>
      </c>
      <c r="DS18" s="229">
        <f t="shared" si="413"/>
        <v>0</v>
      </c>
      <c r="DT18" s="229">
        <f t="shared" si="413"/>
        <v>0</v>
      </c>
      <c r="DU18" s="229">
        <f t="shared" si="413"/>
        <v>0</v>
      </c>
      <c r="DV18" s="229">
        <f t="shared" si="413"/>
        <v>0</v>
      </c>
      <c r="DW18" s="219">
        <f t="shared" si="58"/>
        <v>0</v>
      </c>
      <c r="DX18" s="229">
        <f t="shared" ref="DX18:DZ18" si="414">DX78+DX56+DX57+DX58</f>
        <v>0</v>
      </c>
      <c r="DY18" s="229">
        <f t="shared" si="414"/>
        <v>0</v>
      </c>
      <c r="DZ18" s="229">
        <f t="shared" si="414"/>
        <v>0</v>
      </c>
      <c r="EA18" s="219">
        <f t="shared" si="59"/>
        <v>0</v>
      </c>
      <c r="EB18" s="229">
        <f t="shared" ref="EB18:EG18" si="415">EB78+EB56+EB57+EB58</f>
        <v>0</v>
      </c>
      <c r="EC18" s="229">
        <f t="shared" si="415"/>
        <v>0</v>
      </c>
      <c r="ED18" s="229">
        <f t="shared" si="415"/>
        <v>0</v>
      </c>
      <c r="EE18" s="229">
        <f t="shared" si="415"/>
        <v>0</v>
      </c>
      <c r="EF18" s="229">
        <f t="shared" si="415"/>
        <v>0</v>
      </c>
      <c r="EG18" s="229">
        <f t="shared" si="415"/>
        <v>0</v>
      </c>
      <c r="EH18" s="219">
        <f t="shared" si="61"/>
        <v>0</v>
      </c>
      <c r="EI18" s="229">
        <f t="shared" ref="EI18:EK18" si="416">EI78+EI56+EI57+EI58</f>
        <v>0</v>
      </c>
      <c r="EJ18" s="229">
        <f t="shared" si="416"/>
        <v>0</v>
      </c>
      <c r="EK18" s="229">
        <f t="shared" si="416"/>
        <v>0</v>
      </c>
      <c r="EL18" s="219">
        <f t="shared" si="62"/>
        <v>0</v>
      </c>
      <c r="EM18" s="229">
        <f t="shared" ref="EM18:EN18" si="417">EM78+EM56+EM57+EM58</f>
        <v>0</v>
      </c>
      <c r="EN18" s="229">
        <f t="shared" si="417"/>
        <v>0</v>
      </c>
      <c r="EO18" s="219">
        <f t="shared" si="63"/>
        <v>0</v>
      </c>
      <c r="EP18" s="229">
        <f t="shared" ref="EP18:EQ18" si="418">EP78+EP56+EP57+EP58</f>
        <v>0</v>
      </c>
      <c r="EQ18" s="229">
        <f t="shared" si="418"/>
        <v>0</v>
      </c>
      <c r="ER18" s="219">
        <f t="shared" si="64"/>
        <v>0</v>
      </c>
      <c r="ES18" s="229">
        <f t="shared" ref="ES18:ET18" si="419">ES78+ES56+ES57+ES58</f>
        <v>0</v>
      </c>
      <c r="ET18" s="229">
        <f t="shared" si="419"/>
        <v>0</v>
      </c>
      <c r="EU18" s="219">
        <f t="shared" si="65"/>
        <v>0</v>
      </c>
      <c r="EV18" s="229">
        <f t="shared" ref="EV18:FF18" si="420">EV78+EV56+EV57+EV58</f>
        <v>0</v>
      </c>
      <c r="EW18" s="229">
        <f t="shared" si="420"/>
        <v>0</v>
      </c>
      <c r="EX18" s="229">
        <f t="shared" si="420"/>
        <v>0</v>
      </c>
      <c r="EY18" s="229">
        <f t="shared" si="420"/>
        <v>0</v>
      </c>
      <c r="EZ18" s="229">
        <f t="shared" si="420"/>
        <v>0</v>
      </c>
      <c r="FA18" s="229">
        <f t="shared" si="420"/>
        <v>0</v>
      </c>
      <c r="FB18" s="229">
        <f t="shared" si="420"/>
        <v>0</v>
      </c>
      <c r="FC18" s="229">
        <f t="shared" si="420"/>
        <v>0</v>
      </c>
      <c r="FD18" s="229">
        <f t="shared" si="420"/>
        <v>0</v>
      </c>
      <c r="FE18" s="229">
        <f t="shared" si="420"/>
        <v>0</v>
      </c>
      <c r="FF18" s="229">
        <f t="shared" si="420"/>
        <v>0</v>
      </c>
      <c r="FG18" s="219">
        <f t="shared" si="66"/>
        <v>0</v>
      </c>
      <c r="FH18" s="229">
        <f t="shared" ref="FH18:FJ18" si="421">FH78+FH56+FH57+FH58</f>
        <v>0</v>
      </c>
      <c r="FI18" s="229">
        <f t="shared" si="421"/>
        <v>0</v>
      </c>
      <c r="FJ18" s="229">
        <f t="shared" si="421"/>
        <v>0</v>
      </c>
      <c r="FK18" s="219">
        <f t="shared" si="67"/>
        <v>0</v>
      </c>
      <c r="FL18" s="229">
        <f t="shared" ref="FL18:FQ18" si="422">FL78+FL56+FL57+FL58</f>
        <v>0</v>
      </c>
      <c r="FM18" s="229">
        <f t="shared" si="422"/>
        <v>0</v>
      </c>
      <c r="FN18" s="229">
        <f t="shared" si="422"/>
        <v>0</v>
      </c>
      <c r="FO18" s="229">
        <f t="shared" si="422"/>
        <v>0</v>
      </c>
      <c r="FP18" s="229">
        <f t="shared" si="422"/>
        <v>0</v>
      </c>
      <c r="FQ18" s="229">
        <f t="shared" si="422"/>
        <v>0</v>
      </c>
      <c r="FR18" s="219">
        <f t="shared" si="68"/>
        <v>0</v>
      </c>
      <c r="FS18" s="229">
        <f t="shared" ref="FS18:FU18" si="423">FS78+FS56+FS57+FS58</f>
        <v>0</v>
      </c>
      <c r="FT18" s="229">
        <f t="shared" si="423"/>
        <v>0</v>
      </c>
      <c r="FU18" s="229">
        <f t="shared" si="423"/>
        <v>0</v>
      </c>
      <c r="FV18" s="219">
        <f t="shared" si="69"/>
        <v>0</v>
      </c>
      <c r="FW18" s="229">
        <f t="shared" ref="FW18:FX18" si="424">FW78+FW56+FW57+FW58</f>
        <v>0</v>
      </c>
      <c r="FX18" s="229">
        <f t="shared" si="424"/>
        <v>0</v>
      </c>
      <c r="FY18" s="219">
        <f t="shared" si="70"/>
        <v>0</v>
      </c>
      <c r="FZ18" s="229">
        <f t="shared" ref="FZ18:GA18" si="425">FZ78+FZ56+FZ57+FZ58</f>
        <v>0</v>
      </c>
      <c r="GA18" s="229">
        <f t="shared" si="425"/>
        <v>0</v>
      </c>
      <c r="GB18" s="219">
        <f t="shared" si="71"/>
        <v>0</v>
      </c>
      <c r="GC18" s="229">
        <f t="shared" ref="GC18:GD18" si="426">GC78+GC56+GC57+GC58</f>
        <v>0</v>
      </c>
      <c r="GD18" s="229">
        <f t="shared" si="426"/>
        <v>0</v>
      </c>
      <c r="GE18" s="219">
        <f t="shared" si="72"/>
        <v>0</v>
      </c>
      <c r="GF18" s="229">
        <f t="shared" ref="GF18:GM18" si="427">GF78+GF56+GF57+GF58</f>
        <v>0</v>
      </c>
      <c r="GG18" s="229">
        <f t="shared" si="427"/>
        <v>0</v>
      </c>
      <c r="GH18" s="229">
        <f t="shared" si="427"/>
        <v>0</v>
      </c>
      <c r="GI18" s="229">
        <f t="shared" si="427"/>
        <v>0</v>
      </c>
      <c r="GJ18" s="229">
        <f t="shared" si="427"/>
        <v>0</v>
      </c>
      <c r="GK18" s="229">
        <f t="shared" si="427"/>
        <v>0</v>
      </c>
      <c r="GL18" s="229">
        <f t="shared" si="427"/>
        <v>0</v>
      </c>
      <c r="GM18" s="229">
        <f t="shared" si="427"/>
        <v>0</v>
      </c>
      <c r="GN18" s="219">
        <f t="shared" si="73"/>
        <v>0</v>
      </c>
      <c r="GO18" s="229">
        <f t="shared" ref="GO18:GQ18" si="428">GO78+GO56+GO57+GO58</f>
        <v>0</v>
      </c>
      <c r="GP18" s="229">
        <f t="shared" si="428"/>
        <v>0</v>
      </c>
      <c r="GQ18" s="229">
        <f t="shared" si="428"/>
        <v>0</v>
      </c>
      <c r="GR18" s="219">
        <f t="shared" si="3"/>
        <v>0</v>
      </c>
      <c r="GS18" s="229">
        <f t="shared" ref="GS18:GV18" si="429">GS78+GS56+GS57+GS58</f>
        <v>0</v>
      </c>
      <c r="GT18" s="229">
        <f t="shared" si="429"/>
        <v>0</v>
      </c>
      <c r="GU18" s="229">
        <f t="shared" si="429"/>
        <v>0</v>
      </c>
      <c r="GV18" s="229">
        <f t="shared" si="429"/>
        <v>0</v>
      </c>
      <c r="GW18" s="219">
        <f t="shared" si="75"/>
        <v>0</v>
      </c>
      <c r="GX18" s="229">
        <f t="shared" ref="GX18:HA18" si="430">GX78+GX56+GX57+GX58</f>
        <v>0</v>
      </c>
      <c r="GY18" s="229">
        <f t="shared" si="430"/>
        <v>0</v>
      </c>
      <c r="GZ18" s="229">
        <f t="shared" si="430"/>
        <v>0</v>
      </c>
      <c r="HA18" s="229">
        <f t="shared" si="430"/>
        <v>0</v>
      </c>
      <c r="HB18" s="219">
        <f t="shared" si="76"/>
        <v>0</v>
      </c>
      <c r="HC18" s="229">
        <f t="shared" ref="HC18:HF18" si="431">HC78+HC56+HC57+HC58</f>
        <v>0</v>
      </c>
      <c r="HD18" s="229">
        <f t="shared" si="431"/>
        <v>0</v>
      </c>
      <c r="HE18" s="229">
        <f t="shared" si="431"/>
        <v>0</v>
      </c>
      <c r="HF18" s="229">
        <f t="shared" si="431"/>
        <v>0</v>
      </c>
      <c r="HG18" s="219">
        <f t="shared" si="77"/>
        <v>0</v>
      </c>
      <c r="HH18" s="229">
        <f t="shared" ref="HH18:HK18" si="432">HH78+HH56+HH57+HH58</f>
        <v>0</v>
      </c>
      <c r="HI18" s="229">
        <f t="shared" si="432"/>
        <v>0</v>
      </c>
      <c r="HJ18" s="229">
        <f t="shared" si="432"/>
        <v>0</v>
      </c>
      <c r="HK18" s="229">
        <f t="shared" si="432"/>
        <v>0</v>
      </c>
      <c r="HL18" s="219">
        <f t="shared" si="78"/>
        <v>0</v>
      </c>
      <c r="HM18" s="229">
        <f t="shared" ref="HM18:HP18" si="433">HM78+HM56+HM57+HM58</f>
        <v>0</v>
      </c>
      <c r="HN18" s="229">
        <f t="shared" si="433"/>
        <v>0</v>
      </c>
      <c r="HO18" s="229">
        <f t="shared" si="433"/>
        <v>0</v>
      </c>
      <c r="HP18" s="229">
        <f t="shared" si="433"/>
        <v>0</v>
      </c>
      <c r="HQ18" s="219">
        <f t="shared" si="79"/>
        <v>0</v>
      </c>
      <c r="HR18" s="229">
        <f t="shared" ref="HR18:HU18" si="434">HR78+HR56+HR57+HR58</f>
        <v>0</v>
      </c>
      <c r="HS18" s="229">
        <f t="shared" si="434"/>
        <v>0</v>
      </c>
      <c r="HT18" s="229">
        <f t="shared" si="434"/>
        <v>0</v>
      </c>
      <c r="HU18" s="229">
        <f t="shared" si="434"/>
        <v>0</v>
      </c>
      <c r="HV18" s="219">
        <f t="shared" si="80"/>
        <v>0</v>
      </c>
      <c r="HW18" s="229">
        <f t="shared" ref="HW18:HY18" si="435">HW78+HW56+HW57+HW58</f>
        <v>0</v>
      </c>
      <c r="HX18" s="229">
        <f t="shared" si="435"/>
        <v>0</v>
      </c>
      <c r="HY18" s="229">
        <f t="shared" si="435"/>
        <v>0</v>
      </c>
      <c r="HZ18" s="219">
        <f t="shared" si="81"/>
        <v>0</v>
      </c>
      <c r="IA18" s="229">
        <f t="shared" ref="IA18:ID18" si="436">IA78+IA56+IA57+IA58</f>
        <v>0</v>
      </c>
      <c r="IB18" s="229">
        <f t="shared" si="436"/>
        <v>0</v>
      </c>
      <c r="IC18" s="229">
        <f t="shared" si="436"/>
        <v>0</v>
      </c>
      <c r="ID18" s="229">
        <f t="shared" si="436"/>
        <v>0</v>
      </c>
      <c r="IE18" s="219">
        <f t="shared" si="82"/>
        <v>0</v>
      </c>
      <c r="IF18" s="229">
        <f t="shared" ref="IF18:II18" si="437">IF78+IF56+IF57+IF58</f>
        <v>0</v>
      </c>
      <c r="IG18" s="229">
        <f t="shared" si="437"/>
        <v>0</v>
      </c>
      <c r="IH18" s="229">
        <f t="shared" si="437"/>
        <v>0</v>
      </c>
      <c r="II18" s="229">
        <f t="shared" si="437"/>
        <v>0</v>
      </c>
      <c r="IJ18" s="219">
        <f t="shared" si="83"/>
        <v>0</v>
      </c>
      <c r="IK18" s="229">
        <f t="shared" ref="IK18:IN18" si="438">IK78+IK56+IK57+IK58</f>
        <v>0</v>
      </c>
      <c r="IL18" s="229">
        <f t="shared" si="438"/>
        <v>0</v>
      </c>
      <c r="IM18" s="229">
        <f t="shared" si="438"/>
        <v>0</v>
      </c>
      <c r="IN18" s="229">
        <f t="shared" si="438"/>
        <v>0</v>
      </c>
      <c r="IO18" s="219">
        <f t="shared" si="84"/>
        <v>0</v>
      </c>
      <c r="IP18" s="229">
        <f t="shared" ref="IP18:IS18" si="439">IP78+IP56+IP57+IP58</f>
        <v>0</v>
      </c>
      <c r="IQ18" s="229">
        <f t="shared" si="439"/>
        <v>0</v>
      </c>
      <c r="IR18" s="229">
        <f t="shared" si="439"/>
        <v>0</v>
      </c>
      <c r="IS18" s="229">
        <f t="shared" si="439"/>
        <v>0</v>
      </c>
      <c r="IT18" s="219">
        <f t="shared" si="85"/>
        <v>0</v>
      </c>
      <c r="IU18" s="229">
        <f t="shared" ref="IU18:IW18" si="440">IU78+IU56+IU57+IU58</f>
        <v>0</v>
      </c>
      <c r="IV18" s="229">
        <f t="shared" si="440"/>
        <v>0</v>
      </c>
      <c r="IW18" s="229">
        <f t="shared" si="440"/>
        <v>0</v>
      </c>
      <c r="IX18" s="219">
        <f t="shared" si="86"/>
        <v>0</v>
      </c>
      <c r="IY18" s="229">
        <f t="shared" ref="IY18:JA18" si="441">IY78+IY56+IY57+IY58</f>
        <v>0</v>
      </c>
      <c r="IZ18" s="229">
        <f t="shared" si="441"/>
        <v>0</v>
      </c>
      <c r="JA18" s="229">
        <f t="shared" si="441"/>
        <v>0</v>
      </c>
      <c r="JB18" s="219">
        <f t="shared" si="87"/>
        <v>0</v>
      </c>
      <c r="JC18" s="229">
        <f t="shared" ref="JC18:JE18" si="442">JC78+JC56+JC57+JC58</f>
        <v>0</v>
      </c>
      <c r="JD18" s="229">
        <f t="shared" si="442"/>
        <v>0</v>
      </c>
      <c r="JE18" s="229">
        <f t="shared" si="442"/>
        <v>0</v>
      </c>
      <c r="JF18" s="219">
        <f t="shared" si="88"/>
        <v>0</v>
      </c>
      <c r="JG18" s="229">
        <f t="shared" ref="JG18:KY18" si="443">JG78+JG56+JG57+JG58</f>
        <v>0</v>
      </c>
      <c r="JH18" s="229">
        <f t="shared" si="443"/>
        <v>0</v>
      </c>
      <c r="JI18" s="229">
        <f t="shared" si="443"/>
        <v>0</v>
      </c>
      <c r="JJ18" s="229">
        <f t="shared" si="443"/>
        <v>0</v>
      </c>
      <c r="JK18" s="229">
        <f t="shared" si="443"/>
        <v>0</v>
      </c>
      <c r="JL18" s="229">
        <f t="shared" si="443"/>
        <v>0</v>
      </c>
      <c r="JM18" s="229">
        <f t="shared" si="443"/>
        <v>0</v>
      </c>
      <c r="JN18" s="229">
        <f t="shared" si="443"/>
        <v>0</v>
      </c>
      <c r="JO18" s="229">
        <f t="shared" si="443"/>
        <v>0</v>
      </c>
      <c r="JP18" s="229">
        <f t="shared" si="443"/>
        <v>0</v>
      </c>
      <c r="JQ18" s="229">
        <f t="shared" si="443"/>
        <v>0</v>
      </c>
      <c r="JR18" s="229">
        <f t="shared" si="443"/>
        <v>0</v>
      </c>
      <c r="JS18" s="229">
        <f t="shared" si="443"/>
        <v>0</v>
      </c>
      <c r="JT18" s="229">
        <f t="shared" si="443"/>
        <v>0</v>
      </c>
      <c r="JU18" s="229">
        <f t="shared" si="443"/>
        <v>0</v>
      </c>
      <c r="JV18" s="229">
        <f t="shared" si="443"/>
        <v>0</v>
      </c>
      <c r="JW18" s="229">
        <f t="shared" si="443"/>
        <v>0</v>
      </c>
      <c r="JX18" s="229">
        <f t="shared" si="443"/>
        <v>0</v>
      </c>
      <c r="JY18" s="229">
        <f t="shared" si="443"/>
        <v>0</v>
      </c>
      <c r="JZ18" s="229">
        <f t="shared" si="443"/>
        <v>0</v>
      </c>
      <c r="KA18" s="229">
        <f t="shared" si="443"/>
        <v>0</v>
      </c>
      <c r="KB18" s="229">
        <f t="shared" si="443"/>
        <v>0</v>
      </c>
      <c r="KC18" s="229">
        <f t="shared" si="443"/>
        <v>0</v>
      </c>
      <c r="KD18" s="229">
        <f t="shared" si="443"/>
        <v>0</v>
      </c>
      <c r="KE18" s="229">
        <f t="shared" si="443"/>
        <v>0</v>
      </c>
      <c r="KF18" s="229">
        <f t="shared" si="443"/>
        <v>0</v>
      </c>
      <c r="KG18" s="229">
        <f t="shared" si="443"/>
        <v>0</v>
      </c>
      <c r="KH18" s="229">
        <f t="shared" si="443"/>
        <v>0</v>
      </c>
      <c r="KI18" s="229">
        <f t="shared" si="443"/>
        <v>0</v>
      </c>
      <c r="KJ18" s="229">
        <f t="shared" si="443"/>
        <v>0</v>
      </c>
      <c r="KK18" s="229">
        <f t="shared" si="443"/>
        <v>0</v>
      </c>
      <c r="KL18" s="229">
        <f t="shared" si="443"/>
        <v>0</v>
      </c>
      <c r="KM18" s="229">
        <f t="shared" si="443"/>
        <v>0</v>
      </c>
      <c r="KN18" s="229">
        <f t="shared" si="443"/>
        <v>0</v>
      </c>
      <c r="KO18" s="229">
        <f t="shared" si="443"/>
        <v>0</v>
      </c>
      <c r="KP18" s="229">
        <f t="shared" si="443"/>
        <v>0</v>
      </c>
      <c r="KQ18" s="229">
        <f t="shared" si="443"/>
        <v>0</v>
      </c>
      <c r="KR18" s="229">
        <f t="shared" si="443"/>
        <v>0</v>
      </c>
      <c r="KS18" s="229">
        <f t="shared" si="443"/>
        <v>0</v>
      </c>
      <c r="KT18" s="229">
        <f t="shared" si="443"/>
        <v>0</v>
      </c>
      <c r="KU18" s="229">
        <f t="shared" si="443"/>
        <v>0</v>
      </c>
      <c r="KV18" s="229">
        <f t="shared" si="443"/>
        <v>0</v>
      </c>
      <c r="KW18" s="229">
        <f t="shared" si="443"/>
        <v>0</v>
      </c>
      <c r="KX18" s="229">
        <f t="shared" si="443"/>
        <v>0</v>
      </c>
      <c r="KY18" s="229">
        <f t="shared" si="443"/>
        <v>0</v>
      </c>
      <c r="KZ18" s="219">
        <f t="shared" si="90"/>
        <v>0</v>
      </c>
      <c r="LA18" s="229">
        <f t="shared" ref="LA18:LC18" si="444">LA78+LA56+LA57+LA58</f>
        <v>0</v>
      </c>
      <c r="LB18" s="229">
        <f t="shared" si="444"/>
        <v>0</v>
      </c>
      <c r="LC18" s="229">
        <f t="shared" si="444"/>
        <v>0</v>
      </c>
      <c r="LD18" s="219">
        <f t="shared" si="91"/>
        <v>0</v>
      </c>
      <c r="LE18" s="229">
        <f t="shared" ref="LE18:LG18" si="445">LE78+LE56+LE57+LE58</f>
        <v>0</v>
      </c>
      <c r="LF18" s="229">
        <f t="shared" si="445"/>
        <v>0</v>
      </c>
      <c r="LG18" s="229">
        <f t="shared" si="445"/>
        <v>0</v>
      </c>
      <c r="LH18" s="219">
        <f t="shared" si="92"/>
        <v>0</v>
      </c>
      <c r="LI18" s="229">
        <f t="shared" ref="LI18:LK18" si="446">LI78+LI56+LI57+LI58</f>
        <v>0</v>
      </c>
      <c r="LJ18" s="229">
        <f t="shared" si="446"/>
        <v>0</v>
      </c>
      <c r="LK18" s="229">
        <f t="shared" si="446"/>
        <v>0</v>
      </c>
      <c r="LL18" s="219">
        <f t="shared" si="93"/>
        <v>0</v>
      </c>
      <c r="LM18" s="229">
        <f t="shared" ref="LM18:LO18" si="447">LM78+LM56+LM57+LM58</f>
        <v>0</v>
      </c>
      <c r="LN18" s="229">
        <f t="shared" si="447"/>
        <v>0</v>
      </c>
      <c r="LO18" s="229">
        <f t="shared" si="447"/>
        <v>0</v>
      </c>
      <c r="LP18" s="219">
        <f t="shared" si="94"/>
        <v>0</v>
      </c>
      <c r="LQ18" s="229">
        <f t="shared" ref="LQ18:LS18" si="448">LQ78+LQ56+LQ57+LQ58</f>
        <v>0</v>
      </c>
      <c r="LR18" s="229">
        <f t="shared" si="448"/>
        <v>0</v>
      </c>
      <c r="LS18" s="229">
        <f t="shared" si="448"/>
        <v>0</v>
      </c>
      <c r="LT18" s="219">
        <f t="shared" si="95"/>
        <v>0</v>
      </c>
      <c r="LU18" s="229">
        <f t="shared" ref="LU18:LW18" si="449">LU78+LU56+LU57+LU58</f>
        <v>0</v>
      </c>
      <c r="LV18" s="229">
        <f t="shared" si="449"/>
        <v>0</v>
      </c>
      <c r="LW18" s="229">
        <f t="shared" si="449"/>
        <v>0</v>
      </c>
      <c r="LX18" s="219">
        <f t="shared" si="96"/>
        <v>0</v>
      </c>
      <c r="LY18" s="229">
        <f t="shared" ref="LY18:MA18" si="450">LY78+LY56+LY57+LY58</f>
        <v>0</v>
      </c>
      <c r="LZ18" s="229">
        <f t="shared" si="450"/>
        <v>0</v>
      </c>
      <c r="MA18" s="229">
        <f t="shared" si="450"/>
        <v>0</v>
      </c>
      <c r="MB18" s="219">
        <f t="shared" si="97"/>
        <v>0</v>
      </c>
      <c r="MC18" s="229">
        <f t="shared" ref="MC18" si="451">MC78+MC56+MC57+MC58</f>
        <v>0</v>
      </c>
      <c r="MD18" s="219">
        <f t="shared" si="98"/>
        <v>0</v>
      </c>
      <c r="ME18" s="229">
        <f t="shared" ref="ME18" si="452">ME78+ME56+ME57+ME58</f>
        <v>0</v>
      </c>
      <c r="MF18" s="219">
        <f t="shared" si="100"/>
        <v>0</v>
      </c>
      <c r="MG18" s="229">
        <f t="shared" ref="MG18" si="453">MG78+MG56+MG57+MG58</f>
        <v>0</v>
      </c>
      <c r="MH18" s="219">
        <f t="shared" si="101"/>
        <v>0</v>
      </c>
      <c r="MI18" s="229">
        <f t="shared" ref="MI18" si="454">MI78+MI56+MI57+MI58</f>
        <v>0</v>
      </c>
      <c r="MJ18" s="219">
        <f t="shared" si="102"/>
        <v>0</v>
      </c>
      <c r="MK18" s="229">
        <f t="shared" ref="MK18" si="455">MK78+MK56+MK57+MK58</f>
        <v>0</v>
      </c>
      <c r="ML18" s="219">
        <f t="shared" si="103"/>
        <v>0</v>
      </c>
      <c r="MM18" s="229">
        <f t="shared" ref="MM18:MV18" si="456">MM78+MM56+MM57+MM58</f>
        <v>0</v>
      </c>
      <c r="MN18" s="229">
        <f t="shared" si="456"/>
        <v>0</v>
      </c>
      <c r="MO18" s="229">
        <f t="shared" si="456"/>
        <v>0</v>
      </c>
      <c r="MP18" s="229">
        <f t="shared" si="456"/>
        <v>0</v>
      </c>
      <c r="MQ18" s="229">
        <f t="shared" si="456"/>
        <v>0</v>
      </c>
      <c r="MR18" s="229">
        <f t="shared" si="456"/>
        <v>0</v>
      </c>
      <c r="MS18" s="229">
        <f t="shared" si="456"/>
        <v>0</v>
      </c>
      <c r="MT18" s="229">
        <f t="shared" si="456"/>
        <v>0</v>
      </c>
      <c r="MU18" s="229">
        <f t="shared" si="456"/>
        <v>0</v>
      </c>
      <c r="MV18" s="229">
        <f t="shared" si="456"/>
        <v>0</v>
      </c>
      <c r="MW18" s="219">
        <f t="shared" si="104"/>
        <v>0</v>
      </c>
      <c r="MX18" s="229">
        <f t="shared" ref="MX18:MZ18" si="457">MX78+MX56+MX57+MX58</f>
        <v>0</v>
      </c>
      <c r="MY18" s="229">
        <f t="shared" si="457"/>
        <v>0</v>
      </c>
      <c r="MZ18" s="229">
        <f t="shared" si="457"/>
        <v>0</v>
      </c>
      <c r="NA18" s="219">
        <f t="shared" si="105"/>
        <v>0</v>
      </c>
      <c r="NB18" s="229">
        <f t="shared" ref="NB18:ND18" si="458">NB78+NB56+NB57+NB58</f>
        <v>0</v>
      </c>
      <c r="NC18" s="229">
        <f t="shared" si="458"/>
        <v>0</v>
      </c>
      <c r="ND18" s="229">
        <f t="shared" si="458"/>
        <v>0</v>
      </c>
      <c r="NE18" s="219">
        <f t="shared" si="106"/>
        <v>0</v>
      </c>
      <c r="NF18" s="229">
        <f t="shared" ref="NF18:NH18" si="459">NF78+NF56+NF57+NF58</f>
        <v>0</v>
      </c>
      <c r="NG18" s="229">
        <f t="shared" si="459"/>
        <v>0</v>
      </c>
      <c r="NH18" s="229">
        <f t="shared" si="459"/>
        <v>0</v>
      </c>
      <c r="NI18" s="219">
        <f t="shared" si="107"/>
        <v>0</v>
      </c>
      <c r="NJ18" s="229">
        <f t="shared" ref="NJ18:NL18" si="460">NJ78+NJ56+NJ57+NJ58</f>
        <v>0</v>
      </c>
      <c r="NK18" s="229">
        <f t="shared" si="460"/>
        <v>0</v>
      </c>
      <c r="NL18" s="229">
        <f t="shared" si="460"/>
        <v>0</v>
      </c>
      <c r="NM18" s="219">
        <f t="shared" si="108"/>
        <v>0</v>
      </c>
      <c r="NN18" s="229">
        <f t="shared" ref="NN18:NP18" si="461">NN78+NN56+NN57+NN58</f>
        <v>0</v>
      </c>
      <c r="NO18" s="229">
        <f t="shared" si="461"/>
        <v>0</v>
      </c>
      <c r="NP18" s="229">
        <f t="shared" si="461"/>
        <v>0</v>
      </c>
      <c r="NQ18" s="219">
        <f t="shared" si="109"/>
        <v>0</v>
      </c>
      <c r="NR18" s="229">
        <f t="shared" ref="NR18:NT18" si="462">NR78+NR56+NR57+NR58</f>
        <v>0</v>
      </c>
      <c r="NS18" s="229">
        <f t="shared" si="462"/>
        <v>0</v>
      </c>
      <c r="NT18" s="229">
        <f t="shared" si="462"/>
        <v>0</v>
      </c>
      <c r="NU18" s="219">
        <f t="shared" si="110"/>
        <v>0</v>
      </c>
      <c r="NV18" s="229">
        <f t="shared" ref="NV18:NX18" si="463">NV78+NV56+NV57+NV58</f>
        <v>0</v>
      </c>
      <c r="NW18" s="229">
        <f t="shared" si="463"/>
        <v>0</v>
      </c>
      <c r="NX18" s="229">
        <f t="shared" si="463"/>
        <v>0</v>
      </c>
      <c r="NY18" s="219">
        <f t="shared" si="112"/>
        <v>0</v>
      </c>
      <c r="NZ18" s="229">
        <f t="shared" ref="NZ18:OB18" si="464">NZ78+NZ56+NZ57+NZ58</f>
        <v>0</v>
      </c>
      <c r="OA18" s="229">
        <f t="shared" si="464"/>
        <v>0</v>
      </c>
      <c r="OB18" s="229">
        <f t="shared" si="464"/>
        <v>0</v>
      </c>
      <c r="OC18" s="219">
        <f t="shared" si="114"/>
        <v>0</v>
      </c>
      <c r="OD18" s="229">
        <f t="shared" ref="OD18:OQ18" si="465">OD78+OD56+OD57+OD58</f>
        <v>0</v>
      </c>
      <c r="OE18" s="229">
        <f t="shared" si="465"/>
        <v>0</v>
      </c>
      <c r="OF18" s="229">
        <f t="shared" si="465"/>
        <v>0</v>
      </c>
      <c r="OG18" s="229">
        <f t="shared" si="465"/>
        <v>0</v>
      </c>
      <c r="OH18" s="229">
        <f t="shared" si="465"/>
        <v>0</v>
      </c>
      <c r="OI18" s="229">
        <f t="shared" si="465"/>
        <v>0</v>
      </c>
      <c r="OJ18" s="229">
        <f t="shared" si="465"/>
        <v>0</v>
      </c>
      <c r="OK18" s="229">
        <f t="shared" si="465"/>
        <v>0</v>
      </c>
      <c r="OL18" s="229">
        <f t="shared" si="465"/>
        <v>0</v>
      </c>
      <c r="OM18" s="229">
        <f t="shared" si="465"/>
        <v>0</v>
      </c>
      <c r="ON18" s="229">
        <f t="shared" si="465"/>
        <v>0</v>
      </c>
      <c r="OO18" s="229">
        <f t="shared" si="465"/>
        <v>0</v>
      </c>
      <c r="OP18" s="229">
        <f t="shared" si="465"/>
        <v>0</v>
      </c>
      <c r="OQ18" s="229">
        <f t="shared" si="465"/>
        <v>0</v>
      </c>
      <c r="OR18" s="219">
        <f t="shared" si="116"/>
        <v>0</v>
      </c>
      <c r="OS18" s="229">
        <f t="shared" ref="OS18:OW18" si="466">OS78+OS56+OS57+OS58</f>
        <v>0</v>
      </c>
      <c r="OT18" s="229">
        <f t="shared" si="466"/>
        <v>0</v>
      </c>
      <c r="OU18" s="229">
        <f t="shared" si="466"/>
        <v>0</v>
      </c>
      <c r="OV18" s="229">
        <f t="shared" si="466"/>
        <v>0</v>
      </c>
      <c r="OW18" s="229">
        <f t="shared" si="466"/>
        <v>0</v>
      </c>
      <c r="OX18" s="219">
        <f t="shared" si="11"/>
        <v>0</v>
      </c>
      <c r="OY18" s="229">
        <f t="shared" ref="OY18:PA18" si="467">OY78+OY56+OY57+OY58</f>
        <v>0</v>
      </c>
      <c r="OZ18" s="229">
        <f t="shared" si="467"/>
        <v>0</v>
      </c>
      <c r="PA18" s="229">
        <f t="shared" si="467"/>
        <v>0</v>
      </c>
      <c r="PB18" s="219">
        <f t="shared" si="119"/>
        <v>0</v>
      </c>
      <c r="PC18" s="229">
        <f t="shared" ref="PC18:PE18" si="468">PC78+PC56+PC57+PC58</f>
        <v>0</v>
      </c>
      <c r="PD18" s="229">
        <f t="shared" si="468"/>
        <v>0</v>
      </c>
      <c r="PE18" s="229">
        <f t="shared" si="468"/>
        <v>0</v>
      </c>
      <c r="PF18" s="219">
        <f t="shared" si="121"/>
        <v>0</v>
      </c>
      <c r="PG18" s="229">
        <f t="shared" ref="PG18:PI18" si="469">PG78+PG56+PG57+PG58</f>
        <v>0</v>
      </c>
      <c r="PH18" s="229">
        <f t="shared" si="469"/>
        <v>0</v>
      </c>
      <c r="PI18" s="229">
        <f t="shared" si="469"/>
        <v>0</v>
      </c>
      <c r="PJ18" s="219">
        <f t="shared" si="123"/>
        <v>0</v>
      </c>
      <c r="PK18" s="229">
        <f t="shared" ref="PK18:PM18" si="470">PK78+PK56+PK57+PK58</f>
        <v>0</v>
      </c>
      <c r="PL18" s="229">
        <f t="shared" si="470"/>
        <v>0</v>
      </c>
      <c r="PM18" s="229">
        <f t="shared" si="470"/>
        <v>0</v>
      </c>
      <c r="PN18" s="219">
        <f t="shared" si="125"/>
        <v>0</v>
      </c>
      <c r="PO18" s="229">
        <f t="shared" ref="PO18:PQ18" si="471">PO78+PO56+PO57+PO58</f>
        <v>0</v>
      </c>
      <c r="PP18" s="229">
        <f t="shared" si="471"/>
        <v>0</v>
      </c>
      <c r="PQ18" s="229">
        <f t="shared" si="471"/>
        <v>0</v>
      </c>
      <c r="PR18" s="219">
        <f t="shared" si="127"/>
        <v>0</v>
      </c>
      <c r="PS18" s="229">
        <f t="shared" ref="PS18:PU18" si="472">PS78+PS56+PS57+PS58</f>
        <v>0</v>
      </c>
      <c r="PT18" s="229">
        <f t="shared" si="472"/>
        <v>0</v>
      </c>
      <c r="PU18" s="229">
        <f t="shared" si="472"/>
        <v>0</v>
      </c>
      <c r="PV18" s="219">
        <f t="shared" si="129"/>
        <v>0</v>
      </c>
      <c r="PW18" s="229">
        <f t="shared" ref="PW18:PY18" si="473">PW78+PW56+PW57+PW58</f>
        <v>0</v>
      </c>
      <c r="PX18" s="229">
        <f t="shared" si="473"/>
        <v>0</v>
      </c>
      <c r="PY18" s="229">
        <f t="shared" si="473"/>
        <v>0</v>
      </c>
      <c r="PZ18" s="219">
        <f t="shared" si="131"/>
        <v>0</v>
      </c>
      <c r="QA18" s="229">
        <f t="shared" ref="QA18:QC18" si="474">QA78+QA56+QA57+QA58</f>
        <v>0</v>
      </c>
      <c r="QB18" s="229">
        <f t="shared" si="474"/>
        <v>0</v>
      </c>
      <c r="QC18" s="229">
        <f t="shared" si="474"/>
        <v>0</v>
      </c>
      <c r="QD18" s="219">
        <f t="shared" si="132"/>
        <v>0</v>
      </c>
      <c r="QE18" s="229">
        <f t="shared" ref="QE18:QK18" si="475">QE78+QE56+QE57+QE58</f>
        <v>0</v>
      </c>
      <c r="QF18" s="229">
        <f t="shared" si="475"/>
        <v>0</v>
      </c>
      <c r="QG18" s="229">
        <f t="shared" si="475"/>
        <v>0</v>
      </c>
      <c r="QH18" s="229">
        <f t="shared" si="475"/>
        <v>0</v>
      </c>
      <c r="QI18" s="229">
        <f t="shared" si="475"/>
        <v>0</v>
      </c>
      <c r="QJ18" s="229">
        <f t="shared" si="475"/>
        <v>0</v>
      </c>
      <c r="QK18" s="229">
        <f t="shared" si="475"/>
        <v>0</v>
      </c>
      <c r="QL18" s="219">
        <f t="shared" si="133"/>
        <v>0</v>
      </c>
      <c r="QM18" s="229">
        <f t="shared" ref="QM18:QR18" si="476">QM78+QM56+QM57+QM58</f>
        <v>0</v>
      </c>
      <c r="QN18" s="229">
        <f t="shared" si="476"/>
        <v>0</v>
      </c>
      <c r="QO18" s="229">
        <f t="shared" si="476"/>
        <v>0</v>
      </c>
      <c r="QP18" s="229">
        <f t="shared" si="476"/>
        <v>0</v>
      </c>
      <c r="QQ18" s="229">
        <f t="shared" si="476"/>
        <v>0</v>
      </c>
      <c r="QR18" s="229">
        <f t="shared" si="476"/>
        <v>0</v>
      </c>
      <c r="QS18" s="219">
        <f t="shared" si="135"/>
        <v>0</v>
      </c>
      <c r="QT18" s="229">
        <f t="shared" ref="QT18:QY18" si="477">QT78+QT56+QT57+QT58</f>
        <v>0</v>
      </c>
      <c r="QU18" s="229">
        <f t="shared" si="477"/>
        <v>0</v>
      </c>
      <c r="QV18" s="229">
        <f t="shared" si="477"/>
        <v>0</v>
      </c>
      <c r="QW18" s="229">
        <f t="shared" si="477"/>
        <v>0</v>
      </c>
      <c r="QX18" s="229">
        <f t="shared" si="477"/>
        <v>0</v>
      </c>
      <c r="QY18" s="229">
        <f t="shared" si="477"/>
        <v>0</v>
      </c>
      <c r="QZ18" s="219">
        <f t="shared" si="137"/>
        <v>0</v>
      </c>
      <c r="RA18" s="229">
        <f t="shared" ref="RA18:RF18" si="478">RA78+RA56+RA57+RA58</f>
        <v>0</v>
      </c>
      <c r="RB18" s="229">
        <f t="shared" si="478"/>
        <v>0</v>
      </c>
      <c r="RC18" s="229">
        <f t="shared" si="478"/>
        <v>0</v>
      </c>
      <c r="RD18" s="229">
        <f t="shared" si="478"/>
        <v>0</v>
      </c>
      <c r="RE18" s="229">
        <f t="shared" si="478"/>
        <v>0</v>
      </c>
      <c r="RF18" s="229">
        <f t="shared" si="478"/>
        <v>0</v>
      </c>
      <c r="RG18" s="219">
        <f t="shared" si="139"/>
        <v>0</v>
      </c>
      <c r="RH18" s="229">
        <f t="shared" ref="RH18:RM18" si="479">RH78+RH56+RH57+RH58</f>
        <v>0</v>
      </c>
      <c r="RI18" s="229">
        <f t="shared" si="479"/>
        <v>0</v>
      </c>
      <c r="RJ18" s="229">
        <f t="shared" si="479"/>
        <v>0</v>
      </c>
      <c r="RK18" s="229">
        <f t="shared" si="479"/>
        <v>0</v>
      </c>
      <c r="RL18" s="229">
        <f t="shared" si="479"/>
        <v>0</v>
      </c>
      <c r="RM18" s="229">
        <f t="shared" si="479"/>
        <v>0</v>
      </c>
      <c r="RN18" s="219">
        <f t="shared" si="141"/>
        <v>0</v>
      </c>
      <c r="RO18" s="229">
        <f t="shared" ref="RO18:RT18" si="480">RO78+RO56+RO57+RO58</f>
        <v>0</v>
      </c>
      <c r="RP18" s="229">
        <f t="shared" si="480"/>
        <v>0</v>
      </c>
      <c r="RQ18" s="229">
        <f t="shared" si="480"/>
        <v>0</v>
      </c>
      <c r="RR18" s="229">
        <f t="shared" si="480"/>
        <v>0</v>
      </c>
      <c r="RS18" s="229">
        <f t="shared" si="480"/>
        <v>0</v>
      </c>
      <c r="RT18" s="229">
        <f t="shared" si="480"/>
        <v>0</v>
      </c>
      <c r="RU18" s="219">
        <f t="shared" si="143"/>
        <v>0</v>
      </c>
      <c r="RV18" s="229">
        <f t="shared" ref="RV18:SF18" si="481">RV78+RV56+RV57+RV58</f>
        <v>0</v>
      </c>
      <c r="RW18" s="229">
        <f t="shared" si="481"/>
        <v>0</v>
      </c>
      <c r="RX18" s="229">
        <f t="shared" si="481"/>
        <v>0</v>
      </c>
      <c r="RY18" s="229">
        <f t="shared" si="481"/>
        <v>0</v>
      </c>
      <c r="RZ18" s="229">
        <f t="shared" si="481"/>
        <v>0</v>
      </c>
      <c r="SA18" s="229">
        <f t="shared" si="481"/>
        <v>0</v>
      </c>
      <c r="SB18" s="229">
        <f t="shared" si="481"/>
        <v>0</v>
      </c>
      <c r="SC18" s="219">
        <f t="shared" si="145"/>
        <v>0</v>
      </c>
      <c r="SD18" s="229">
        <f t="shared" si="481"/>
        <v>0</v>
      </c>
      <c r="SE18" s="229">
        <f t="shared" si="481"/>
        <v>0</v>
      </c>
      <c r="SF18" s="229">
        <f t="shared" si="481"/>
        <v>0</v>
      </c>
      <c r="SG18" s="219">
        <f t="shared" si="147"/>
        <v>0</v>
      </c>
      <c r="SH18" s="229">
        <f t="shared" ref="SH18:SM18" si="482">SH78+SH56+SH57+SH58</f>
        <v>0</v>
      </c>
      <c r="SI18" s="229">
        <f t="shared" si="482"/>
        <v>0</v>
      </c>
      <c r="SJ18" s="229">
        <f t="shared" si="482"/>
        <v>0</v>
      </c>
      <c r="SK18" s="229">
        <f t="shared" si="482"/>
        <v>0</v>
      </c>
      <c r="SL18" s="229">
        <f t="shared" si="482"/>
        <v>0</v>
      </c>
      <c r="SM18" s="229">
        <f t="shared" si="482"/>
        <v>0</v>
      </c>
      <c r="SN18" s="219">
        <f t="shared" si="149"/>
        <v>0</v>
      </c>
      <c r="SO18" s="229">
        <f t="shared" ref="SO18:SQ18" si="483">SO78+SO56+SO57+SO58</f>
        <v>0</v>
      </c>
      <c r="SP18" s="229">
        <f t="shared" si="483"/>
        <v>0</v>
      </c>
      <c r="SQ18" s="229">
        <f t="shared" si="483"/>
        <v>0</v>
      </c>
      <c r="SR18" s="219">
        <f t="shared" si="151"/>
        <v>0</v>
      </c>
      <c r="SS18" s="229">
        <f t="shared" ref="SS18:ST18" si="484">SS78+SS56+SS57+SS58</f>
        <v>0</v>
      </c>
      <c r="ST18" s="229">
        <f t="shared" si="484"/>
        <v>0</v>
      </c>
      <c r="SU18" s="219">
        <f t="shared" si="153"/>
        <v>0</v>
      </c>
      <c r="SV18" s="229">
        <f t="shared" ref="SV18:SW18" si="485">SV78+SV56+SV57+SV58</f>
        <v>0</v>
      </c>
      <c r="SW18" s="229">
        <f t="shared" si="485"/>
        <v>0</v>
      </c>
      <c r="SX18" s="219">
        <f t="shared" si="155"/>
        <v>0</v>
      </c>
      <c r="SY18" s="229">
        <f t="shared" ref="SY18:SZ18" si="486">SY78+SY56+SY57+SY58</f>
        <v>0</v>
      </c>
      <c r="SZ18" s="229">
        <f t="shared" si="486"/>
        <v>0</v>
      </c>
      <c r="TA18" s="219">
        <f t="shared" si="157"/>
        <v>0</v>
      </c>
      <c r="TB18" s="229">
        <f t="shared" ref="TB18:UC18" si="487">TB78+TB56+TB57+TB58</f>
        <v>0</v>
      </c>
      <c r="TC18" s="229">
        <f t="shared" si="487"/>
        <v>0</v>
      </c>
      <c r="TD18" s="229">
        <f t="shared" si="487"/>
        <v>0</v>
      </c>
      <c r="TE18" s="229">
        <f t="shared" si="487"/>
        <v>0</v>
      </c>
      <c r="TF18" s="229">
        <f t="shared" si="487"/>
        <v>0</v>
      </c>
      <c r="TG18" s="229">
        <f t="shared" si="487"/>
        <v>0</v>
      </c>
      <c r="TH18" s="229">
        <f t="shared" si="487"/>
        <v>0</v>
      </c>
      <c r="TI18" s="229">
        <f t="shared" si="487"/>
        <v>0</v>
      </c>
      <c r="TJ18" s="229">
        <f t="shared" si="487"/>
        <v>0</v>
      </c>
      <c r="TK18" s="229">
        <f t="shared" si="487"/>
        <v>0</v>
      </c>
      <c r="TL18" s="229">
        <f t="shared" si="487"/>
        <v>0</v>
      </c>
      <c r="TM18" s="229">
        <f t="shared" si="487"/>
        <v>0</v>
      </c>
      <c r="TN18" s="229">
        <f t="shared" si="487"/>
        <v>0</v>
      </c>
      <c r="TO18" s="229">
        <f t="shared" si="487"/>
        <v>0</v>
      </c>
      <c r="TP18" s="229">
        <f t="shared" si="487"/>
        <v>0</v>
      </c>
      <c r="TQ18" s="229">
        <f t="shared" si="487"/>
        <v>0</v>
      </c>
      <c r="TR18" s="229">
        <f t="shared" si="487"/>
        <v>0</v>
      </c>
      <c r="TS18" s="229">
        <f t="shared" si="487"/>
        <v>0</v>
      </c>
      <c r="TT18" s="229">
        <f t="shared" si="487"/>
        <v>0</v>
      </c>
      <c r="TU18" s="229">
        <f t="shared" si="487"/>
        <v>0</v>
      </c>
      <c r="TV18" s="229">
        <f t="shared" si="487"/>
        <v>0</v>
      </c>
      <c r="TW18" s="229">
        <f t="shared" si="487"/>
        <v>0</v>
      </c>
      <c r="TX18" s="229">
        <f t="shared" si="487"/>
        <v>0</v>
      </c>
      <c r="TY18" s="229">
        <f t="shared" si="487"/>
        <v>0</v>
      </c>
      <c r="TZ18" s="229">
        <f t="shared" si="487"/>
        <v>0</v>
      </c>
      <c r="UA18" s="229">
        <f t="shared" si="487"/>
        <v>0</v>
      </c>
      <c r="UB18" s="229">
        <f t="shared" si="487"/>
        <v>0</v>
      </c>
      <c r="UC18" s="229">
        <f t="shared" si="487"/>
        <v>0</v>
      </c>
    </row>
    <row r="19" spans="1:549" s="182" customFormat="1" hidden="1" x14ac:dyDescent="0.25">
      <c r="A19" s="229" t="s">
        <v>240</v>
      </c>
      <c r="B19" s="230"/>
      <c r="C19" s="230" t="s">
        <v>241</v>
      </c>
      <c r="D19" s="36"/>
      <c r="E19" s="229">
        <f>E74+E63+E73+E62+E64+E75+E61+E71+E68+E67+E66</f>
        <v>0</v>
      </c>
      <c r="F19" s="229">
        <f t="shared" ref="F19:G19" si="488">F74+F63+F73+F62+F64+F75+F61+F71+F68+F67+F66</f>
        <v>0</v>
      </c>
      <c r="G19" s="229">
        <f t="shared" si="488"/>
        <v>0</v>
      </c>
      <c r="H19" s="219">
        <f t="shared" si="33"/>
        <v>0</v>
      </c>
      <c r="I19" s="229">
        <f>I74+I63+I73+I62+I64+I75+I61+I71+I68+I67+I66</f>
        <v>0</v>
      </c>
      <c r="J19" s="229">
        <f t="shared" ref="J19:K19" si="489">J74+J63+J73+J62+J64+J75+J61+J71+J68+J67+J66</f>
        <v>0</v>
      </c>
      <c r="K19" s="229">
        <f t="shared" si="489"/>
        <v>0</v>
      </c>
      <c r="L19" s="219">
        <f t="shared" si="34"/>
        <v>0</v>
      </c>
      <c r="M19" s="229">
        <f t="shared" ref="M19:N19" si="490">M74+M63+M73+M62+M64+M75+M61+M71+M68+M67+M66</f>
        <v>0</v>
      </c>
      <c r="N19" s="229">
        <f t="shared" si="490"/>
        <v>0</v>
      </c>
      <c r="O19" s="219">
        <f t="shared" si="35"/>
        <v>0</v>
      </c>
      <c r="P19" s="229">
        <f>P74+P63+P73+P62+P64+P75+P61+P71+P68+P67+P66</f>
        <v>0</v>
      </c>
      <c r="Q19" s="229">
        <f t="shared" ref="Q19:S19" si="491">Q74+Q63+Q73+Q62+Q64+Q75+Q61+Q71+Q68+Q67+Q66</f>
        <v>0</v>
      </c>
      <c r="R19" s="229">
        <f t="shared" si="491"/>
        <v>0</v>
      </c>
      <c r="S19" s="229">
        <f t="shared" si="491"/>
        <v>0</v>
      </c>
      <c r="T19" s="219">
        <f t="shared" si="36"/>
        <v>0</v>
      </c>
      <c r="U19" s="229">
        <f t="shared" ref="U19:W19" si="492">U74+U63+U73+U62+U64+U75+U61+U71+U68+U67+U66</f>
        <v>0</v>
      </c>
      <c r="V19" s="229">
        <f t="shared" si="492"/>
        <v>0</v>
      </c>
      <c r="W19" s="229">
        <f t="shared" si="492"/>
        <v>0</v>
      </c>
      <c r="X19" s="219">
        <f t="shared" si="37"/>
        <v>0</v>
      </c>
      <c r="Y19" s="229">
        <f t="shared" ref="Y19:Z19" si="493">Y74+Y63+Y73+Y62+Y64+Y75+Y61+Y71+Y68+Y67+Y66</f>
        <v>0</v>
      </c>
      <c r="Z19" s="229">
        <f t="shared" si="493"/>
        <v>0</v>
      </c>
      <c r="AA19" s="219">
        <f t="shared" si="38"/>
        <v>0</v>
      </c>
      <c r="AB19" s="229">
        <f t="shared" ref="AB19:AC19" si="494">AB74+AB63+AB73+AB62+AB64+AB75+AB61+AB71+AB68+AB67+AB66</f>
        <v>0</v>
      </c>
      <c r="AC19" s="229">
        <f t="shared" si="494"/>
        <v>0</v>
      </c>
      <c r="AD19" s="219">
        <f t="shared" si="39"/>
        <v>0</v>
      </c>
      <c r="AE19" s="229">
        <f t="shared" ref="AE19:AG19" si="495">AE74+AE63+AE73+AE62+AE64+AE75+AE61+AE71+AE68+AE67+AE66</f>
        <v>0</v>
      </c>
      <c r="AF19" s="229">
        <f t="shared" si="495"/>
        <v>0</v>
      </c>
      <c r="AG19" s="229">
        <f t="shared" si="495"/>
        <v>0</v>
      </c>
      <c r="AH19" s="219">
        <f t="shared" si="40"/>
        <v>0</v>
      </c>
      <c r="AI19" s="229">
        <f t="shared" ref="AI19:AK19" si="496">AI74+AI63+AI73+AI62+AI64+AI75+AI61+AI71+AI68+AI67+AI66</f>
        <v>0</v>
      </c>
      <c r="AJ19" s="229">
        <f t="shared" si="496"/>
        <v>0</v>
      </c>
      <c r="AK19" s="229">
        <f t="shared" si="496"/>
        <v>0</v>
      </c>
      <c r="AL19" s="219">
        <f t="shared" si="41"/>
        <v>0</v>
      </c>
      <c r="AM19" s="229">
        <f t="shared" ref="AM19:AO19" si="497">AM74+AM63+AM73+AM62+AM64+AM75+AM61+AM71+AM68+AM67+AM66</f>
        <v>0</v>
      </c>
      <c r="AN19" s="229">
        <f t="shared" si="497"/>
        <v>0</v>
      </c>
      <c r="AO19" s="229">
        <f t="shared" si="497"/>
        <v>0</v>
      </c>
      <c r="AP19" s="219">
        <f t="shared" si="42"/>
        <v>0</v>
      </c>
      <c r="AQ19" s="229">
        <f t="shared" ref="AQ19:AT19" si="498">AQ74+AQ63+AQ73+AQ62+AQ64+AQ75+AQ61+AQ71+AQ68+AQ67+AQ66</f>
        <v>0</v>
      </c>
      <c r="AR19" s="229">
        <f t="shared" si="498"/>
        <v>0</v>
      </c>
      <c r="AS19" s="229">
        <f t="shared" si="498"/>
        <v>0</v>
      </c>
      <c r="AT19" s="229">
        <f t="shared" si="498"/>
        <v>0</v>
      </c>
      <c r="AU19" s="219">
        <f t="shared" si="43"/>
        <v>0</v>
      </c>
      <c r="AV19" s="229">
        <f t="shared" ref="AV19:BC19" si="499">AV74+AV63+AV73+AV62+AV64+AV75+AV61+AV71+AV68+AV67+AV66</f>
        <v>0</v>
      </c>
      <c r="AW19" s="229">
        <f t="shared" si="499"/>
        <v>0</v>
      </c>
      <c r="AX19" s="229">
        <f t="shared" si="499"/>
        <v>0</v>
      </c>
      <c r="AY19" s="229">
        <f t="shared" si="499"/>
        <v>0</v>
      </c>
      <c r="AZ19" s="229">
        <f t="shared" si="499"/>
        <v>0</v>
      </c>
      <c r="BA19" s="229">
        <f t="shared" si="499"/>
        <v>0</v>
      </c>
      <c r="BB19" s="229">
        <f t="shared" si="499"/>
        <v>0</v>
      </c>
      <c r="BC19" s="229">
        <f t="shared" si="499"/>
        <v>0</v>
      </c>
      <c r="BD19" s="219">
        <f t="shared" si="44"/>
        <v>0</v>
      </c>
      <c r="BE19" s="229">
        <f t="shared" ref="BE19:BK19" si="500">BE74+BE63+BE73+BE62+BE64+BE75+BE61+BE71+BE68+BE67+BE66</f>
        <v>0</v>
      </c>
      <c r="BF19" s="229">
        <f t="shared" si="500"/>
        <v>0</v>
      </c>
      <c r="BG19" s="229">
        <f t="shared" si="500"/>
        <v>0</v>
      </c>
      <c r="BH19" s="229">
        <f t="shared" si="500"/>
        <v>0</v>
      </c>
      <c r="BI19" s="229">
        <f t="shared" si="500"/>
        <v>0</v>
      </c>
      <c r="BJ19" s="229">
        <f t="shared" si="500"/>
        <v>0</v>
      </c>
      <c r="BK19" s="229">
        <f t="shared" si="500"/>
        <v>0</v>
      </c>
      <c r="BL19" s="219">
        <f t="shared" si="45"/>
        <v>0</v>
      </c>
      <c r="BM19" s="229">
        <f t="shared" ref="BM19:BR19" si="501">BM74+BM63+BM73+BM62+BM64+BM75+BM61+BM71+BM68+BM67+BM66</f>
        <v>0</v>
      </c>
      <c r="BN19" s="229">
        <f t="shared" si="501"/>
        <v>0</v>
      </c>
      <c r="BO19" s="229">
        <f t="shared" si="501"/>
        <v>0</v>
      </c>
      <c r="BP19" s="229">
        <f t="shared" si="501"/>
        <v>0</v>
      </c>
      <c r="BQ19" s="229">
        <f t="shared" si="501"/>
        <v>0</v>
      </c>
      <c r="BR19" s="229">
        <f t="shared" si="501"/>
        <v>0</v>
      </c>
      <c r="BS19" s="219">
        <f t="shared" si="47"/>
        <v>0</v>
      </c>
      <c r="BT19" s="229">
        <f t="shared" ref="BT19:BV19" si="502">BT74+BT63+BT73+BT62+BT64+BT75+BT61+BT71+BT68+BT67+BT66</f>
        <v>0</v>
      </c>
      <c r="BU19" s="229">
        <f t="shared" si="502"/>
        <v>0</v>
      </c>
      <c r="BV19" s="229">
        <f t="shared" si="502"/>
        <v>0</v>
      </c>
      <c r="BW19" s="219">
        <f t="shared" si="48"/>
        <v>0</v>
      </c>
      <c r="BX19" s="229">
        <f t="shared" ref="BX19:BY19" si="503">BX74+BX63+BX73+BX62+BX64+BX75+BX61+BX71+BX68+BX67+BX66</f>
        <v>0</v>
      </c>
      <c r="BY19" s="229">
        <f t="shared" si="503"/>
        <v>0</v>
      </c>
      <c r="BZ19" s="219">
        <f t="shared" si="49"/>
        <v>0</v>
      </c>
      <c r="CA19" s="229">
        <f t="shared" ref="CA19:CB19" si="504">CA74+CA63+CA73+CA62+CA64+CA75+CA61+CA71+CA68+CA67+CA66</f>
        <v>0</v>
      </c>
      <c r="CB19" s="229">
        <f t="shared" si="504"/>
        <v>0</v>
      </c>
      <c r="CC19" s="219">
        <f t="shared" si="50"/>
        <v>0</v>
      </c>
      <c r="CD19" s="229">
        <f t="shared" ref="CD19:CK19" si="505">CD74+CD63+CD73+CD62+CD64+CD75+CD61+CD71+CD68+CD67+CD66</f>
        <v>0</v>
      </c>
      <c r="CE19" s="229">
        <f t="shared" si="505"/>
        <v>0</v>
      </c>
      <c r="CF19" s="229">
        <f t="shared" si="505"/>
        <v>0</v>
      </c>
      <c r="CG19" s="229">
        <f t="shared" si="505"/>
        <v>0</v>
      </c>
      <c r="CH19" s="229">
        <f t="shared" si="505"/>
        <v>0</v>
      </c>
      <c r="CI19" s="229">
        <f t="shared" si="505"/>
        <v>0</v>
      </c>
      <c r="CJ19" s="229">
        <f t="shared" si="505"/>
        <v>0</v>
      </c>
      <c r="CK19" s="229">
        <f t="shared" si="505"/>
        <v>0</v>
      </c>
      <c r="CL19" s="219">
        <f t="shared" si="51"/>
        <v>0</v>
      </c>
      <c r="CM19" s="229">
        <f t="shared" ref="CM19:CP19" si="506">CM74+CM63+CM73+CM62+CM64+CM75+CM61+CM71+CM68+CM67+CM66</f>
        <v>0</v>
      </c>
      <c r="CN19" s="229">
        <f t="shared" si="506"/>
        <v>0</v>
      </c>
      <c r="CO19" s="229">
        <f t="shared" si="506"/>
        <v>0</v>
      </c>
      <c r="CP19" s="229">
        <f t="shared" si="506"/>
        <v>0</v>
      </c>
      <c r="CQ19" s="219">
        <f t="shared" si="52"/>
        <v>0</v>
      </c>
      <c r="CR19" s="229">
        <f t="shared" ref="CR19:CW19" si="507">CR74+CR63+CR73+CR62+CR64+CR75+CR61+CR71+CR68+CR67+CR66</f>
        <v>0</v>
      </c>
      <c r="CS19" s="229">
        <f t="shared" si="507"/>
        <v>0</v>
      </c>
      <c r="CT19" s="229">
        <f t="shared" si="507"/>
        <v>0</v>
      </c>
      <c r="CU19" s="229">
        <f t="shared" si="507"/>
        <v>0</v>
      </c>
      <c r="CV19" s="229">
        <f t="shared" si="507"/>
        <v>0</v>
      </c>
      <c r="CW19" s="229">
        <f t="shared" si="507"/>
        <v>0</v>
      </c>
      <c r="CX19" s="219">
        <f t="shared" si="53"/>
        <v>0</v>
      </c>
      <c r="CY19" s="229">
        <f t="shared" ref="CY19:DA19" si="508">CY74+CY63+CY73+CY62+CY64+CY75+CY61+CY71+CY68+CY67+CY66</f>
        <v>0</v>
      </c>
      <c r="CZ19" s="229">
        <f t="shared" si="508"/>
        <v>0</v>
      </c>
      <c r="DA19" s="229">
        <f t="shared" si="508"/>
        <v>0</v>
      </c>
      <c r="DB19" s="219">
        <f t="shared" si="54"/>
        <v>0</v>
      </c>
      <c r="DC19" s="229">
        <f t="shared" ref="DC19:DD19" si="509">DC74+DC63+DC73+DC62+DC64+DC75+DC61+DC71+DC68+DC67+DC66</f>
        <v>0</v>
      </c>
      <c r="DD19" s="229">
        <f t="shared" si="509"/>
        <v>0</v>
      </c>
      <c r="DE19" s="219">
        <f t="shared" si="55"/>
        <v>0</v>
      </c>
      <c r="DF19" s="229">
        <f t="shared" ref="DF19:DG19" si="510">DF74+DF63+DF73+DF62+DF64+DF75+DF61+DF71+DF68+DF67+DF66</f>
        <v>0</v>
      </c>
      <c r="DG19" s="229">
        <f t="shared" si="510"/>
        <v>0</v>
      </c>
      <c r="DH19" s="219">
        <f t="shared" si="56"/>
        <v>0</v>
      </c>
      <c r="DI19" s="229">
        <f t="shared" ref="DI19:DJ19" si="511">DI74+DI63+DI73+DI62+DI64+DI75+DI61+DI71+DI68+DI67+DI66</f>
        <v>0</v>
      </c>
      <c r="DJ19" s="229">
        <f t="shared" si="511"/>
        <v>0</v>
      </c>
      <c r="DK19" s="219">
        <f t="shared" si="57"/>
        <v>0</v>
      </c>
      <c r="DL19" s="229">
        <f t="shared" ref="DL19:DV19" si="512">DL74+DL63+DL73+DL62+DL64+DL75+DL61+DL71+DL68+DL67+DL66</f>
        <v>0</v>
      </c>
      <c r="DM19" s="229">
        <f t="shared" si="512"/>
        <v>0</v>
      </c>
      <c r="DN19" s="229">
        <f t="shared" si="512"/>
        <v>0</v>
      </c>
      <c r="DO19" s="229">
        <f t="shared" si="512"/>
        <v>0</v>
      </c>
      <c r="DP19" s="229">
        <f t="shared" si="512"/>
        <v>0</v>
      </c>
      <c r="DQ19" s="229">
        <f t="shared" si="512"/>
        <v>0</v>
      </c>
      <c r="DR19" s="229">
        <f t="shared" si="512"/>
        <v>0</v>
      </c>
      <c r="DS19" s="229">
        <f t="shared" si="512"/>
        <v>0</v>
      </c>
      <c r="DT19" s="229">
        <f t="shared" si="512"/>
        <v>0</v>
      </c>
      <c r="DU19" s="229">
        <f t="shared" si="512"/>
        <v>0</v>
      </c>
      <c r="DV19" s="229">
        <f t="shared" si="512"/>
        <v>0</v>
      </c>
      <c r="DW19" s="219">
        <f t="shared" si="58"/>
        <v>0</v>
      </c>
      <c r="DX19" s="229">
        <f t="shared" ref="DX19:DZ19" si="513">DX74+DX63+DX73+DX62+DX64+DX75+DX61+DX71+DX68+DX67+DX66</f>
        <v>0</v>
      </c>
      <c r="DY19" s="229">
        <f t="shared" si="513"/>
        <v>0</v>
      </c>
      <c r="DZ19" s="229">
        <f t="shared" si="513"/>
        <v>0</v>
      </c>
      <c r="EA19" s="219">
        <f t="shared" si="59"/>
        <v>0</v>
      </c>
      <c r="EB19" s="229">
        <f t="shared" ref="EB19:EG19" si="514">EB74+EB63+EB73+EB62+EB64+EB75+EB61+EB71+EB68+EB67+EB66</f>
        <v>0</v>
      </c>
      <c r="EC19" s="229">
        <f t="shared" si="514"/>
        <v>0</v>
      </c>
      <c r="ED19" s="229">
        <f t="shared" si="514"/>
        <v>0</v>
      </c>
      <c r="EE19" s="229">
        <f t="shared" si="514"/>
        <v>0</v>
      </c>
      <c r="EF19" s="229">
        <f t="shared" si="514"/>
        <v>0</v>
      </c>
      <c r="EG19" s="229">
        <f t="shared" si="514"/>
        <v>0</v>
      </c>
      <c r="EH19" s="219">
        <f t="shared" si="61"/>
        <v>0</v>
      </c>
      <c r="EI19" s="229">
        <f t="shared" ref="EI19:EK19" si="515">EI74+EI63+EI73+EI62+EI64+EI75+EI61+EI71+EI68+EI67+EI66</f>
        <v>0</v>
      </c>
      <c r="EJ19" s="229">
        <f t="shared" si="515"/>
        <v>0</v>
      </c>
      <c r="EK19" s="229">
        <f t="shared" si="515"/>
        <v>0</v>
      </c>
      <c r="EL19" s="219">
        <f t="shared" si="62"/>
        <v>0</v>
      </c>
      <c r="EM19" s="229">
        <f t="shared" ref="EM19:EN19" si="516">EM74+EM63+EM73+EM62+EM64+EM75+EM61+EM71+EM68+EM67+EM66</f>
        <v>0</v>
      </c>
      <c r="EN19" s="229">
        <f t="shared" si="516"/>
        <v>0</v>
      </c>
      <c r="EO19" s="219">
        <f t="shared" si="63"/>
        <v>0</v>
      </c>
      <c r="EP19" s="229">
        <f t="shared" ref="EP19:EQ19" si="517">EP74+EP63+EP73+EP62+EP64+EP75+EP61+EP71+EP68+EP67+EP66</f>
        <v>0</v>
      </c>
      <c r="EQ19" s="229">
        <f t="shared" si="517"/>
        <v>0</v>
      </c>
      <c r="ER19" s="219">
        <f t="shared" si="64"/>
        <v>0</v>
      </c>
      <c r="ES19" s="229">
        <f t="shared" ref="ES19:ET19" si="518">ES74+ES63+ES73+ES62+ES64+ES75+ES61+ES71+ES68+ES67+ES66</f>
        <v>0</v>
      </c>
      <c r="ET19" s="229">
        <f t="shared" si="518"/>
        <v>0</v>
      </c>
      <c r="EU19" s="219">
        <f t="shared" si="65"/>
        <v>0</v>
      </c>
      <c r="EV19" s="229">
        <f t="shared" ref="EV19:FF19" si="519">EV74+EV63+EV73+EV62+EV64+EV75+EV61+EV71+EV68+EV67+EV66</f>
        <v>0</v>
      </c>
      <c r="EW19" s="229">
        <f t="shared" si="519"/>
        <v>0</v>
      </c>
      <c r="EX19" s="229">
        <f t="shared" si="519"/>
        <v>0</v>
      </c>
      <c r="EY19" s="229">
        <f t="shared" si="519"/>
        <v>0</v>
      </c>
      <c r="EZ19" s="229">
        <f t="shared" si="519"/>
        <v>0</v>
      </c>
      <c r="FA19" s="229">
        <f t="shared" si="519"/>
        <v>0</v>
      </c>
      <c r="FB19" s="229">
        <f t="shared" si="519"/>
        <v>0</v>
      </c>
      <c r="FC19" s="229">
        <f t="shared" si="519"/>
        <v>0</v>
      </c>
      <c r="FD19" s="229">
        <f t="shared" si="519"/>
        <v>0</v>
      </c>
      <c r="FE19" s="229">
        <f t="shared" si="519"/>
        <v>0</v>
      </c>
      <c r="FF19" s="229">
        <f t="shared" si="519"/>
        <v>0</v>
      </c>
      <c r="FG19" s="219">
        <f t="shared" si="66"/>
        <v>0</v>
      </c>
      <c r="FH19" s="229">
        <f t="shared" ref="FH19:FJ19" si="520">FH74+FH63+FH73+FH62+FH64+FH75+FH61+FH71+FH68+FH67+FH66</f>
        <v>0</v>
      </c>
      <c r="FI19" s="229">
        <f t="shared" si="520"/>
        <v>0</v>
      </c>
      <c r="FJ19" s="229">
        <f t="shared" si="520"/>
        <v>0</v>
      </c>
      <c r="FK19" s="219">
        <f t="shared" si="67"/>
        <v>0</v>
      </c>
      <c r="FL19" s="229">
        <f t="shared" ref="FL19:FQ19" si="521">FL74+FL63+FL73+FL62+FL64+FL75+FL61+FL71+FL68+FL67+FL66</f>
        <v>0</v>
      </c>
      <c r="FM19" s="229">
        <f t="shared" si="521"/>
        <v>0</v>
      </c>
      <c r="FN19" s="229">
        <f t="shared" si="521"/>
        <v>0</v>
      </c>
      <c r="FO19" s="229">
        <f t="shared" si="521"/>
        <v>0</v>
      </c>
      <c r="FP19" s="229">
        <f t="shared" si="521"/>
        <v>0</v>
      </c>
      <c r="FQ19" s="229">
        <f t="shared" si="521"/>
        <v>0</v>
      </c>
      <c r="FR19" s="219">
        <f t="shared" si="68"/>
        <v>0</v>
      </c>
      <c r="FS19" s="229">
        <f t="shared" ref="FS19:FU19" si="522">FS74+FS63+FS73+FS62+FS64+FS75+FS61+FS71+FS68+FS67+FS66</f>
        <v>0</v>
      </c>
      <c r="FT19" s="229">
        <f t="shared" si="522"/>
        <v>0</v>
      </c>
      <c r="FU19" s="229">
        <f t="shared" si="522"/>
        <v>0</v>
      </c>
      <c r="FV19" s="219">
        <f t="shared" si="69"/>
        <v>0</v>
      </c>
      <c r="FW19" s="229">
        <f t="shared" ref="FW19:FX19" si="523">FW74+FW63+FW73+FW62+FW64+FW75+FW61+FW71+FW68+FW67+FW66</f>
        <v>0</v>
      </c>
      <c r="FX19" s="229">
        <f t="shared" si="523"/>
        <v>0</v>
      </c>
      <c r="FY19" s="219">
        <f t="shared" si="70"/>
        <v>0</v>
      </c>
      <c r="FZ19" s="229">
        <f t="shared" ref="FZ19:GA19" si="524">FZ74+FZ63+FZ73+FZ62+FZ64+FZ75+FZ61+FZ71+FZ68+FZ67+FZ66</f>
        <v>0</v>
      </c>
      <c r="GA19" s="229">
        <f t="shared" si="524"/>
        <v>0</v>
      </c>
      <c r="GB19" s="219">
        <f t="shared" si="71"/>
        <v>0</v>
      </c>
      <c r="GC19" s="229">
        <f t="shared" ref="GC19:GD19" si="525">GC74+GC63+GC73+GC62+GC64+GC75+GC61+GC71+GC68+GC67+GC66</f>
        <v>0</v>
      </c>
      <c r="GD19" s="229">
        <f t="shared" si="525"/>
        <v>0</v>
      </c>
      <c r="GE19" s="219">
        <f t="shared" si="72"/>
        <v>0</v>
      </c>
      <c r="GF19" s="229">
        <f t="shared" ref="GF19:GM19" si="526">GF74+GF63+GF73+GF62+GF64+GF75+GF61+GF71+GF68+GF67+GF66</f>
        <v>0</v>
      </c>
      <c r="GG19" s="229">
        <f t="shared" si="526"/>
        <v>0</v>
      </c>
      <c r="GH19" s="229">
        <f t="shared" si="526"/>
        <v>0</v>
      </c>
      <c r="GI19" s="229">
        <f t="shared" si="526"/>
        <v>0</v>
      </c>
      <c r="GJ19" s="229">
        <f t="shared" si="526"/>
        <v>0</v>
      </c>
      <c r="GK19" s="229">
        <f t="shared" si="526"/>
        <v>0</v>
      </c>
      <c r="GL19" s="229">
        <f t="shared" si="526"/>
        <v>0</v>
      </c>
      <c r="GM19" s="229">
        <f t="shared" si="526"/>
        <v>0</v>
      </c>
      <c r="GN19" s="219">
        <f t="shared" si="73"/>
        <v>0</v>
      </c>
      <c r="GO19" s="229">
        <f t="shared" ref="GO19:GQ19" si="527">GO74+GO63+GO73+GO62+GO64+GO75+GO61+GO71+GO68+GO67+GO66</f>
        <v>0</v>
      </c>
      <c r="GP19" s="229">
        <f t="shared" si="527"/>
        <v>0</v>
      </c>
      <c r="GQ19" s="229">
        <f t="shared" si="527"/>
        <v>0</v>
      </c>
      <c r="GR19" s="219">
        <f t="shared" si="3"/>
        <v>0</v>
      </c>
      <c r="GS19" s="229">
        <f t="shared" ref="GS19:GV19" si="528">GS74+GS63+GS73+GS62+GS64+GS75+GS61+GS71+GS68+GS67+GS66</f>
        <v>0</v>
      </c>
      <c r="GT19" s="229">
        <f t="shared" si="528"/>
        <v>0</v>
      </c>
      <c r="GU19" s="229">
        <f t="shared" si="528"/>
        <v>0</v>
      </c>
      <c r="GV19" s="229">
        <f t="shared" si="528"/>
        <v>0</v>
      </c>
      <c r="GW19" s="219">
        <f t="shared" si="75"/>
        <v>0</v>
      </c>
      <c r="GX19" s="229">
        <f t="shared" ref="GX19:HA19" si="529">GX74+GX63+GX73+GX62+GX64+GX75+GX61+GX71+GX68+GX67+GX66</f>
        <v>0</v>
      </c>
      <c r="GY19" s="229">
        <f t="shared" si="529"/>
        <v>0</v>
      </c>
      <c r="GZ19" s="229">
        <f t="shared" si="529"/>
        <v>0</v>
      </c>
      <c r="HA19" s="229">
        <f t="shared" si="529"/>
        <v>0</v>
      </c>
      <c r="HB19" s="219">
        <f t="shared" si="76"/>
        <v>0</v>
      </c>
      <c r="HC19" s="229">
        <f t="shared" ref="HC19:HF19" si="530">HC74+HC63+HC73+HC62+HC64+HC75+HC61+HC71+HC68+HC67+HC66</f>
        <v>0</v>
      </c>
      <c r="HD19" s="229">
        <f t="shared" si="530"/>
        <v>0</v>
      </c>
      <c r="HE19" s="229">
        <f t="shared" si="530"/>
        <v>0</v>
      </c>
      <c r="HF19" s="229">
        <f t="shared" si="530"/>
        <v>0</v>
      </c>
      <c r="HG19" s="219">
        <f t="shared" si="77"/>
        <v>0</v>
      </c>
      <c r="HH19" s="229">
        <f t="shared" ref="HH19:HK19" si="531">HH74+HH63+HH73+HH62+HH64+HH75+HH61+HH71+HH68+HH67+HH66</f>
        <v>0</v>
      </c>
      <c r="HI19" s="229">
        <f t="shared" si="531"/>
        <v>0</v>
      </c>
      <c r="HJ19" s="229">
        <f t="shared" si="531"/>
        <v>0</v>
      </c>
      <c r="HK19" s="229">
        <f t="shared" si="531"/>
        <v>0</v>
      </c>
      <c r="HL19" s="219">
        <f t="shared" si="78"/>
        <v>0</v>
      </c>
      <c r="HM19" s="229">
        <f t="shared" ref="HM19:HP19" si="532">HM74+HM63+HM73+HM62+HM64+HM75+HM61+HM71+HM68+HM67+HM66</f>
        <v>0</v>
      </c>
      <c r="HN19" s="229">
        <f t="shared" si="532"/>
        <v>0</v>
      </c>
      <c r="HO19" s="229">
        <f t="shared" si="532"/>
        <v>0</v>
      </c>
      <c r="HP19" s="229">
        <f t="shared" si="532"/>
        <v>0</v>
      </c>
      <c r="HQ19" s="219">
        <f t="shared" si="79"/>
        <v>0</v>
      </c>
      <c r="HR19" s="229">
        <f t="shared" ref="HR19:HU19" si="533">HR74+HR63+HR73+HR62+HR64+HR75+HR61+HR71+HR68+HR67+HR66</f>
        <v>0</v>
      </c>
      <c r="HS19" s="229">
        <f t="shared" si="533"/>
        <v>0</v>
      </c>
      <c r="HT19" s="229">
        <f t="shared" si="533"/>
        <v>0</v>
      </c>
      <c r="HU19" s="229">
        <f t="shared" si="533"/>
        <v>0</v>
      </c>
      <c r="HV19" s="219">
        <f t="shared" si="80"/>
        <v>0</v>
      </c>
      <c r="HW19" s="229">
        <f t="shared" ref="HW19:HY19" si="534">HW74+HW63+HW73+HW62+HW64+HW75+HW61+HW71+HW68+HW67+HW66</f>
        <v>0</v>
      </c>
      <c r="HX19" s="229">
        <f t="shared" si="534"/>
        <v>0</v>
      </c>
      <c r="HY19" s="229">
        <f t="shared" si="534"/>
        <v>0</v>
      </c>
      <c r="HZ19" s="219">
        <f t="shared" si="81"/>
        <v>0</v>
      </c>
      <c r="IA19" s="229">
        <f t="shared" ref="IA19:ID19" si="535">IA74+IA63+IA73+IA62+IA64+IA75+IA61+IA71+IA68+IA67+IA66</f>
        <v>0</v>
      </c>
      <c r="IB19" s="229">
        <f t="shared" si="535"/>
        <v>0</v>
      </c>
      <c r="IC19" s="229">
        <f t="shared" si="535"/>
        <v>0</v>
      </c>
      <c r="ID19" s="229">
        <f t="shared" si="535"/>
        <v>0</v>
      </c>
      <c r="IE19" s="219">
        <f t="shared" si="82"/>
        <v>0</v>
      </c>
      <c r="IF19" s="229">
        <f t="shared" ref="IF19:II19" si="536">IF74+IF63+IF73+IF62+IF64+IF75+IF61+IF71+IF68+IF67+IF66</f>
        <v>0</v>
      </c>
      <c r="IG19" s="229">
        <f t="shared" si="536"/>
        <v>0</v>
      </c>
      <c r="IH19" s="229">
        <f t="shared" si="536"/>
        <v>0</v>
      </c>
      <c r="II19" s="229">
        <f t="shared" si="536"/>
        <v>0</v>
      </c>
      <c r="IJ19" s="219">
        <f t="shared" si="83"/>
        <v>0</v>
      </c>
      <c r="IK19" s="229">
        <f t="shared" ref="IK19:IN19" si="537">IK74+IK63+IK73+IK62+IK64+IK75+IK61+IK71+IK68+IK67+IK66</f>
        <v>0</v>
      </c>
      <c r="IL19" s="229">
        <f t="shared" si="537"/>
        <v>0</v>
      </c>
      <c r="IM19" s="229">
        <f t="shared" si="537"/>
        <v>0</v>
      </c>
      <c r="IN19" s="229">
        <f t="shared" si="537"/>
        <v>0</v>
      </c>
      <c r="IO19" s="219">
        <f t="shared" si="84"/>
        <v>0</v>
      </c>
      <c r="IP19" s="229">
        <f t="shared" ref="IP19:IS19" si="538">IP74+IP63+IP73+IP62+IP64+IP75+IP61+IP71+IP68+IP67+IP66</f>
        <v>0</v>
      </c>
      <c r="IQ19" s="229">
        <f t="shared" si="538"/>
        <v>0</v>
      </c>
      <c r="IR19" s="229">
        <f t="shared" si="538"/>
        <v>0</v>
      </c>
      <c r="IS19" s="229">
        <f t="shared" si="538"/>
        <v>0</v>
      </c>
      <c r="IT19" s="219">
        <f t="shared" si="85"/>
        <v>0</v>
      </c>
      <c r="IU19" s="229">
        <f t="shared" ref="IU19:IW19" si="539">IU74+IU63+IU73+IU62+IU64+IU75+IU61+IU71+IU68+IU67+IU66</f>
        <v>0</v>
      </c>
      <c r="IV19" s="229">
        <f t="shared" si="539"/>
        <v>0</v>
      </c>
      <c r="IW19" s="229">
        <f t="shared" si="539"/>
        <v>0</v>
      </c>
      <c r="IX19" s="219">
        <f t="shared" si="86"/>
        <v>0</v>
      </c>
      <c r="IY19" s="229">
        <f t="shared" ref="IY19:JA19" si="540">IY74+IY63+IY73+IY62+IY64+IY75+IY61+IY71+IY68+IY67+IY66</f>
        <v>0</v>
      </c>
      <c r="IZ19" s="229">
        <f t="shared" si="540"/>
        <v>0</v>
      </c>
      <c r="JA19" s="229">
        <f t="shared" si="540"/>
        <v>0</v>
      </c>
      <c r="JB19" s="219">
        <f t="shared" si="87"/>
        <v>0</v>
      </c>
      <c r="JC19" s="229">
        <f t="shared" ref="JC19:JE19" si="541">JC74+JC63+JC73+JC62+JC64+JC75+JC61+JC71+JC68+JC67+JC66</f>
        <v>0</v>
      </c>
      <c r="JD19" s="229">
        <f t="shared" si="541"/>
        <v>0</v>
      </c>
      <c r="JE19" s="229">
        <f t="shared" si="541"/>
        <v>0</v>
      </c>
      <c r="JF19" s="219">
        <f t="shared" si="88"/>
        <v>0</v>
      </c>
      <c r="JG19" s="229">
        <f t="shared" ref="JG19:KY19" si="542">JG74+JG63+JG73+JG62+JG64+JG75+JG61+JG71+JG68+JG67+JG66</f>
        <v>0</v>
      </c>
      <c r="JH19" s="229">
        <f t="shared" si="542"/>
        <v>0</v>
      </c>
      <c r="JI19" s="229">
        <f t="shared" si="542"/>
        <v>0</v>
      </c>
      <c r="JJ19" s="229">
        <f t="shared" si="542"/>
        <v>0</v>
      </c>
      <c r="JK19" s="229">
        <f t="shared" si="542"/>
        <v>0</v>
      </c>
      <c r="JL19" s="229">
        <f t="shared" si="542"/>
        <v>0</v>
      </c>
      <c r="JM19" s="229">
        <f t="shared" si="542"/>
        <v>0</v>
      </c>
      <c r="JN19" s="229">
        <f t="shared" si="542"/>
        <v>0</v>
      </c>
      <c r="JO19" s="229">
        <f t="shared" si="542"/>
        <v>0</v>
      </c>
      <c r="JP19" s="229">
        <f t="shared" si="542"/>
        <v>0</v>
      </c>
      <c r="JQ19" s="229">
        <f t="shared" si="542"/>
        <v>0</v>
      </c>
      <c r="JR19" s="229">
        <f t="shared" si="542"/>
        <v>0</v>
      </c>
      <c r="JS19" s="229">
        <f t="shared" si="542"/>
        <v>0</v>
      </c>
      <c r="JT19" s="229">
        <f t="shared" si="542"/>
        <v>0</v>
      </c>
      <c r="JU19" s="229">
        <f t="shared" si="542"/>
        <v>0</v>
      </c>
      <c r="JV19" s="229">
        <f t="shared" si="542"/>
        <v>0</v>
      </c>
      <c r="JW19" s="229">
        <f t="shared" si="542"/>
        <v>0</v>
      </c>
      <c r="JX19" s="229">
        <f t="shared" si="542"/>
        <v>0</v>
      </c>
      <c r="JY19" s="229">
        <f t="shared" si="542"/>
        <v>0</v>
      </c>
      <c r="JZ19" s="229">
        <f t="shared" si="542"/>
        <v>0</v>
      </c>
      <c r="KA19" s="229">
        <f t="shared" si="542"/>
        <v>0</v>
      </c>
      <c r="KB19" s="229">
        <f t="shared" si="542"/>
        <v>0</v>
      </c>
      <c r="KC19" s="229">
        <f t="shared" si="542"/>
        <v>0</v>
      </c>
      <c r="KD19" s="229">
        <f t="shared" si="542"/>
        <v>0</v>
      </c>
      <c r="KE19" s="229">
        <f t="shared" si="542"/>
        <v>0</v>
      </c>
      <c r="KF19" s="229">
        <f t="shared" si="542"/>
        <v>0</v>
      </c>
      <c r="KG19" s="229">
        <f t="shared" si="542"/>
        <v>0</v>
      </c>
      <c r="KH19" s="229">
        <f t="shared" si="542"/>
        <v>0</v>
      </c>
      <c r="KI19" s="229">
        <f t="shared" si="542"/>
        <v>0</v>
      </c>
      <c r="KJ19" s="229">
        <f t="shared" si="542"/>
        <v>0</v>
      </c>
      <c r="KK19" s="229">
        <f t="shared" si="542"/>
        <v>0</v>
      </c>
      <c r="KL19" s="229">
        <f t="shared" si="542"/>
        <v>0</v>
      </c>
      <c r="KM19" s="229">
        <f t="shared" si="542"/>
        <v>0</v>
      </c>
      <c r="KN19" s="229">
        <f t="shared" si="542"/>
        <v>0</v>
      </c>
      <c r="KO19" s="229">
        <f t="shared" si="542"/>
        <v>0</v>
      </c>
      <c r="KP19" s="229">
        <f t="shared" si="542"/>
        <v>0</v>
      </c>
      <c r="KQ19" s="229">
        <f t="shared" si="542"/>
        <v>0</v>
      </c>
      <c r="KR19" s="229">
        <f t="shared" si="542"/>
        <v>0</v>
      </c>
      <c r="KS19" s="229">
        <f t="shared" si="542"/>
        <v>0</v>
      </c>
      <c r="KT19" s="229">
        <f t="shared" si="542"/>
        <v>0</v>
      </c>
      <c r="KU19" s="229">
        <f t="shared" si="542"/>
        <v>0</v>
      </c>
      <c r="KV19" s="229">
        <f t="shared" si="542"/>
        <v>0</v>
      </c>
      <c r="KW19" s="229">
        <f t="shared" si="542"/>
        <v>0</v>
      </c>
      <c r="KX19" s="229">
        <f t="shared" si="542"/>
        <v>0</v>
      </c>
      <c r="KY19" s="229">
        <f t="shared" si="542"/>
        <v>0</v>
      </c>
      <c r="KZ19" s="219">
        <f t="shared" si="90"/>
        <v>0</v>
      </c>
      <c r="LA19" s="229">
        <f t="shared" ref="LA19:LC19" si="543">LA74+LA63+LA73+LA62+LA64+LA75+LA61+LA71+LA68+LA67+LA66</f>
        <v>0</v>
      </c>
      <c r="LB19" s="229">
        <f t="shared" si="543"/>
        <v>0</v>
      </c>
      <c r="LC19" s="229">
        <f t="shared" si="543"/>
        <v>0</v>
      </c>
      <c r="LD19" s="219">
        <f t="shared" si="91"/>
        <v>0</v>
      </c>
      <c r="LE19" s="229">
        <f t="shared" ref="LE19:LG19" si="544">LE74+LE63+LE73+LE62+LE64+LE75+LE61+LE71+LE68+LE67+LE66</f>
        <v>0</v>
      </c>
      <c r="LF19" s="229">
        <f t="shared" si="544"/>
        <v>0</v>
      </c>
      <c r="LG19" s="229">
        <f t="shared" si="544"/>
        <v>0</v>
      </c>
      <c r="LH19" s="219">
        <f t="shared" si="92"/>
        <v>0</v>
      </c>
      <c r="LI19" s="229">
        <f t="shared" ref="LI19:LK19" si="545">LI74+LI63+LI73+LI62+LI64+LI75+LI61+LI71+LI68+LI67+LI66</f>
        <v>0</v>
      </c>
      <c r="LJ19" s="229">
        <f t="shared" si="545"/>
        <v>0</v>
      </c>
      <c r="LK19" s="229">
        <f t="shared" si="545"/>
        <v>0</v>
      </c>
      <c r="LL19" s="219">
        <f t="shared" si="93"/>
        <v>0</v>
      </c>
      <c r="LM19" s="229">
        <f t="shared" ref="LM19:LO19" si="546">LM74+LM63+LM73+LM62+LM64+LM75+LM61+LM71+LM68+LM67+LM66</f>
        <v>0</v>
      </c>
      <c r="LN19" s="229">
        <f t="shared" si="546"/>
        <v>0</v>
      </c>
      <c r="LO19" s="229">
        <f t="shared" si="546"/>
        <v>0</v>
      </c>
      <c r="LP19" s="219">
        <f t="shared" si="94"/>
        <v>0</v>
      </c>
      <c r="LQ19" s="229">
        <f t="shared" ref="LQ19:LS19" si="547">LQ74+LQ63+LQ73+LQ62+LQ64+LQ75+LQ61+LQ71+LQ68+LQ67+LQ66</f>
        <v>0</v>
      </c>
      <c r="LR19" s="229">
        <f t="shared" si="547"/>
        <v>0</v>
      </c>
      <c r="LS19" s="229">
        <f t="shared" si="547"/>
        <v>0</v>
      </c>
      <c r="LT19" s="219">
        <f t="shared" si="95"/>
        <v>0</v>
      </c>
      <c r="LU19" s="229">
        <f t="shared" ref="LU19:LW19" si="548">LU74+LU63+LU73+LU62+LU64+LU75+LU61+LU71+LU68+LU67+LU66</f>
        <v>0</v>
      </c>
      <c r="LV19" s="229">
        <f t="shared" si="548"/>
        <v>0</v>
      </c>
      <c r="LW19" s="229">
        <f t="shared" si="548"/>
        <v>0</v>
      </c>
      <c r="LX19" s="219">
        <f t="shared" si="96"/>
        <v>0</v>
      </c>
      <c r="LY19" s="229">
        <f t="shared" ref="LY19:MA19" si="549">LY74+LY63+LY73+LY62+LY64+LY75+LY61+LY71+LY68+LY67+LY66</f>
        <v>0</v>
      </c>
      <c r="LZ19" s="229">
        <f t="shared" si="549"/>
        <v>0</v>
      </c>
      <c r="MA19" s="229">
        <f t="shared" si="549"/>
        <v>0</v>
      </c>
      <c r="MB19" s="219">
        <f t="shared" si="97"/>
        <v>0</v>
      </c>
      <c r="MC19" s="229">
        <f t="shared" ref="MC19" si="550">MC74+MC63+MC73+MC62+MC64+MC75+MC61+MC71+MC68+MC67+MC66</f>
        <v>0</v>
      </c>
      <c r="MD19" s="219">
        <f t="shared" si="98"/>
        <v>0</v>
      </c>
      <c r="ME19" s="229">
        <f t="shared" ref="ME19" si="551">ME74+ME63+ME73+ME62+ME64+ME75+ME61+ME71+ME68+ME67+ME66</f>
        <v>0</v>
      </c>
      <c r="MF19" s="219">
        <f t="shared" si="100"/>
        <v>0</v>
      </c>
      <c r="MG19" s="229">
        <f t="shared" ref="MG19" si="552">MG74+MG63+MG73+MG62+MG64+MG75+MG61+MG71+MG68+MG67+MG66</f>
        <v>0</v>
      </c>
      <c r="MH19" s="219">
        <f t="shared" si="101"/>
        <v>0</v>
      </c>
      <c r="MI19" s="229">
        <f t="shared" ref="MI19" si="553">MI74+MI63+MI73+MI62+MI64+MI75+MI61+MI71+MI68+MI67+MI66</f>
        <v>0</v>
      </c>
      <c r="MJ19" s="219">
        <f t="shared" si="102"/>
        <v>0</v>
      </c>
      <c r="MK19" s="229">
        <f t="shared" ref="MK19" si="554">MK74+MK63+MK73+MK62+MK64+MK75+MK61+MK71+MK68+MK67+MK66</f>
        <v>0</v>
      </c>
      <c r="ML19" s="219">
        <f t="shared" si="103"/>
        <v>0</v>
      </c>
      <c r="MM19" s="229">
        <f t="shared" ref="MM19:MV19" si="555">MM74+MM63+MM73+MM62+MM64+MM75+MM61+MM71+MM68+MM67+MM66</f>
        <v>0</v>
      </c>
      <c r="MN19" s="229">
        <f t="shared" si="555"/>
        <v>0</v>
      </c>
      <c r="MO19" s="229">
        <f t="shared" si="555"/>
        <v>0</v>
      </c>
      <c r="MP19" s="229">
        <f t="shared" si="555"/>
        <v>0</v>
      </c>
      <c r="MQ19" s="229">
        <f t="shared" si="555"/>
        <v>0</v>
      </c>
      <c r="MR19" s="229">
        <f t="shared" si="555"/>
        <v>0</v>
      </c>
      <c r="MS19" s="229">
        <f t="shared" si="555"/>
        <v>0</v>
      </c>
      <c r="MT19" s="229">
        <f t="shared" si="555"/>
        <v>0</v>
      </c>
      <c r="MU19" s="229">
        <f t="shared" si="555"/>
        <v>0</v>
      </c>
      <c r="MV19" s="229">
        <f t="shared" si="555"/>
        <v>0</v>
      </c>
      <c r="MW19" s="219">
        <f t="shared" si="104"/>
        <v>0</v>
      </c>
      <c r="MX19" s="229">
        <f t="shared" ref="MX19:MZ19" si="556">MX74+MX63+MX73+MX62+MX64+MX75+MX61+MX71+MX68+MX67+MX66</f>
        <v>0</v>
      </c>
      <c r="MY19" s="229">
        <f t="shared" si="556"/>
        <v>0</v>
      </c>
      <c r="MZ19" s="229">
        <f t="shared" si="556"/>
        <v>0</v>
      </c>
      <c r="NA19" s="219">
        <f t="shared" si="105"/>
        <v>0</v>
      </c>
      <c r="NB19" s="229">
        <f t="shared" ref="NB19:ND19" si="557">NB74+NB63+NB73+NB62+NB64+NB75+NB61+NB71+NB68+NB67+NB66</f>
        <v>0</v>
      </c>
      <c r="NC19" s="229">
        <f t="shared" si="557"/>
        <v>0</v>
      </c>
      <c r="ND19" s="229">
        <f t="shared" si="557"/>
        <v>0</v>
      </c>
      <c r="NE19" s="219">
        <f t="shared" si="106"/>
        <v>0</v>
      </c>
      <c r="NF19" s="229">
        <f t="shared" ref="NF19:NH19" si="558">NF74+NF63+NF73+NF62+NF64+NF75+NF61+NF71+NF68+NF67+NF66</f>
        <v>0</v>
      </c>
      <c r="NG19" s="229">
        <f t="shared" si="558"/>
        <v>0</v>
      </c>
      <c r="NH19" s="229">
        <f t="shared" si="558"/>
        <v>0</v>
      </c>
      <c r="NI19" s="219">
        <f t="shared" si="107"/>
        <v>0</v>
      </c>
      <c r="NJ19" s="229">
        <f t="shared" ref="NJ19:NL19" si="559">NJ74+NJ63+NJ73+NJ62+NJ64+NJ75+NJ61+NJ71+NJ68+NJ67+NJ66</f>
        <v>0</v>
      </c>
      <c r="NK19" s="229">
        <f t="shared" si="559"/>
        <v>0</v>
      </c>
      <c r="NL19" s="229">
        <f t="shared" si="559"/>
        <v>0</v>
      </c>
      <c r="NM19" s="219">
        <f t="shared" si="108"/>
        <v>0</v>
      </c>
      <c r="NN19" s="229">
        <f t="shared" ref="NN19:NP19" si="560">NN74+NN63+NN73+NN62+NN64+NN75+NN61+NN71+NN68+NN67+NN66</f>
        <v>0</v>
      </c>
      <c r="NO19" s="229">
        <f t="shared" si="560"/>
        <v>0</v>
      </c>
      <c r="NP19" s="229">
        <f t="shared" si="560"/>
        <v>0</v>
      </c>
      <c r="NQ19" s="219">
        <f t="shared" si="109"/>
        <v>0</v>
      </c>
      <c r="NR19" s="229">
        <f t="shared" ref="NR19:NT19" si="561">NR74+NR63+NR73+NR62+NR64+NR75+NR61+NR71+NR68+NR67+NR66</f>
        <v>0</v>
      </c>
      <c r="NS19" s="229">
        <f t="shared" si="561"/>
        <v>0</v>
      </c>
      <c r="NT19" s="229">
        <f t="shared" si="561"/>
        <v>0</v>
      </c>
      <c r="NU19" s="219">
        <f t="shared" si="110"/>
        <v>0</v>
      </c>
      <c r="NV19" s="229">
        <f t="shared" ref="NV19:NX19" si="562">NV74+NV63+NV73+NV62+NV64+NV75+NV61+NV71+NV68+NV67+NV66</f>
        <v>0</v>
      </c>
      <c r="NW19" s="229">
        <f t="shared" si="562"/>
        <v>0</v>
      </c>
      <c r="NX19" s="229">
        <f t="shared" si="562"/>
        <v>0</v>
      </c>
      <c r="NY19" s="219">
        <f t="shared" si="112"/>
        <v>0</v>
      </c>
      <c r="NZ19" s="229">
        <f t="shared" ref="NZ19:OB19" si="563">NZ74+NZ63+NZ73+NZ62+NZ64+NZ75+NZ61+NZ71+NZ68+NZ67+NZ66</f>
        <v>0</v>
      </c>
      <c r="OA19" s="229">
        <f t="shared" si="563"/>
        <v>0</v>
      </c>
      <c r="OB19" s="229">
        <f t="shared" si="563"/>
        <v>0</v>
      </c>
      <c r="OC19" s="219">
        <f t="shared" si="114"/>
        <v>0</v>
      </c>
      <c r="OD19" s="229">
        <f t="shared" ref="OD19:OQ19" si="564">OD74+OD63+OD73+OD62+OD64+OD75+OD61+OD71+OD68+OD67+OD66</f>
        <v>0</v>
      </c>
      <c r="OE19" s="229">
        <f t="shared" si="564"/>
        <v>0</v>
      </c>
      <c r="OF19" s="229">
        <f t="shared" si="564"/>
        <v>0</v>
      </c>
      <c r="OG19" s="229">
        <f t="shared" si="564"/>
        <v>0</v>
      </c>
      <c r="OH19" s="229">
        <f t="shared" si="564"/>
        <v>0</v>
      </c>
      <c r="OI19" s="229">
        <f t="shared" si="564"/>
        <v>0</v>
      </c>
      <c r="OJ19" s="229">
        <f t="shared" si="564"/>
        <v>0</v>
      </c>
      <c r="OK19" s="229">
        <f t="shared" si="564"/>
        <v>0</v>
      </c>
      <c r="OL19" s="229">
        <f t="shared" si="564"/>
        <v>0</v>
      </c>
      <c r="OM19" s="229">
        <f t="shared" si="564"/>
        <v>0</v>
      </c>
      <c r="ON19" s="229">
        <f t="shared" si="564"/>
        <v>0</v>
      </c>
      <c r="OO19" s="229">
        <f t="shared" si="564"/>
        <v>0</v>
      </c>
      <c r="OP19" s="229">
        <f t="shared" si="564"/>
        <v>0</v>
      </c>
      <c r="OQ19" s="229">
        <f t="shared" si="564"/>
        <v>0</v>
      </c>
      <c r="OR19" s="219">
        <f t="shared" si="116"/>
        <v>0</v>
      </c>
      <c r="OS19" s="229">
        <f t="shared" ref="OS19:OW19" si="565">OS74+OS63+OS73+OS62+OS64+OS75+OS61+OS71+OS68+OS67+OS66</f>
        <v>0</v>
      </c>
      <c r="OT19" s="229">
        <f t="shared" si="565"/>
        <v>0</v>
      </c>
      <c r="OU19" s="229">
        <f t="shared" si="565"/>
        <v>0</v>
      </c>
      <c r="OV19" s="229">
        <f t="shared" si="565"/>
        <v>0</v>
      </c>
      <c r="OW19" s="229">
        <f t="shared" si="565"/>
        <v>0</v>
      </c>
      <c r="OX19" s="219">
        <f t="shared" si="11"/>
        <v>0</v>
      </c>
      <c r="OY19" s="229">
        <f t="shared" ref="OY19:PA19" si="566">OY74+OY63+OY73+OY62+OY64+OY75+OY61+OY71+OY68+OY67+OY66</f>
        <v>0</v>
      </c>
      <c r="OZ19" s="229">
        <f t="shared" si="566"/>
        <v>0</v>
      </c>
      <c r="PA19" s="229">
        <f t="shared" si="566"/>
        <v>0</v>
      </c>
      <c r="PB19" s="219">
        <f t="shared" si="119"/>
        <v>0</v>
      </c>
      <c r="PC19" s="229">
        <f t="shared" ref="PC19:PE19" si="567">PC74+PC63+PC73+PC62+PC64+PC75+PC61+PC71+PC68+PC67+PC66</f>
        <v>0</v>
      </c>
      <c r="PD19" s="229">
        <f t="shared" si="567"/>
        <v>0</v>
      </c>
      <c r="PE19" s="229">
        <f t="shared" si="567"/>
        <v>0</v>
      </c>
      <c r="PF19" s="219">
        <f t="shared" si="121"/>
        <v>0</v>
      </c>
      <c r="PG19" s="229">
        <f t="shared" ref="PG19:PI19" si="568">PG74+PG63+PG73+PG62+PG64+PG75+PG61+PG71+PG68+PG67+PG66</f>
        <v>0</v>
      </c>
      <c r="PH19" s="229">
        <f t="shared" si="568"/>
        <v>0</v>
      </c>
      <c r="PI19" s="229">
        <f t="shared" si="568"/>
        <v>0</v>
      </c>
      <c r="PJ19" s="219">
        <f t="shared" si="123"/>
        <v>0</v>
      </c>
      <c r="PK19" s="229">
        <f t="shared" ref="PK19:PM19" si="569">PK74+PK63+PK73+PK62+PK64+PK75+PK61+PK71+PK68+PK67+PK66</f>
        <v>0</v>
      </c>
      <c r="PL19" s="229">
        <f t="shared" si="569"/>
        <v>0</v>
      </c>
      <c r="PM19" s="229">
        <f t="shared" si="569"/>
        <v>0</v>
      </c>
      <c r="PN19" s="219">
        <f t="shared" si="125"/>
        <v>0</v>
      </c>
      <c r="PO19" s="229">
        <f t="shared" ref="PO19:PQ19" si="570">PO74+PO63+PO73+PO62+PO64+PO75+PO61+PO71+PO68+PO67+PO66</f>
        <v>0</v>
      </c>
      <c r="PP19" s="229">
        <f t="shared" si="570"/>
        <v>0</v>
      </c>
      <c r="PQ19" s="229">
        <f t="shared" si="570"/>
        <v>0</v>
      </c>
      <c r="PR19" s="219">
        <f t="shared" si="127"/>
        <v>0</v>
      </c>
      <c r="PS19" s="229">
        <f t="shared" ref="PS19:PU19" si="571">PS74+PS63+PS73+PS62+PS64+PS75+PS61+PS71+PS68+PS67+PS66</f>
        <v>0</v>
      </c>
      <c r="PT19" s="229">
        <f t="shared" si="571"/>
        <v>0</v>
      </c>
      <c r="PU19" s="229">
        <f t="shared" si="571"/>
        <v>0</v>
      </c>
      <c r="PV19" s="219">
        <f t="shared" si="129"/>
        <v>0</v>
      </c>
      <c r="PW19" s="229">
        <f t="shared" ref="PW19:PY19" si="572">PW74+PW63+PW73+PW62+PW64+PW75+PW61+PW71+PW68+PW67+PW66</f>
        <v>0</v>
      </c>
      <c r="PX19" s="229">
        <f t="shared" si="572"/>
        <v>0</v>
      </c>
      <c r="PY19" s="229">
        <f t="shared" si="572"/>
        <v>0</v>
      </c>
      <c r="PZ19" s="219">
        <f t="shared" si="131"/>
        <v>0</v>
      </c>
      <c r="QA19" s="229">
        <f t="shared" ref="QA19:QC19" si="573">QA74+QA63+QA73+QA62+QA64+QA75+QA61+QA71+QA68+QA67+QA66</f>
        <v>0</v>
      </c>
      <c r="QB19" s="229">
        <f t="shared" si="573"/>
        <v>0</v>
      </c>
      <c r="QC19" s="229">
        <f t="shared" si="573"/>
        <v>0</v>
      </c>
      <c r="QD19" s="219">
        <f t="shared" si="132"/>
        <v>0</v>
      </c>
      <c r="QE19" s="229">
        <f t="shared" ref="QE19:QK19" si="574">QE74+QE63+QE73+QE62+QE64+QE75+QE61+QE71+QE68+QE67+QE66</f>
        <v>0</v>
      </c>
      <c r="QF19" s="229">
        <f t="shared" si="574"/>
        <v>0</v>
      </c>
      <c r="QG19" s="229">
        <f t="shared" si="574"/>
        <v>0</v>
      </c>
      <c r="QH19" s="229">
        <f t="shared" si="574"/>
        <v>0</v>
      </c>
      <c r="QI19" s="229">
        <f t="shared" si="574"/>
        <v>0</v>
      </c>
      <c r="QJ19" s="229">
        <f t="shared" si="574"/>
        <v>0</v>
      </c>
      <c r="QK19" s="229">
        <f t="shared" si="574"/>
        <v>0</v>
      </c>
      <c r="QL19" s="219">
        <f t="shared" si="133"/>
        <v>0</v>
      </c>
      <c r="QM19" s="229">
        <f t="shared" ref="QM19:QR19" si="575">QM74+QM63+QM73+QM62+QM64+QM75+QM61+QM71+QM68+QM67+QM66</f>
        <v>0</v>
      </c>
      <c r="QN19" s="229">
        <f t="shared" si="575"/>
        <v>0</v>
      </c>
      <c r="QO19" s="229">
        <f t="shared" si="575"/>
        <v>0</v>
      </c>
      <c r="QP19" s="229">
        <f t="shared" si="575"/>
        <v>0</v>
      </c>
      <c r="QQ19" s="229">
        <f t="shared" si="575"/>
        <v>0</v>
      </c>
      <c r="QR19" s="229">
        <f t="shared" si="575"/>
        <v>0</v>
      </c>
      <c r="QS19" s="219">
        <f t="shared" si="135"/>
        <v>0</v>
      </c>
      <c r="QT19" s="229">
        <f t="shared" ref="QT19:QY19" si="576">QT74+QT63+QT73+QT62+QT64+QT75+QT61+QT71+QT68+QT67+QT66</f>
        <v>0</v>
      </c>
      <c r="QU19" s="229">
        <f t="shared" si="576"/>
        <v>0</v>
      </c>
      <c r="QV19" s="229">
        <f t="shared" si="576"/>
        <v>0</v>
      </c>
      <c r="QW19" s="229">
        <f t="shared" si="576"/>
        <v>0</v>
      </c>
      <c r="QX19" s="229">
        <f t="shared" si="576"/>
        <v>0</v>
      </c>
      <c r="QY19" s="229">
        <f t="shared" si="576"/>
        <v>0</v>
      </c>
      <c r="QZ19" s="219">
        <f t="shared" si="137"/>
        <v>0</v>
      </c>
      <c r="RA19" s="229">
        <f t="shared" ref="RA19:RF19" si="577">RA74+RA63+RA73+RA62+RA64+RA75+RA61+RA71+RA68+RA67+RA66</f>
        <v>0</v>
      </c>
      <c r="RB19" s="229">
        <f t="shared" si="577"/>
        <v>0</v>
      </c>
      <c r="RC19" s="229">
        <f t="shared" si="577"/>
        <v>0</v>
      </c>
      <c r="RD19" s="229">
        <f t="shared" si="577"/>
        <v>0</v>
      </c>
      <c r="RE19" s="229">
        <f t="shared" si="577"/>
        <v>0</v>
      </c>
      <c r="RF19" s="229">
        <f t="shared" si="577"/>
        <v>0</v>
      </c>
      <c r="RG19" s="219">
        <f t="shared" si="139"/>
        <v>0</v>
      </c>
      <c r="RH19" s="229">
        <f t="shared" ref="RH19:RM19" si="578">RH74+RH63+RH73+RH62+RH64+RH75+RH61+RH71+RH68+RH67+RH66</f>
        <v>0</v>
      </c>
      <c r="RI19" s="229">
        <f t="shared" si="578"/>
        <v>0</v>
      </c>
      <c r="RJ19" s="229">
        <f t="shared" si="578"/>
        <v>0</v>
      </c>
      <c r="RK19" s="229">
        <f t="shared" si="578"/>
        <v>0</v>
      </c>
      <c r="RL19" s="229">
        <f t="shared" si="578"/>
        <v>0</v>
      </c>
      <c r="RM19" s="229">
        <f t="shared" si="578"/>
        <v>0</v>
      </c>
      <c r="RN19" s="219">
        <f t="shared" si="141"/>
        <v>0</v>
      </c>
      <c r="RO19" s="229">
        <f t="shared" ref="RO19:RT19" si="579">RO74+RO63+RO73+RO62+RO64+RO75+RO61+RO71+RO68+RO67+RO66</f>
        <v>0</v>
      </c>
      <c r="RP19" s="229">
        <f t="shared" si="579"/>
        <v>0</v>
      </c>
      <c r="RQ19" s="229">
        <f t="shared" si="579"/>
        <v>0</v>
      </c>
      <c r="RR19" s="229">
        <f t="shared" si="579"/>
        <v>0</v>
      </c>
      <c r="RS19" s="229">
        <f t="shared" si="579"/>
        <v>0</v>
      </c>
      <c r="RT19" s="229">
        <f t="shared" si="579"/>
        <v>0</v>
      </c>
      <c r="RU19" s="219">
        <f t="shared" si="143"/>
        <v>0</v>
      </c>
      <c r="RV19" s="229">
        <f t="shared" ref="RV19:SF19" si="580">RV74+RV63+RV73+RV62+RV64+RV75+RV61+RV71+RV68+RV67+RV66</f>
        <v>0</v>
      </c>
      <c r="RW19" s="229">
        <f t="shared" si="580"/>
        <v>0</v>
      </c>
      <c r="RX19" s="229">
        <f t="shared" si="580"/>
        <v>0</v>
      </c>
      <c r="RY19" s="229">
        <f t="shared" si="580"/>
        <v>0</v>
      </c>
      <c r="RZ19" s="229">
        <f t="shared" si="580"/>
        <v>0</v>
      </c>
      <c r="SA19" s="229">
        <f t="shared" si="580"/>
        <v>0</v>
      </c>
      <c r="SB19" s="229">
        <f t="shared" si="580"/>
        <v>0</v>
      </c>
      <c r="SC19" s="219">
        <f t="shared" si="145"/>
        <v>0</v>
      </c>
      <c r="SD19" s="229">
        <f t="shared" si="580"/>
        <v>0</v>
      </c>
      <c r="SE19" s="229">
        <f t="shared" si="580"/>
        <v>0</v>
      </c>
      <c r="SF19" s="229">
        <f t="shared" si="580"/>
        <v>0</v>
      </c>
      <c r="SG19" s="219">
        <f t="shared" si="147"/>
        <v>0</v>
      </c>
      <c r="SH19" s="229">
        <f t="shared" ref="SH19:SM19" si="581">SH74+SH63+SH73+SH62+SH64+SH75+SH61+SH71+SH68+SH67+SH66</f>
        <v>0</v>
      </c>
      <c r="SI19" s="229">
        <f t="shared" si="581"/>
        <v>0</v>
      </c>
      <c r="SJ19" s="229">
        <f t="shared" si="581"/>
        <v>0</v>
      </c>
      <c r="SK19" s="229">
        <f t="shared" si="581"/>
        <v>0</v>
      </c>
      <c r="SL19" s="229">
        <f t="shared" si="581"/>
        <v>0</v>
      </c>
      <c r="SM19" s="229">
        <f t="shared" si="581"/>
        <v>0</v>
      </c>
      <c r="SN19" s="219">
        <f t="shared" si="149"/>
        <v>0</v>
      </c>
      <c r="SO19" s="229">
        <f t="shared" ref="SO19:SQ19" si="582">SO74+SO63+SO73+SO62+SO64+SO75+SO61+SO71+SO68+SO67+SO66</f>
        <v>0</v>
      </c>
      <c r="SP19" s="229">
        <f t="shared" si="582"/>
        <v>0</v>
      </c>
      <c r="SQ19" s="229">
        <f t="shared" si="582"/>
        <v>0</v>
      </c>
      <c r="SR19" s="219">
        <f t="shared" si="151"/>
        <v>0</v>
      </c>
      <c r="SS19" s="229">
        <f t="shared" ref="SS19:ST19" si="583">SS74+SS63+SS73+SS62+SS64+SS75+SS61+SS71+SS68+SS67+SS66</f>
        <v>0</v>
      </c>
      <c r="ST19" s="229">
        <f t="shared" si="583"/>
        <v>0</v>
      </c>
      <c r="SU19" s="219">
        <f t="shared" si="153"/>
        <v>0</v>
      </c>
      <c r="SV19" s="229">
        <f t="shared" ref="SV19:SW19" si="584">SV74+SV63+SV73+SV62+SV64+SV75+SV61+SV71+SV68+SV67+SV66</f>
        <v>0</v>
      </c>
      <c r="SW19" s="229">
        <f t="shared" si="584"/>
        <v>0</v>
      </c>
      <c r="SX19" s="219">
        <f t="shared" si="155"/>
        <v>0</v>
      </c>
      <c r="SY19" s="229">
        <f t="shared" ref="SY19:SZ19" si="585">SY74+SY63+SY73+SY62+SY64+SY75+SY61+SY71+SY68+SY67+SY66</f>
        <v>0</v>
      </c>
      <c r="SZ19" s="229">
        <f t="shared" si="585"/>
        <v>0</v>
      </c>
      <c r="TA19" s="219">
        <f t="shared" si="157"/>
        <v>0</v>
      </c>
      <c r="TB19" s="229">
        <f t="shared" ref="TB19:UC19" si="586">TB74+TB63+TB73+TB62+TB64+TB75+TB61+TB71+TB68+TB67+TB66</f>
        <v>0</v>
      </c>
      <c r="TC19" s="229">
        <f t="shared" si="586"/>
        <v>0</v>
      </c>
      <c r="TD19" s="229">
        <f t="shared" si="586"/>
        <v>0</v>
      </c>
      <c r="TE19" s="229">
        <f t="shared" si="586"/>
        <v>0</v>
      </c>
      <c r="TF19" s="229">
        <f t="shared" si="586"/>
        <v>0</v>
      </c>
      <c r="TG19" s="229">
        <f t="shared" si="586"/>
        <v>0</v>
      </c>
      <c r="TH19" s="229">
        <f t="shared" si="586"/>
        <v>0</v>
      </c>
      <c r="TI19" s="229">
        <f t="shared" si="586"/>
        <v>0</v>
      </c>
      <c r="TJ19" s="229">
        <f t="shared" si="586"/>
        <v>0</v>
      </c>
      <c r="TK19" s="229">
        <f t="shared" si="586"/>
        <v>0</v>
      </c>
      <c r="TL19" s="229">
        <f t="shared" si="586"/>
        <v>0</v>
      </c>
      <c r="TM19" s="229">
        <f t="shared" si="586"/>
        <v>0</v>
      </c>
      <c r="TN19" s="229">
        <f t="shared" si="586"/>
        <v>0</v>
      </c>
      <c r="TO19" s="229">
        <f t="shared" si="586"/>
        <v>0</v>
      </c>
      <c r="TP19" s="229">
        <f t="shared" si="586"/>
        <v>0</v>
      </c>
      <c r="TQ19" s="229">
        <f t="shared" si="586"/>
        <v>0</v>
      </c>
      <c r="TR19" s="229">
        <f t="shared" si="586"/>
        <v>0</v>
      </c>
      <c r="TS19" s="229">
        <f t="shared" si="586"/>
        <v>0</v>
      </c>
      <c r="TT19" s="229">
        <f t="shared" si="586"/>
        <v>0</v>
      </c>
      <c r="TU19" s="229">
        <f t="shared" si="586"/>
        <v>0</v>
      </c>
      <c r="TV19" s="229">
        <f t="shared" si="586"/>
        <v>0</v>
      </c>
      <c r="TW19" s="229">
        <f t="shared" si="586"/>
        <v>0</v>
      </c>
      <c r="TX19" s="229">
        <f t="shared" si="586"/>
        <v>0</v>
      </c>
      <c r="TY19" s="229">
        <f t="shared" si="586"/>
        <v>0</v>
      </c>
      <c r="TZ19" s="229">
        <f t="shared" si="586"/>
        <v>0</v>
      </c>
      <c r="UA19" s="229">
        <f t="shared" si="586"/>
        <v>0</v>
      </c>
      <c r="UB19" s="229">
        <f t="shared" si="586"/>
        <v>0</v>
      </c>
      <c r="UC19" s="229">
        <f t="shared" si="586"/>
        <v>0</v>
      </c>
    </row>
    <row r="20" spans="1:549" s="182" customFormat="1" hidden="1" x14ac:dyDescent="0.25">
      <c r="A20" s="231">
        <v>120301</v>
      </c>
      <c r="B20" s="232"/>
      <c r="C20" s="233" t="s">
        <v>242</v>
      </c>
      <c r="D20" s="36"/>
      <c r="E20" s="229">
        <f>SUM(E21:E26)</f>
        <v>0</v>
      </c>
      <c r="F20" s="229">
        <f t="shared" ref="F20:G20" si="587">SUM(F21:F26)</f>
        <v>0</v>
      </c>
      <c r="G20" s="229">
        <f t="shared" si="587"/>
        <v>0</v>
      </c>
      <c r="H20" s="219">
        <f t="shared" si="33"/>
        <v>0</v>
      </c>
      <c r="I20" s="229">
        <f>SUM(I21:I26)</f>
        <v>0</v>
      </c>
      <c r="J20" s="229">
        <f t="shared" ref="J20:BC20" si="588">SUM(J21:J26)</f>
        <v>0</v>
      </c>
      <c r="K20" s="229">
        <f t="shared" si="588"/>
        <v>0</v>
      </c>
      <c r="L20" s="219">
        <f t="shared" si="34"/>
        <v>0</v>
      </c>
      <c r="M20" s="229">
        <f t="shared" si="588"/>
        <v>0</v>
      </c>
      <c r="N20" s="229">
        <f t="shared" si="588"/>
        <v>0</v>
      </c>
      <c r="O20" s="219">
        <f t="shared" si="35"/>
        <v>0</v>
      </c>
      <c r="P20" s="229">
        <f t="shared" si="588"/>
        <v>0</v>
      </c>
      <c r="Q20" s="229">
        <f t="shared" si="588"/>
        <v>0</v>
      </c>
      <c r="R20" s="229">
        <f t="shared" si="588"/>
        <v>0</v>
      </c>
      <c r="S20" s="229">
        <f t="shared" si="588"/>
        <v>0</v>
      </c>
      <c r="T20" s="219">
        <f t="shared" si="36"/>
        <v>0</v>
      </c>
      <c r="U20" s="229">
        <f t="shared" si="588"/>
        <v>0</v>
      </c>
      <c r="V20" s="229">
        <f t="shared" si="588"/>
        <v>0</v>
      </c>
      <c r="W20" s="229">
        <f t="shared" si="588"/>
        <v>0</v>
      </c>
      <c r="X20" s="219">
        <f t="shared" si="37"/>
        <v>0</v>
      </c>
      <c r="Y20" s="229">
        <f t="shared" si="588"/>
        <v>0</v>
      </c>
      <c r="Z20" s="229">
        <f t="shared" si="588"/>
        <v>0</v>
      </c>
      <c r="AA20" s="219">
        <f t="shared" si="38"/>
        <v>0</v>
      </c>
      <c r="AB20" s="229">
        <f t="shared" si="588"/>
        <v>0</v>
      </c>
      <c r="AC20" s="229">
        <f t="shared" si="588"/>
        <v>0</v>
      </c>
      <c r="AD20" s="219">
        <f t="shared" si="39"/>
        <v>0</v>
      </c>
      <c r="AE20" s="229">
        <f t="shared" si="588"/>
        <v>0</v>
      </c>
      <c r="AF20" s="229">
        <f t="shared" si="588"/>
        <v>0</v>
      </c>
      <c r="AG20" s="229">
        <f t="shared" si="588"/>
        <v>0</v>
      </c>
      <c r="AH20" s="219">
        <f t="shared" si="40"/>
        <v>0</v>
      </c>
      <c r="AI20" s="229">
        <f t="shared" si="588"/>
        <v>0</v>
      </c>
      <c r="AJ20" s="229">
        <f t="shared" si="588"/>
        <v>0</v>
      </c>
      <c r="AK20" s="229">
        <f t="shared" si="588"/>
        <v>0</v>
      </c>
      <c r="AL20" s="219">
        <f t="shared" si="41"/>
        <v>0</v>
      </c>
      <c r="AM20" s="229">
        <f t="shared" si="588"/>
        <v>0</v>
      </c>
      <c r="AN20" s="229">
        <f t="shared" si="588"/>
        <v>0</v>
      </c>
      <c r="AO20" s="229">
        <f t="shared" si="588"/>
        <v>0</v>
      </c>
      <c r="AP20" s="219">
        <f t="shared" si="42"/>
        <v>0</v>
      </c>
      <c r="AQ20" s="229">
        <f t="shared" si="588"/>
        <v>0</v>
      </c>
      <c r="AR20" s="229">
        <f t="shared" si="588"/>
        <v>0</v>
      </c>
      <c r="AS20" s="229">
        <f t="shared" si="588"/>
        <v>0</v>
      </c>
      <c r="AT20" s="229">
        <f t="shared" si="588"/>
        <v>0</v>
      </c>
      <c r="AU20" s="219">
        <f t="shared" si="43"/>
        <v>0</v>
      </c>
      <c r="AV20" s="229">
        <f t="shared" si="588"/>
        <v>0</v>
      </c>
      <c r="AW20" s="229">
        <f t="shared" si="588"/>
        <v>0</v>
      </c>
      <c r="AX20" s="229">
        <f t="shared" si="588"/>
        <v>0</v>
      </c>
      <c r="AY20" s="229">
        <f t="shared" si="588"/>
        <v>0</v>
      </c>
      <c r="AZ20" s="229">
        <f t="shared" si="588"/>
        <v>0</v>
      </c>
      <c r="BA20" s="229">
        <f t="shared" si="588"/>
        <v>0</v>
      </c>
      <c r="BB20" s="229">
        <f t="shared" si="588"/>
        <v>0</v>
      </c>
      <c r="BC20" s="229">
        <f t="shared" si="588"/>
        <v>0</v>
      </c>
      <c r="BD20" s="219">
        <f t="shared" si="44"/>
        <v>0</v>
      </c>
      <c r="BE20" s="229">
        <f>SUM(BE21:BE26)</f>
        <v>0</v>
      </c>
      <c r="BF20" s="229">
        <f t="shared" ref="BF20:DQ20" si="589">SUM(BF21:BF26)</f>
        <v>0</v>
      </c>
      <c r="BG20" s="229">
        <f t="shared" si="589"/>
        <v>0</v>
      </c>
      <c r="BH20" s="229">
        <f t="shared" si="589"/>
        <v>0</v>
      </c>
      <c r="BI20" s="229">
        <f t="shared" si="589"/>
        <v>0</v>
      </c>
      <c r="BJ20" s="229">
        <f t="shared" si="589"/>
        <v>0</v>
      </c>
      <c r="BK20" s="229">
        <f t="shared" si="589"/>
        <v>0</v>
      </c>
      <c r="BL20" s="219">
        <f t="shared" si="45"/>
        <v>0</v>
      </c>
      <c r="BM20" s="229">
        <f t="shared" si="589"/>
        <v>0</v>
      </c>
      <c r="BN20" s="229">
        <f t="shared" si="589"/>
        <v>0</v>
      </c>
      <c r="BO20" s="229">
        <f t="shared" si="589"/>
        <v>0</v>
      </c>
      <c r="BP20" s="229">
        <f t="shared" si="589"/>
        <v>0</v>
      </c>
      <c r="BQ20" s="229">
        <f t="shared" si="589"/>
        <v>0</v>
      </c>
      <c r="BR20" s="229">
        <f t="shared" si="589"/>
        <v>0</v>
      </c>
      <c r="BS20" s="219">
        <f t="shared" si="47"/>
        <v>0</v>
      </c>
      <c r="BT20" s="229">
        <f t="shared" si="589"/>
        <v>0</v>
      </c>
      <c r="BU20" s="229">
        <f t="shared" si="589"/>
        <v>0</v>
      </c>
      <c r="BV20" s="229">
        <f t="shared" si="589"/>
        <v>0</v>
      </c>
      <c r="BW20" s="219">
        <f t="shared" si="48"/>
        <v>0</v>
      </c>
      <c r="BX20" s="229">
        <f t="shared" si="589"/>
        <v>0</v>
      </c>
      <c r="BY20" s="229">
        <f t="shared" si="589"/>
        <v>0</v>
      </c>
      <c r="BZ20" s="219">
        <f t="shared" si="49"/>
        <v>0</v>
      </c>
      <c r="CA20" s="229">
        <f t="shared" si="589"/>
        <v>0</v>
      </c>
      <c r="CB20" s="229">
        <f t="shared" si="589"/>
        <v>0</v>
      </c>
      <c r="CC20" s="219">
        <f t="shared" si="50"/>
        <v>0</v>
      </c>
      <c r="CD20" s="229">
        <f t="shared" si="589"/>
        <v>0</v>
      </c>
      <c r="CE20" s="229">
        <f t="shared" si="589"/>
        <v>0</v>
      </c>
      <c r="CF20" s="229">
        <f t="shared" si="589"/>
        <v>0</v>
      </c>
      <c r="CG20" s="229">
        <f t="shared" si="589"/>
        <v>0</v>
      </c>
      <c r="CH20" s="229">
        <f t="shared" si="589"/>
        <v>0</v>
      </c>
      <c r="CI20" s="229">
        <f t="shared" si="589"/>
        <v>0</v>
      </c>
      <c r="CJ20" s="229">
        <f t="shared" si="589"/>
        <v>0</v>
      </c>
      <c r="CK20" s="229">
        <f t="shared" si="589"/>
        <v>0</v>
      </c>
      <c r="CL20" s="219">
        <f t="shared" si="51"/>
        <v>0</v>
      </c>
      <c r="CM20" s="229">
        <f t="shared" si="589"/>
        <v>0</v>
      </c>
      <c r="CN20" s="229">
        <f t="shared" si="589"/>
        <v>0</v>
      </c>
      <c r="CO20" s="229">
        <f t="shared" si="589"/>
        <v>0</v>
      </c>
      <c r="CP20" s="229">
        <f t="shared" si="589"/>
        <v>0</v>
      </c>
      <c r="CQ20" s="219">
        <f t="shared" si="52"/>
        <v>0</v>
      </c>
      <c r="CR20" s="229">
        <f t="shared" si="589"/>
        <v>0</v>
      </c>
      <c r="CS20" s="229">
        <f t="shared" si="589"/>
        <v>0</v>
      </c>
      <c r="CT20" s="229">
        <f t="shared" si="589"/>
        <v>0</v>
      </c>
      <c r="CU20" s="229">
        <f t="shared" si="589"/>
        <v>0</v>
      </c>
      <c r="CV20" s="229">
        <f t="shared" si="589"/>
        <v>0</v>
      </c>
      <c r="CW20" s="229">
        <f t="shared" si="589"/>
        <v>0</v>
      </c>
      <c r="CX20" s="219">
        <f t="shared" si="53"/>
        <v>0</v>
      </c>
      <c r="CY20" s="229">
        <f t="shared" si="589"/>
        <v>0</v>
      </c>
      <c r="CZ20" s="229">
        <f t="shared" si="589"/>
        <v>0</v>
      </c>
      <c r="DA20" s="229">
        <f t="shared" si="589"/>
        <v>0</v>
      </c>
      <c r="DB20" s="219">
        <f t="shared" si="54"/>
        <v>0</v>
      </c>
      <c r="DC20" s="229">
        <f t="shared" si="589"/>
        <v>0</v>
      </c>
      <c r="DD20" s="229">
        <f t="shared" si="589"/>
        <v>0</v>
      </c>
      <c r="DE20" s="219">
        <f t="shared" si="55"/>
        <v>0</v>
      </c>
      <c r="DF20" s="229">
        <f t="shared" si="589"/>
        <v>0</v>
      </c>
      <c r="DG20" s="229">
        <f t="shared" si="589"/>
        <v>0</v>
      </c>
      <c r="DH20" s="219">
        <f t="shared" si="56"/>
        <v>0</v>
      </c>
      <c r="DI20" s="229">
        <f t="shared" si="589"/>
        <v>0</v>
      </c>
      <c r="DJ20" s="229">
        <f t="shared" si="589"/>
        <v>0</v>
      </c>
      <c r="DK20" s="219">
        <f t="shared" si="57"/>
        <v>0</v>
      </c>
      <c r="DL20" s="229">
        <f t="shared" si="589"/>
        <v>0</v>
      </c>
      <c r="DM20" s="229">
        <f t="shared" si="589"/>
        <v>0</v>
      </c>
      <c r="DN20" s="229">
        <f t="shared" si="589"/>
        <v>0</v>
      </c>
      <c r="DO20" s="229">
        <f t="shared" si="589"/>
        <v>0</v>
      </c>
      <c r="DP20" s="229">
        <f t="shared" si="589"/>
        <v>0</v>
      </c>
      <c r="DQ20" s="229">
        <f t="shared" si="589"/>
        <v>0</v>
      </c>
      <c r="DR20" s="229">
        <f t="shared" ref="DR20:EK20" si="590">SUM(DR21:DR26)</f>
        <v>0</v>
      </c>
      <c r="DS20" s="229">
        <f t="shared" si="590"/>
        <v>0</v>
      </c>
      <c r="DT20" s="229">
        <f t="shared" si="590"/>
        <v>0</v>
      </c>
      <c r="DU20" s="229">
        <f t="shared" si="590"/>
        <v>0</v>
      </c>
      <c r="DV20" s="229">
        <f t="shared" si="590"/>
        <v>0</v>
      </c>
      <c r="DW20" s="219">
        <f t="shared" si="58"/>
        <v>0</v>
      </c>
      <c r="DX20" s="229">
        <f t="shared" si="590"/>
        <v>0</v>
      </c>
      <c r="DY20" s="229">
        <f t="shared" si="590"/>
        <v>0</v>
      </c>
      <c r="DZ20" s="229">
        <f t="shared" si="590"/>
        <v>0</v>
      </c>
      <c r="EA20" s="219">
        <f t="shared" si="59"/>
        <v>0</v>
      </c>
      <c r="EB20" s="229">
        <f t="shared" si="590"/>
        <v>0</v>
      </c>
      <c r="EC20" s="229">
        <f t="shared" si="590"/>
        <v>0</v>
      </c>
      <c r="ED20" s="229">
        <f t="shared" si="590"/>
        <v>0</v>
      </c>
      <c r="EE20" s="229">
        <f t="shared" si="590"/>
        <v>0</v>
      </c>
      <c r="EF20" s="229">
        <f t="shared" si="590"/>
        <v>0</v>
      </c>
      <c r="EG20" s="229">
        <f t="shared" si="590"/>
        <v>0</v>
      </c>
      <c r="EH20" s="219">
        <f t="shared" si="61"/>
        <v>0</v>
      </c>
      <c r="EI20" s="229">
        <f t="shared" si="590"/>
        <v>0</v>
      </c>
      <c r="EJ20" s="229">
        <f t="shared" si="590"/>
        <v>0</v>
      </c>
      <c r="EK20" s="229">
        <f t="shared" si="590"/>
        <v>0</v>
      </c>
      <c r="EL20" s="219">
        <f t="shared" si="62"/>
        <v>0</v>
      </c>
      <c r="EM20" s="229">
        <f t="shared" ref="EM20:GF20" si="591">SUM(EM21:EM26)</f>
        <v>0</v>
      </c>
      <c r="EN20" s="229">
        <f t="shared" si="591"/>
        <v>0</v>
      </c>
      <c r="EO20" s="219">
        <f t="shared" si="63"/>
        <v>0</v>
      </c>
      <c r="EP20" s="229">
        <f t="shared" si="591"/>
        <v>0</v>
      </c>
      <c r="EQ20" s="229">
        <f t="shared" si="591"/>
        <v>0</v>
      </c>
      <c r="ER20" s="219">
        <f t="shared" si="64"/>
        <v>0</v>
      </c>
      <c r="ES20" s="229">
        <f t="shared" si="591"/>
        <v>0</v>
      </c>
      <c r="ET20" s="229">
        <f t="shared" si="591"/>
        <v>0</v>
      </c>
      <c r="EU20" s="219">
        <f t="shared" si="65"/>
        <v>0</v>
      </c>
      <c r="EV20" s="229">
        <f t="shared" si="591"/>
        <v>0</v>
      </c>
      <c r="EW20" s="229">
        <f t="shared" si="591"/>
        <v>0</v>
      </c>
      <c r="EX20" s="229">
        <f t="shared" si="591"/>
        <v>0</v>
      </c>
      <c r="EY20" s="229">
        <f t="shared" si="591"/>
        <v>0</v>
      </c>
      <c r="EZ20" s="229">
        <f t="shared" si="591"/>
        <v>0</v>
      </c>
      <c r="FA20" s="229">
        <f t="shared" si="591"/>
        <v>0</v>
      </c>
      <c r="FB20" s="229">
        <f t="shared" si="591"/>
        <v>0</v>
      </c>
      <c r="FC20" s="229">
        <f t="shared" si="591"/>
        <v>0</v>
      </c>
      <c r="FD20" s="229">
        <f t="shared" si="591"/>
        <v>0</v>
      </c>
      <c r="FE20" s="229">
        <f t="shared" si="591"/>
        <v>0</v>
      </c>
      <c r="FF20" s="229">
        <f t="shared" si="591"/>
        <v>0</v>
      </c>
      <c r="FG20" s="219">
        <f t="shared" si="66"/>
        <v>0</v>
      </c>
      <c r="FH20" s="229">
        <f t="shared" si="591"/>
        <v>0</v>
      </c>
      <c r="FI20" s="229">
        <f t="shared" si="591"/>
        <v>0</v>
      </c>
      <c r="FJ20" s="229">
        <f t="shared" si="591"/>
        <v>0</v>
      </c>
      <c r="FK20" s="219">
        <f t="shared" si="67"/>
        <v>0</v>
      </c>
      <c r="FL20" s="229">
        <f t="shared" si="591"/>
        <v>0</v>
      </c>
      <c r="FM20" s="229">
        <f t="shared" si="591"/>
        <v>0</v>
      </c>
      <c r="FN20" s="229">
        <f t="shared" si="591"/>
        <v>0</v>
      </c>
      <c r="FO20" s="229">
        <f t="shared" si="591"/>
        <v>0</v>
      </c>
      <c r="FP20" s="229">
        <f t="shared" si="591"/>
        <v>0</v>
      </c>
      <c r="FQ20" s="229">
        <f t="shared" si="591"/>
        <v>0</v>
      </c>
      <c r="FR20" s="219">
        <f t="shared" si="68"/>
        <v>0</v>
      </c>
      <c r="FS20" s="229">
        <f t="shared" si="591"/>
        <v>0</v>
      </c>
      <c r="FT20" s="229">
        <f t="shared" si="591"/>
        <v>0</v>
      </c>
      <c r="FU20" s="229">
        <f t="shared" si="591"/>
        <v>0</v>
      </c>
      <c r="FV20" s="219">
        <f t="shared" si="69"/>
        <v>0</v>
      </c>
      <c r="FW20" s="229">
        <f t="shared" si="591"/>
        <v>0</v>
      </c>
      <c r="FX20" s="229">
        <f t="shared" si="591"/>
        <v>0</v>
      </c>
      <c r="FY20" s="219">
        <f t="shared" si="70"/>
        <v>0</v>
      </c>
      <c r="FZ20" s="229">
        <f t="shared" si="591"/>
        <v>0</v>
      </c>
      <c r="GA20" s="229">
        <f t="shared" si="591"/>
        <v>0</v>
      </c>
      <c r="GB20" s="219">
        <f t="shared" si="71"/>
        <v>0</v>
      </c>
      <c r="GC20" s="229">
        <f t="shared" si="591"/>
        <v>0</v>
      </c>
      <c r="GD20" s="229">
        <f t="shared" si="591"/>
        <v>0</v>
      </c>
      <c r="GE20" s="219">
        <f t="shared" si="72"/>
        <v>0</v>
      </c>
      <c r="GF20" s="229">
        <f t="shared" si="591"/>
        <v>0</v>
      </c>
      <c r="GG20" s="229">
        <f>SUM(GG21:GG26)</f>
        <v>0</v>
      </c>
      <c r="GH20" s="229">
        <f>SUM(GH21:GH26)</f>
        <v>0</v>
      </c>
      <c r="GI20" s="229">
        <f>SUM(GI21:GI26)</f>
        <v>0</v>
      </c>
      <c r="GJ20" s="229">
        <f>SUM(GJ21:GJ26)</f>
        <v>0</v>
      </c>
      <c r="GK20" s="229">
        <f t="shared" ref="GK20:GQ20" si="592">SUM(GK21:GK26)</f>
        <v>0</v>
      </c>
      <c r="GL20" s="229">
        <f t="shared" si="592"/>
        <v>0</v>
      </c>
      <c r="GM20" s="229">
        <f t="shared" si="592"/>
        <v>0</v>
      </c>
      <c r="GN20" s="234">
        <f t="shared" si="73"/>
        <v>0</v>
      </c>
      <c r="GO20" s="229">
        <f t="shared" si="592"/>
        <v>0</v>
      </c>
      <c r="GP20" s="229">
        <f t="shared" si="592"/>
        <v>0</v>
      </c>
      <c r="GQ20" s="229">
        <f t="shared" si="592"/>
        <v>0</v>
      </c>
      <c r="GR20" s="219">
        <f t="shared" si="3"/>
        <v>0</v>
      </c>
      <c r="GS20" s="229">
        <f t="shared" ref="GS20:GV20" si="593">SUM(GS21:GS26)</f>
        <v>0</v>
      </c>
      <c r="GT20" s="229">
        <f t="shared" si="593"/>
        <v>0</v>
      </c>
      <c r="GU20" s="229">
        <f t="shared" si="593"/>
        <v>0</v>
      </c>
      <c r="GV20" s="229">
        <f t="shared" si="593"/>
        <v>0</v>
      </c>
      <c r="GW20" s="219">
        <f t="shared" si="75"/>
        <v>0</v>
      </c>
      <c r="GX20" s="229">
        <f t="shared" ref="GX20:HA20" si="594">SUM(GX21:GX26)</f>
        <v>0</v>
      </c>
      <c r="GY20" s="229">
        <f t="shared" si="594"/>
        <v>0</v>
      </c>
      <c r="GZ20" s="229">
        <f t="shared" si="594"/>
        <v>0</v>
      </c>
      <c r="HA20" s="229">
        <f t="shared" si="594"/>
        <v>0</v>
      </c>
      <c r="HB20" s="219">
        <f t="shared" si="76"/>
        <v>0</v>
      </c>
      <c r="HC20" s="229">
        <f t="shared" ref="HC20:HF20" si="595">SUM(HC21:HC26)</f>
        <v>0</v>
      </c>
      <c r="HD20" s="229">
        <f t="shared" si="595"/>
        <v>0</v>
      </c>
      <c r="HE20" s="229">
        <f t="shared" si="595"/>
        <v>0</v>
      </c>
      <c r="HF20" s="229">
        <f t="shared" si="595"/>
        <v>0</v>
      </c>
      <c r="HG20" s="219">
        <f t="shared" si="77"/>
        <v>0</v>
      </c>
      <c r="HH20" s="229">
        <f t="shared" ref="HH20:HK20" si="596">SUM(HH21:HH26)</f>
        <v>0</v>
      </c>
      <c r="HI20" s="229">
        <f t="shared" si="596"/>
        <v>0</v>
      </c>
      <c r="HJ20" s="229">
        <f t="shared" si="596"/>
        <v>0</v>
      </c>
      <c r="HK20" s="229">
        <f t="shared" si="596"/>
        <v>0</v>
      </c>
      <c r="HL20" s="219">
        <f t="shared" si="78"/>
        <v>0</v>
      </c>
      <c r="HM20" s="229">
        <f t="shared" ref="HM20:ID20" si="597">SUM(HM21:HM26)</f>
        <v>0</v>
      </c>
      <c r="HN20" s="229">
        <f t="shared" si="597"/>
        <v>0</v>
      </c>
      <c r="HO20" s="229">
        <f t="shared" si="597"/>
        <v>0</v>
      </c>
      <c r="HP20" s="229">
        <f t="shared" si="597"/>
        <v>0</v>
      </c>
      <c r="HQ20" s="219">
        <f t="shared" si="79"/>
        <v>0</v>
      </c>
      <c r="HR20" s="229">
        <f t="shared" si="597"/>
        <v>0</v>
      </c>
      <c r="HS20" s="229">
        <f t="shared" si="597"/>
        <v>0</v>
      </c>
      <c r="HT20" s="229">
        <f t="shared" si="597"/>
        <v>0</v>
      </c>
      <c r="HU20" s="229">
        <f t="shared" si="597"/>
        <v>0</v>
      </c>
      <c r="HV20" s="229">
        <f t="shared" si="80"/>
        <v>0</v>
      </c>
      <c r="HW20" s="229">
        <f t="shared" si="597"/>
        <v>0</v>
      </c>
      <c r="HX20" s="229">
        <f t="shared" si="597"/>
        <v>0</v>
      </c>
      <c r="HY20" s="229">
        <f t="shared" si="597"/>
        <v>0</v>
      </c>
      <c r="HZ20" s="219">
        <f t="shared" si="81"/>
        <v>0</v>
      </c>
      <c r="IA20" s="229">
        <f t="shared" si="597"/>
        <v>0</v>
      </c>
      <c r="IB20" s="229">
        <f t="shared" si="597"/>
        <v>0</v>
      </c>
      <c r="IC20" s="229">
        <f t="shared" si="597"/>
        <v>0</v>
      </c>
      <c r="ID20" s="229">
        <f t="shared" si="597"/>
        <v>0</v>
      </c>
      <c r="IE20" s="219">
        <f t="shared" si="82"/>
        <v>0</v>
      </c>
      <c r="IF20" s="229">
        <f t="shared" ref="IF20:II20" si="598">SUM(IF21:IF26)</f>
        <v>0</v>
      </c>
      <c r="IG20" s="229">
        <f t="shared" si="598"/>
        <v>0</v>
      </c>
      <c r="IH20" s="229">
        <f t="shared" si="598"/>
        <v>0</v>
      </c>
      <c r="II20" s="229">
        <f t="shared" si="598"/>
        <v>0</v>
      </c>
      <c r="IJ20" s="219">
        <f t="shared" si="83"/>
        <v>0</v>
      </c>
      <c r="IK20" s="229">
        <f t="shared" ref="IK20:IN20" si="599">SUM(IK21:IK26)</f>
        <v>0</v>
      </c>
      <c r="IL20" s="229">
        <f t="shared" si="599"/>
        <v>0</v>
      </c>
      <c r="IM20" s="229">
        <f t="shared" si="599"/>
        <v>0</v>
      </c>
      <c r="IN20" s="229">
        <f t="shared" si="599"/>
        <v>0</v>
      </c>
      <c r="IO20" s="219">
        <f t="shared" si="84"/>
        <v>0</v>
      </c>
      <c r="IP20" s="229">
        <f t="shared" ref="IP20:LA20" si="600">SUM(IP21:IP26)</f>
        <v>0</v>
      </c>
      <c r="IQ20" s="229">
        <f t="shared" si="600"/>
        <v>0</v>
      </c>
      <c r="IR20" s="229">
        <f t="shared" si="600"/>
        <v>0</v>
      </c>
      <c r="IS20" s="229">
        <f t="shared" si="600"/>
        <v>0</v>
      </c>
      <c r="IT20" s="219">
        <f t="shared" si="85"/>
        <v>0</v>
      </c>
      <c r="IU20" s="229">
        <f t="shared" si="600"/>
        <v>0</v>
      </c>
      <c r="IV20" s="229">
        <f t="shared" si="600"/>
        <v>0</v>
      </c>
      <c r="IW20" s="229">
        <f t="shared" si="600"/>
        <v>0</v>
      </c>
      <c r="IX20" s="219">
        <f t="shared" si="86"/>
        <v>0</v>
      </c>
      <c r="IY20" s="229">
        <f t="shared" si="600"/>
        <v>0</v>
      </c>
      <c r="IZ20" s="229">
        <f t="shared" si="600"/>
        <v>0</v>
      </c>
      <c r="JA20" s="229">
        <f t="shared" si="600"/>
        <v>0</v>
      </c>
      <c r="JB20" s="219">
        <f t="shared" si="87"/>
        <v>0</v>
      </c>
      <c r="JC20" s="229">
        <f t="shared" si="600"/>
        <v>0</v>
      </c>
      <c r="JD20" s="229">
        <f t="shared" si="600"/>
        <v>0</v>
      </c>
      <c r="JE20" s="229">
        <f t="shared" si="600"/>
        <v>0</v>
      </c>
      <c r="JF20" s="219">
        <f t="shared" si="88"/>
        <v>0</v>
      </c>
      <c r="JG20" s="229">
        <f t="shared" si="600"/>
        <v>0</v>
      </c>
      <c r="JH20" s="229">
        <f t="shared" si="600"/>
        <v>0</v>
      </c>
      <c r="JI20" s="229">
        <f t="shared" si="600"/>
        <v>0</v>
      </c>
      <c r="JJ20" s="229">
        <f t="shared" si="600"/>
        <v>0</v>
      </c>
      <c r="JK20" s="229">
        <f t="shared" si="600"/>
        <v>0</v>
      </c>
      <c r="JL20" s="229">
        <f t="shared" si="600"/>
        <v>0</v>
      </c>
      <c r="JM20" s="229">
        <f t="shared" si="600"/>
        <v>0</v>
      </c>
      <c r="JN20" s="229">
        <f t="shared" si="600"/>
        <v>0</v>
      </c>
      <c r="JO20" s="229">
        <f t="shared" si="600"/>
        <v>0</v>
      </c>
      <c r="JP20" s="229">
        <f t="shared" si="600"/>
        <v>0</v>
      </c>
      <c r="JQ20" s="229">
        <f t="shared" si="600"/>
        <v>0</v>
      </c>
      <c r="JR20" s="229">
        <f t="shared" si="600"/>
        <v>0</v>
      </c>
      <c r="JS20" s="229">
        <f t="shared" si="600"/>
        <v>0</v>
      </c>
      <c r="JT20" s="229">
        <f t="shared" si="600"/>
        <v>0</v>
      </c>
      <c r="JU20" s="229">
        <f t="shared" si="600"/>
        <v>0</v>
      </c>
      <c r="JV20" s="229">
        <f t="shared" si="600"/>
        <v>0</v>
      </c>
      <c r="JW20" s="229">
        <f t="shared" si="600"/>
        <v>0</v>
      </c>
      <c r="JX20" s="229">
        <f t="shared" si="600"/>
        <v>0</v>
      </c>
      <c r="JY20" s="229">
        <f t="shared" si="600"/>
        <v>0</v>
      </c>
      <c r="JZ20" s="229">
        <f t="shared" si="600"/>
        <v>0</v>
      </c>
      <c r="KA20" s="229">
        <f t="shared" si="600"/>
        <v>0</v>
      </c>
      <c r="KB20" s="229">
        <f t="shared" si="600"/>
        <v>0</v>
      </c>
      <c r="KC20" s="229">
        <f t="shared" si="600"/>
        <v>0</v>
      </c>
      <c r="KD20" s="229">
        <f t="shared" si="600"/>
        <v>0</v>
      </c>
      <c r="KE20" s="229">
        <f t="shared" si="600"/>
        <v>0</v>
      </c>
      <c r="KF20" s="229">
        <f t="shared" si="600"/>
        <v>0</v>
      </c>
      <c r="KG20" s="229">
        <f t="shared" si="600"/>
        <v>0</v>
      </c>
      <c r="KH20" s="229">
        <f t="shared" si="600"/>
        <v>0</v>
      </c>
      <c r="KI20" s="229">
        <f t="shared" si="600"/>
        <v>0</v>
      </c>
      <c r="KJ20" s="229">
        <f t="shared" si="600"/>
        <v>0</v>
      </c>
      <c r="KK20" s="229">
        <f t="shared" si="600"/>
        <v>0</v>
      </c>
      <c r="KL20" s="229">
        <f t="shared" si="600"/>
        <v>0</v>
      </c>
      <c r="KM20" s="229">
        <f t="shared" si="600"/>
        <v>0</v>
      </c>
      <c r="KN20" s="229">
        <f t="shared" si="600"/>
        <v>0</v>
      </c>
      <c r="KO20" s="229">
        <f t="shared" si="600"/>
        <v>0</v>
      </c>
      <c r="KP20" s="229">
        <f t="shared" si="600"/>
        <v>0</v>
      </c>
      <c r="KQ20" s="229">
        <f t="shared" si="600"/>
        <v>0</v>
      </c>
      <c r="KR20" s="229">
        <f t="shared" si="600"/>
        <v>0</v>
      </c>
      <c r="KS20" s="229">
        <f t="shared" si="600"/>
        <v>0</v>
      </c>
      <c r="KT20" s="229">
        <f t="shared" si="600"/>
        <v>0</v>
      </c>
      <c r="KU20" s="229">
        <f t="shared" si="600"/>
        <v>0</v>
      </c>
      <c r="KV20" s="229">
        <f t="shared" si="600"/>
        <v>0</v>
      </c>
      <c r="KW20" s="229">
        <f t="shared" si="600"/>
        <v>0</v>
      </c>
      <c r="KX20" s="229">
        <f t="shared" si="600"/>
        <v>0</v>
      </c>
      <c r="KY20" s="229">
        <f t="shared" si="600"/>
        <v>0</v>
      </c>
      <c r="KZ20" s="219">
        <f t="shared" si="90"/>
        <v>0</v>
      </c>
      <c r="LA20" s="229">
        <f t="shared" si="600"/>
        <v>0</v>
      </c>
      <c r="LB20" s="229">
        <f t="shared" ref="LB20:LC20" si="601">SUM(LB21:LB26)</f>
        <v>0</v>
      </c>
      <c r="LC20" s="229">
        <f t="shared" si="601"/>
        <v>0</v>
      </c>
      <c r="LD20" s="219">
        <f t="shared" si="91"/>
        <v>0</v>
      </c>
      <c r="LE20" s="229">
        <f t="shared" ref="LE20:LG20" si="602">SUM(LE21:LE26)</f>
        <v>0</v>
      </c>
      <c r="LF20" s="229">
        <f t="shared" si="602"/>
        <v>0</v>
      </c>
      <c r="LG20" s="229">
        <f t="shared" si="602"/>
        <v>0</v>
      </c>
      <c r="LH20" s="219">
        <f t="shared" si="92"/>
        <v>0</v>
      </c>
      <c r="LI20" s="229">
        <f t="shared" ref="LI20:LK20" si="603">SUM(LI21:LI26)</f>
        <v>0</v>
      </c>
      <c r="LJ20" s="229">
        <f t="shared" si="603"/>
        <v>0</v>
      </c>
      <c r="LK20" s="229">
        <f t="shared" si="603"/>
        <v>0</v>
      </c>
      <c r="LL20" s="219">
        <f t="shared" si="93"/>
        <v>0</v>
      </c>
      <c r="LM20" s="229">
        <f t="shared" ref="LM20:LO20" si="604">SUM(LM21:LM26)</f>
        <v>0</v>
      </c>
      <c r="LN20" s="229">
        <f t="shared" si="604"/>
        <v>0</v>
      </c>
      <c r="LO20" s="229">
        <f t="shared" si="604"/>
        <v>0</v>
      </c>
      <c r="LP20" s="219">
        <f t="shared" si="94"/>
        <v>0</v>
      </c>
      <c r="LQ20" s="229">
        <f t="shared" ref="LQ20:LS20" si="605">SUM(LQ21:LQ26)</f>
        <v>0</v>
      </c>
      <c r="LR20" s="229">
        <f t="shared" si="605"/>
        <v>0</v>
      </c>
      <c r="LS20" s="229">
        <f t="shared" si="605"/>
        <v>0</v>
      </c>
      <c r="LT20" s="219">
        <f t="shared" si="95"/>
        <v>0</v>
      </c>
      <c r="LU20" s="229">
        <f t="shared" ref="LU20:LW20" si="606">SUM(LU21:LU26)</f>
        <v>0</v>
      </c>
      <c r="LV20" s="229">
        <f t="shared" si="606"/>
        <v>0</v>
      </c>
      <c r="LW20" s="229">
        <f t="shared" si="606"/>
        <v>0</v>
      </c>
      <c r="LX20" s="219">
        <f t="shared" si="96"/>
        <v>0</v>
      </c>
      <c r="LY20" s="229">
        <f t="shared" ref="LY20:MZ20" si="607">SUM(LY21:LY26)</f>
        <v>0</v>
      </c>
      <c r="LZ20" s="229">
        <f t="shared" si="607"/>
        <v>0</v>
      </c>
      <c r="MA20" s="229">
        <f t="shared" si="607"/>
        <v>0</v>
      </c>
      <c r="MB20" s="219">
        <f t="shared" si="97"/>
        <v>0</v>
      </c>
      <c r="MC20" s="229">
        <f t="shared" si="607"/>
        <v>0</v>
      </c>
      <c r="MD20" s="219">
        <f t="shared" si="98"/>
        <v>0</v>
      </c>
      <c r="ME20" s="229">
        <f t="shared" si="607"/>
        <v>0</v>
      </c>
      <c r="MF20" s="219">
        <f t="shared" si="100"/>
        <v>0</v>
      </c>
      <c r="MG20" s="229">
        <f t="shared" si="607"/>
        <v>0</v>
      </c>
      <c r="MH20" s="219">
        <f t="shared" si="101"/>
        <v>0</v>
      </c>
      <c r="MI20" s="229">
        <f t="shared" si="607"/>
        <v>0</v>
      </c>
      <c r="MJ20" s="219">
        <f t="shared" si="102"/>
        <v>0</v>
      </c>
      <c r="MK20" s="229">
        <f t="shared" si="607"/>
        <v>0</v>
      </c>
      <c r="ML20" s="219">
        <f t="shared" si="103"/>
        <v>0</v>
      </c>
      <c r="MM20" s="229">
        <f t="shared" si="607"/>
        <v>0</v>
      </c>
      <c r="MN20" s="229">
        <f t="shared" si="607"/>
        <v>0</v>
      </c>
      <c r="MO20" s="229">
        <f t="shared" si="607"/>
        <v>0</v>
      </c>
      <c r="MP20" s="229">
        <f t="shared" si="607"/>
        <v>0</v>
      </c>
      <c r="MQ20" s="229">
        <f t="shared" si="607"/>
        <v>0</v>
      </c>
      <c r="MR20" s="229">
        <f t="shared" si="607"/>
        <v>0</v>
      </c>
      <c r="MS20" s="229">
        <f t="shared" si="607"/>
        <v>0</v>
      </c>
      <c r="MT20" s="229">
        <f t="shared" si="607"/>
        <v>0</v>
      </c>
      <c r="MU20" s="229">
        <f t="shared" si="607"/>
        <v>0</v>
      </c>
      <c r="MV20" s="229">
        <f t="shared" si="607"/>
        <v>0</v>
      </c>
      <c r="MW20" s="219">
        <f t="shared" si="104"/>
        <v>0</v>
      </c>
      <c r="MX20" s="229">
        <f t="shared" si="607"/>
        <v>0</v>
      </c>
      <c r="MY20" s="229">
        <f t="shared" si="607"/>
        <v>0</v>
      </c>
      <c r="MZ20" s="229">
        <f t="shared" si="607"/>
        <v>0</v>
      </c>
      <c r="NA20" s="219">
        <f t="shared" si="105"/>
        <v>0</v>
      </c>
      <c r="NB20" s="229">
        <f t="shared" ref="NB20:ND20" si="608">SUM(NB21:NB26)</f>
        <v>0</v>
      </c>
      <c r="NC20" s="229">
        <f t="shared" si="608"/>
        <v>0</v>
      </c>
      <c r="ND20" s="229">
        <f t="shared" si="608"/>
        <v>0</v>
      </c>
      <c r="NE20" s="219">
        <f t="shared" si="106"/>
        <v>0</v>
      </c>
      <c r="NF20" s="229">
        <f t="shared" ref="NF20:NH20" si="609">SUM(NF21:NF26)</f>
        <v>0</v>
      </c>
      <c r="NG20" s="229">
        <f t="shared" si="609"/>
        <v>0</v>
      </c>
      <c r="NH20" s="229">
        <f t="shared" si="609"/>
        <v>0</v>
      </c>
      <c r="NI20" s="219">
        <f t="shared" si="107"/>
        <v>0</v>
      </c>
      <c r="NJ20" s="229">
        <f t="shared" ref="NJ20:NL20" si="610">SUM(NJ21:NJ26)</f>
        <v>0</v>
      </c>
      <c r="NK20" s="229">
        <f t="shared" si="610"/>
        <v>0</v>
      </c>
      <c r="NL20" s="229">
        <f t="shared" si="610"/>
        <v>0</v>
      </c>
      <c r="NM20" s="219">
        <f t="shared" si="108"/>
        <v>0</v>
      </c>
      <c r="NN20" s="229">
        <f t="shared" ref="NN20:NP20" si="611">SUM(NN21:NN26)</f>
        <v>0</v>
      </c>
      <c r="NO20" s="229">
        <f t="shared" si="611"/>
        <v>0</v>
      </c>
      <c r="NP20" s="229">
        <f t="shared" si="611"/>
        <v>0</v>
      </c>
      <c r="NQ20" s="219">
        <f t="shared" si="109"/>
        <v>0</v>
      </c>
      <c r="NR20" s="229">
        <f t="shared" ref="NR20:PA20" si="612">SUM(NR21:NR26)</f>
        <v>0</v>
      </c>
      <c r="NS20" s="229">
        <f t="shared" si="612"/>
        <v>0</v>
      </c>
      <c r="NT20" s="229">
        <f t="shared" si="612"/>
        <v>0</v>
      </c>
      <c r="NU20" s="219">
        <f t="shared" si="110"/>
        <v>0</v>
      </c>
      <c r="NV20" s="229">
        <f t="shared" si="612"/>
        <v>0</v>
      </c>
      <c r="NW20" s="229">
        <f t="shared" si="612"/>
        <v>0</v>
      </c>
      <c r="NX20" s="229">
        <f t="shared" si="612"/>
        <v>0</v>
      </c>
      <c r="NY20" s="219">
        <f t="shared" si="112"/>
        <v>0</v>
      </c>
      <c r="NZ20" s="229">
        <f t="shared" si="612"/>
        <v>0</v>
      </c>
      <c r="OA20" s="229">
        <f t="shared" si="612"/>
        <v>0</v>
      </c>
      <c r="OB20" s="229">
        <f t="shared" si="612"/>
        <v>0</v>
      </c>
      <c r="OC20" s="219">
        <f t="shared" si="114"/>
        <v>0</v>
      </c>
      <c r="OD20" s="229">
        <f t="shared" si="612"/>
        <v>0</v>
      </c>
      <c r="OE20" s="229">
        <f t="shared" si="612"/>
        <v>0</v>
      </c>
      <c r="OF20" s="229">
        <f t="shared" si="612"/>
        <v>0</v>
      </c>
      <c r="OG20" s="229">
        <f t="shared" si="612"/>
        <v>0</v>
      </c>
      <c r="OH20" s="229">
        <f t="shared" si="612"/>
        <v>0</v>
      </c>
      <c r="OI20" s="229">
        <f t="shared" si="612"/>
        <v>0</v>
      </c>
      <c r="OJ20" s="229">
        <f t="shared" si="612"/>
        <v>0</v>
      </c>
      <c r="OK20" s="229">
        <f t="shared" si="612"/>
        <v>0</v>
      </c>
      <c r="OL20" s="229">
        <f t="shared" si="612"/>
        <v>0</v>
      </c>
      <c r="OM20" s="229">
        <f t="shared" si="612"/>
        <v>0</v>
      </c>
      <c r="ON20" s="229">
        <f t="shared" si="612"/>
        <v>0</v>
      </c>
      <c r="OO20" s="229">
        <f t="shared" si="612"/>
        <v>0</v>
      </c>
      <c r="OP20" s="229">
        <f t="shared" si="612"/>
        <v>0</v>
      </c>
      <c r="OQ20" s="229">
        <f t="shared" si="612"/>
        <v>0</v>
      </c>
      <c r="OR20" s="219">
        <f t="shared" si="116"/>
        <v>0</v>
      </c>
      <c r="OS20" s="229">
        <f t="shared" si="612"/>
        <v>0</v>
      </c>
      <c r="OT20" s="229">
        <f t="shared" si="612"/>
        <v>0</v>
      </c>
      <c r="OU20" s="229">
        <f t="shared" si="612"/>
        <v>0</v>
      </c>
      <c r="OV20" s="229">
        <f t="shared" si="612"/>
        <v>0</v>
      </c>
      <c r="OW20" s="229">
        <f t="shared" si="612"/>
        <v>0</v>
      </c>
      <c r="OX20" s="229">
        <f t="shared" si="11"/>
        <v>0</v>
      </c>
      <c r="OY20" s="229">
        <f t="shared" si="612"/>
        <v>0</v>
      </c>
      <c r="OZ20" s="229">
        <f t="shared" si="612"/>
        <v>0</v>
      </c>
      <c r="PA20" s="229">
        <f t="shared" si="612"/>
        <v>0</v>
      </c>
      <c r="PB20" s="229">
        <f>SUM(OY20:PA20)</f>
        <v>0</v>
      </c>
      <c r="PC20" s="229">
        <f t="shared" ref="PC20:PE20" si="613">SUM(PC21:PC26)</f>
        <v>0</v>
      </c>
      <c r="PD20" s="229">
        <f t="shared" si="613"/>
        <v>0</v>
      </c>
      <c r="PE20" s="229">
        <f t="shared" si="613"/>
        <v>0</v>
      </c>
      <c r="PF20" s="229">
        <f>SUM(PC20:PE20)</f>
        <v>0</v>
      </c>
      <c r="PG20" s="229">
        <f t="shared" ref="PG20:PI20" si="614">SUM(PG21:PG26)</f>
        <v>0</v>
      </c>
      <c r="PH20" s="229">
        <f t="shared" si="614"/>
        <v>0</v>
      </c>
      <c r="PI20" s="229">
        <f t="shared" si="614"/>
        <v>0</v>
      </c>
      <c r="PJ20" s="229">
        <f>SUM(PG20:PI20)</f>
        <v>0</v>
      </c>
      <c r="PK20" s="229">
        <f t="shared" ref="PK20:PM20" si="615">SUM(PK21:PK26)</f>
        <v>0</v>
      </c>
      <c r="PL20" s="229">
        <f t="shared" si="615"/>
        <v>0</v>
      </c>
      <c r="PM20" s="229">
        <f t="shared" si="615"/>
        <v>0</v>
      </c>
      <c r="PN20" s="229">
        <f>SUM(PK20:PM20)</f>
        <v>0</v>
      </c>
      <c r="PO20" s="229">
        <f t="shared" ref="PO20:PQ20" si="616">SUM(PO21:PO26)</f>
        <v>0</v>
      </c>
      <c r="PP20" s="229">
        <f t="shared" si="616"/>
        <v>0</v>
      </c>
      <c r="PQ20" s="229">
        <f t="shared" si="616"/>
        <v>0</v>
      </c>
      <c r="PR20" s="229">
        <f>SUM(PO20:PQ20)</f>
        <v>0</v>
      </c>
      <c r="PS20" s="229">
        <f t="shared" ref="PS20:PU20" si="617">SUM(PS21:PS26)</f>
        <v>0</v>
      </c>
      <c r="PT20" s="229">
        <f t="shared" si="617"/>
        <v>0</v>
      </c>
      <c r="PU20" s="229">
        <f t="shared" si="617"/>
        <v>0</v>
      </c>
      <c r="PV20" s="229">
        <f>SUM(PS20:PU20)</f>
        <v>0</v>
      </c>
      <c r="PW20" s="229">
        <f t="shared" ref="PW20:PY20" si="618">SUM(PW21:PW26)</f>
        <v>0</v>
      </c>
      <c r="PX20" s="229">
        <f t="shared" si="618"/>
        <v>0</v>
      </c>
      <c r="PY20" s="229">
        <f t="shared" si="618"/>
        <v>0</v>
      </c>
      <c r="PZ20" s="229">
        <f>SUM(PW20:PY20)</f>
        <v>0</v>
      </c>
      <c r="QA20" s="229">
        <f t="shared" ref="QA20:QK20" si="619">SUM(QA21:QA26)</f>
        <v>0</v>
      </c>
      <c r="QB20" s="229">
        <f t="shared" si="619"/>
        <v>0</v>
      </c>
      <c r="QC20" s="229">
        <f t="shared" si="619"/>
        <v>0</v>
      </c>
      <c r="QD20" s="219">
        <f t="shared" si="132"/>
        <v>0</v>
      </c>
      <c r="QE20" s="229">
        <f t="shared" si="619"/>
        <v>0</v>
      </c>
      <c r="QF20" s="229">
        <f t="shared" si="619"/>
        <v>0</v>
      </c>
      <c r="QG20" s="229">
        <f t="shared" si="619"/>
        <v>0</v>
      </c>
      <c r="QH20" s="229">
        <f t="shared" si="619"/>
        <v>0</v>
      </c>
      <c r="QI20" s="229">
        <f t="shared" si="619"/>
        <v>0</v>
      </c>
      <c r="QJ20" s="229">
        <f t="shared" si="619"/>
        <v>0</v>
      </c>
      <c r="QK20" s="229">
        <f t="shared" si="619"/>
        <v>0</v>
      </c>
      <c r="QL20" s="219">
        <f t="shared" si="133"/>
        <v>0</v>
      </c>
      <c r="QM20" s="229">
        <f t="shared" ref="QM20:QR20" si="620">SUM(QM21:QM26)</f>
        <v>0</v>
      </c>
      <c r="QN20" s="229">
        <f t="shared" si="620"/>
        <v>0</v>
      </c>
      <c r="QO20" s="229">
        <f t="shared" si="620"/>
        <v>0</v>
      </c>
      <c r="QP20" s="229">
        <f t="shared" si="620"/>
        <v>0</v>
      </c>
      <c r="QQ20" s="229">
        <f t="shared" si="620"/>
        <v>0</v>
      </c>
      <c r="QR20" s="229">
        <f t="shared" si="620"/>
        <v>0</v>
      </c>
      <c r="QS20" s="219">
        <f t="shared" si="135"/>
        <v>0</v>
      </c>
      <c r="QT20" s="229">
        <f t="shared" ref="QT20:QY20" si="621">SUM(QT21:QT26)</f>
        <v>0</v>
      </c>
      <c r="QU20" s="229">
        <f t="shared" si="621"/>
        <v>0</v>
      </c>
      <c r="QV20" s="229">
        <f t="shared" si="621"/>
        <v>0</v>
      </c>
      <c r="QW20" s="229">
        <f t="shared" si="621"/>
        <v>0</v>
      </c>
      <c r="QX20" s="229">
        <f t="shared" si="621"/>
        <v>0</v>
      </c>
      <c r="QY20" s="229">
        <f t="shared" si="621"/>
        <v>0</v>
      </c>
      <c r="QZ20" s="219">
        <f t="shared" si="137"/>
        <v>0</v>
      </c>
      <c r="RA20" s="229">
        <f t="shared" ref="RA20:RF20" si="622">SUM(RA21:RA26)</f>
        <v>0</v>
      </c>
      <c r="RB20" s="229">
        <f t="shared" si="622"/>
        <v>0</v>
      </c>
      <c r="RC20" s="229">
        <f t="shared" si="622"/>
        <v>0</v>
      </c>
      <c r="RD20" s="229">
        <f t="shared" si="622"/>
        <v>0</v>
      </c>
      <c r="RE20" s="229">
        <f t="shared" si="622"/>
        <v>0</v>
      </c>
      <c r="RF20" s="229">
        <f t="shared" si="622"/>
        <v>0</v>
      </c>
      <c r="RG20" s="219">
        <f t="shared" si="139"/>
        <v>0</v>
      </c>
      <c r="RH20" s="229">
        <f t="shared" ref="RH20:RM20" si="623">SUM(RH21:RH26)</f>
        <v>0</v>
      </c>
      <c r="RI20" s="229">
        <f t="shared" si="623"/>
        <v>0</v>
      </c>
      <c r="RJ20" s="229">
        <f t="shared" si="623"/>
        <v>0</v>
      </c>
      <c r="RK20" s="229">
        <f t="shared" si="623"/>
        <v>0</v>
      </c>
      <c r="RL20" s="229">
        <f t="shared" si="623"/>
        <v>0</v>
      </c>
      <c r="RM20" s="229">
        <f t="shared" si="623"/>
        <v>0</v>
      </c>
      <c r="RN20" s="219">
        <f t="shared" si="141"/>
        <v>0</v>
      </c>
      <c r="RO20" s="229">
        <f t="shared" ref="RO20:SB20" si="624">SUM(RO21:RO26)</f>
        <v>0</v>
      </c>
      <c r="RP20" s="229">
        <f t="shared" si="624"/>
        <v>0</v>
      </c>
      <c r="RQ20" s="229">
        <f t="shared" si="624"/>
        <v>0</v>
      </c>
      <c r="RR20" s="229">
        <f t="shared" si="624"/>
        <v>0</v>
      </c>
      <c r="RS20" s="229">
        <f t="shared" si="624"/>
        <v>0</v>
      </c>
      <c r="RT20" s="229">
        <f t="shared" si="624"/>
        <v>0</v>
      </c>
      <c r="RU20" s="219">
        <f t="shared" si="143"/>
        <v>0</v>
      </c>
      <c r="RV20" s="229">
        <f t="shared" si="624"/>
        <v>0</v>
      </c>
      <c r="RW20" s="229">
        <f t="shared" si="624"/>
        <v>0</v>
      </c>
      <c r="RX20" s="229">
        <f t="shared" si="624"/>
        <v>0</v>
      </c>
      <c r="RY20" s="229">
        <f t="shared" si="624"/>
        <v>0</v>
      </c>
      <c r="RZ20" s="229">
        <f t="shared" si="624"/>
        <v>0</v>
      </c>
      <c r="SA20" s="229">
        <f t="shared" si="624"/>
        <v>0</v>
      </c>
      <c r="SB20" s="229">
        <f t="shared" si="624"/>
        <v>0</v>
      </c>
      <c r="SC20" s="219">
        <f t="shared" si="145"/>
        <v>0</v>
      </c>
      <c r="SD20" s="229">
        <f t="shared" ref="SD20:SF20" si="625">SUM(SD21:SD26)</f>
        <v>0</v>
      </c>
      <c r="SE20" s="229">
        <f t="shared" si="625"/>
        <v>0</v>
      </c>
      <c r="SF20" s="229">
        <f t="shared" si="625"/>
        <v>0</v>
      </c>
      <c r="SG20" s="219">
        <f t="shared" si="147"/>
        <v>0</v>
      </c>
      <c r="SH20" s="229">
        <f t="shared" ref="SH20:SM20" si="626">SUM(SH21:SH26)</f>
        <v>0</v>
      </c>
      <c r="SI20" s="229">
        <f t="shared" si="626"/>
        <v>0</v>
      </c>
      <c r="SJ20" s="229">
        <f t="shared" si="626"/>
        <v>0</v>
      </c>
      <c r="SK20" s="229">
        <f t="shared" si="626"/>
        <v>0</v>
      </c>
      <c r="SL20" s="229">
        <f t="shared" si="626"/>
        <v>0</v>
      </c>
      <c r="SM20" s="229">
        <f t="shared" si="626"/>
        <v>0</v>
      </c>
      <c r="SN20" s="219">
        <f t="shared" si="149"/>
        <v>0</v>
      </c>
      <c r="SO20" s="229">
        <f t="shared" ref="SO20:SQ20" si="627">SUM(SO21:SO26)</f>
        <v>0</v>
      </c>
      <c r="SP20" s="229">
        <f t="shared" si="627"/>
        <v>0</v>
      </c>
      <c r="SQ20" s="229">
        <f t="shared" si="627"/>
        <v>0</v>
      </c>
      <c r="SR20" s="219">
        <f t="shared" si="151"/>
        <v>0</v>
      </c>
      <c r="SS20" s="229">
        <f t="shared" ref="SS20:ST20" si="628">SUM(SS21:SS26)</f>
        <v>0</v>
      </c>
      <c r="ST20" s="229">
        <f t="shared" si="628"/>
        <v>0</v>
      </c>
      <c r="SU20" s="219">
        <f t="shared" si="153"/>
        <v>0</v>
      </c>
      <c r="SV20" s="229">
        <f t="shared" ref="SV20:SW20" si="629">SUM(SV21:SV26)</f>
        <v>0</v>
      </c>
      <c r="SW20" s="229">
        <f t="shared" si="629"/>
        <v>0</v>
      </c>
      <c r="SX20" s="219">
        <f t="shared" si="155"/>
        <v>0</v>
      </c>
      <c r="SY20" s="229">
        <f t="shared" ref="SY20:UC20" si="630">SUM(SY21:SY26)</f>
        <v>0</v>
      </c>
      <c r="SZ20" s="229">
        <f t="shared" si="630"/>
        <v>0</v>
      </c>
      <c r="TA20" s="219">
        <f t="shared" si="157"/>
        <v>0</v>
      </c>
      <c r="TB20" s="229">
        <f t="shared" si="630"/>
        <v>0</v>
      </c>
      <c r="TC20" s="229">
        <f t="shared" si="630"/>
        <v>0</v>
      </c>
      <c r="TD20" s="229">
        <f t="shared" si="630"/>
        <v>0</v>
      </c>
      <c r="TE20" s="229">
        <f t="shared" si="630"/>
        <v>0</v>
      </c>
      <c r="TF20" s="229">
        <f t="shared" si="630"/>
        <v>0</v>
      </c>
      <c r="TG20" s="229">
        <f t="shared" si="630"/>
        <v>0</v>
      </c>
      <c r="TH20" s="229">
        <f t="shared" si="630"/>
        <v>0</v>
      </c>
      <c r="TI20" s="229">
        <f t="shared" si="630"/>
        <v>0</v>
      </c>
      <c r="TJ20" s="229">
        <f t="shared" si="630"/>
        <v>0</v>
      </c>
      <c r="TK20" s="229">
        <f t="shared" si="630"/>
        <v>0</v>
      </c>
      <c r="TL20" s="229">
        <f t="shared" si="630"/>
        <v>0</v>
      </c>
      <c r="TM20" s="229">
        <f t="shared" si="630"/>
        <v>0</v>
      </c>
      <c r="TN20" s="229">
        <f t="shared" si="630"/>
        <v>0</v>
      </c>
      <c r="TO20" s="229">
        <f t="shared" si="630"/>
        <v>0</v>
      </c>
      <c r="TP20" s="229">
        <f t="shared" si="630"/>
        <v>0</v>
      </c>
      <c r="TQ20" s="229">
        <f t="shared" si="630"/>
        <v>0</v>
      </c>
      <c r="TR20" s="229">
        <f t="shared" si="630"/>
        <v>0</v>
      </c>
      <c r="TS20" s="229">
        <f t="shared" si="630"/>
        <v>0</v>
      </c>
      <c r="TT20" s="229">
        <f t="shared" si="630"/>
        <v>0</v>
      </c>
      <c r="TU20" s="229">
        <f t="shared" si="630"/>
        <v>0</v>
      </c>
      <c r="TV20" s="229">
        <f t="shared" si="630"/>
        <v>0</v>
      </c>
      <c r="TW20" s="229">
        <f t="shared" si="630"/>
        <v>0</v>
      </c>
      <c r="TX20" s="229">
        <f t="shared" si="630"/>
        <v>0</v>
      </c>
      <c r="TY20" s="229">
        <f t="shared" si="630"/>
        <v>0</v>
      </c>
      <c r="TZ20" s="229">
        <f t="shared" si="630"/>
        <v>0</v>
      </c>
      <c r="UA20" s="229">
        <f t="shared" si="630"/>
        <v>0</v>
      </c>
      <c r="UB20" s="229">
        <f t="shared" si="630"/>
        <v>0</v>
      </c>
      <c r="UC20" s="229">
        <f t="shared" si="630"/>
        <v>0</v>
      </c>
    </row>
    <row r="21" spans="1:549" s="182" customFormat="1" hidden="1" x14ac:dyDescent="0.25">
      <c r="A21" s="35">
        <v>33149</v>
      </c>
      <c r="B21" s="235">
        <v>33149</v>
      </c>
      <c r="C21" s="171" t="s">
        <v>243</v>
      </c>
      <c r="D21" s="36"/>
      <c r="E21" s="236"/>
      <c r="F21" s="236"/>
      <c r="G21" s="236"/>
      <c r="H21" s="219">
        <f t="shared" si="33"/>
        <v>0</v>
      </c>
      <c r="I21" s="236"/>
      <c r="J21" s="236"/>
      <c r="K21" s="236"/>
      <c r="L21" s="219">
        <f t="shared" si="34"/>
        <v>0</v>
      </c>
      <c r="M21" s="236"/>
      <c r="N21" s="236"/>
      <c r="O21" s="219">
        <f t="shared" si="35"/>
        <v>0</v>
      </c>
      <c r="P21" s="236"/>
      <c r="Q21" s="236"/>
      <c r="R21" s="236"/>
      <c r="S21" s="236"/>
      <c r="T21" s="219">
        <f t="shared" si="36"/>
        <v>0</v>
      </c>
      <c r="U21" s="236"/>
      <c r="V21" s="236"/>
      <c r="W21" s="236"/>
      <c r="X21" s="219">
        <f t="shared" si="37"/>
        <v>0</v>
      </c>
      <c r="Y21" s="236"/>
      <c r="Z21" s="236"/>
      <c r="AA21" s="219">
        <f t="shared" si="38"/>
        <v>0</v>
      </c>
      <c r="AB21" s="236"/>
      <c r="AC21" s="236"/>
      <c r="AD21" s="219">
        <f t="shared" si="39"/>
        <v>0</v>
      </c>
      <c r="AE21" s="236"/>
      <c r="AF21" s="236"/>
      <c r="AG21" s="236"/>
      <c r="AH21" s="219">
        <f t="shared" si="40"/>
        <v>0</v>
      </c>
      <c r="AI21" s="236"/>
      <c r="AJ21" s="236"/>
      <c r="AK21" s="236"/>
      <c r="AL21" s="219">
        <f t="shared" si="41"/>
        <v>0</v>
      </c>
      <c r="AM21" s="236"/>
      <c r="AN21" s="236"/>
      <c r="AO21" s="236"/>
      <c r="AP21" s="219">
        <f t="shared" si="42"/>
        <v>0</v>
      </c>
      <c r="AQ21" s="236"/>
      <c r="AR21" s="236"/>
      <c r="AS21" s="236"/>
      <c r="AT21" s="236"/>
      <c r="AU21" s="219">
        <f t="shared" si="43"/>
        <v>0</v>
      </c>
      <c r="AV21" s="236"/>
      <c r="AW21" s="236"/>
      <c r="AX21" s="236"/>
      <c r="AY21" s="236"/>
      <c r="AZ21" s="236"/>
      <c r="BA21" s="236"/>
      <c r="BB21" s="236"/>
      <c r="BC21" s="236"/>
      <c r="BD21" s="219">
        <f t="shared" si="44"/>
        <v>0</v>
      </c>
      <c r="BE21" s="236"/>
      <c r="BF21" s="236"/>
      <c r="BG21" s="236"/>
      <c r="BH21" s="236"/>
      <c r="BI21" s="236"/>
      <c r="BJ21" s="236"/>
      <c r="BK21" s="236"/>
      <c r="BL21" s="219">
        <f t="shared" si="45"/>
        <v>0</v>
      </c>
      <c r="BM21" s="236"/>
      <c r="BN21" s="236"/>
      <c r="BO21" s="236"/>
      <c r="BP21" s="236"/>
      <c r="BQ21" s="236"/>
      <c r="BR21" s="236"/>
      <c r="BS21" s="219">
        <f t="shared" si="47"/>
        <v>0</v>
      </c>
      <c r="BT21" s="236"/>
      <c r="BU21" s="236"/>
      <c r="BV21" s="236"/>
      <c r="BW21" s="219">
        <f t="shared" si="48"/>
        <v>0</v>
      </c>
      <c r="BX21" s="236"/>
      <c r="BY21" s="236"/>
      <c r="BZ21" s="219">
        <f t="shared" si="49"/>
        <v>0</v>
      </c>
      <c r="CA21" s="236"/>
      <c r="CB21" s="236"/>
      <c r="CC21" s="219">
        <f t="shared" si="50"/>
        <v>0</v>
      </c>
      <c r="CD21" s="236"/>
      <c r="CE21" s="236"/>
      <c r="CF21" s="236"/>
      <c r="CG21" s="236"/>
      <c r="CH21" s="236"/>
      <c r="CI21" s="236"/>
      <c r="CJ21" s="236"/>
      <c r="CK21" s="236"/>
      <c r="CL21" s="219">
        <f t="shared" si="51"/>
        <v>0</v>
      </c>
      <c r="CM21" s="236"/>
      <c r="CN21" s="236"/>
      <c r="CO21" s="236"/>
      <c r="CP21" s="236"/>
      <c r="CQ21" s="219">
        <f t="shared" si="52"/>
        <v>0</v>
      </c>
      <c r="CR21" s="236"/>
      <c r="CS21" s="236"/>
      <c r="CT21" s="236"/>
      <c r="CU21" s="236"/>
      <c r="CV21" s="236"/>
      <c r="CW21" s="236"/>
      <c r="CX21" s="219">
        <f t="shared" si="53"/>
        <v>0</v>
      </c>
      <c r="CY21" s="236"/>
      <c r="CZ21" s="236"/>
      <c r="DA21" s="236"/>
      <c r="DB21" s="219">
        <f t="shared" si="54"/>
        <v>0</v>
      </c>
      <c r="DC21" s="236"/>
      <c r="DD21" s="236"/>
      <c r="DE21" s="219">
        <f t="shared" si="55"/>
        <v>0</v>
      </c>
      <c r="DF21" s="236"/>
      <c r="DG21" s="236"/>
      <c r="DH21" s="219">
        <f t="shared" si="56"/>
        <v>0</v>
      </c>
      <c r="DI21" s="236"/>
      <c r="DJ21" s="236"/>
      <c r="DK21" s="219">
        <f t="shared" si="57"/>
        <v>0</v>
      </c>
      <c r="DL21" s="236"/>
      <c r="DM21" s="236"/>
      <c r="DN21" s="236"/>
      <c r="DO21" s="236"/>
      <c r="DP21" s="236"/>
      <c r="DQ21" s="236"/>
      <c r="DR21" s="236"/>
      <c r="DS21" s="236"/>
      <c r="DT21" s="236"/>
      <c r="DU21" s="236"/>
      <c r="DV21" s="236"/>
      <c r="DW21" s="219">
        <f t="shared" si="58"/>
        <v>0</v>
      </c>
      <c r="DX21" s="236"/>
      <c r="DY21" s="236"/>
      <c r="DZ21" s="236"/>
      <c r="EA21" s="219">
        <f t="shared" si="59"/>
        <v>0</v>
      </c>
      <c r="EB21" s="236"/>
      <c r="EC21" s="236"/>
      <c r="ED21" s="236"/>
      <c r="EE21" s="236"/>
      <c r="EF21" s="236"/>
      <c r="EG21" s="236"/>
      <c r="EH21" s="219">
        <f t="shared" si="61"/>
        <v>0</v>
      </c>
      <c r="EI21" s="236"/>
      <c r="EJ21" s="236"/>
      <c r="EK21" s="236"/>
      <c r="EL21" s="219">
        <f t="shared" si="62"/>
        <v>0</v>
      </c>
      <c r="EM21" s="236"/>
      <c r="EN21" s="236"/>
      <c r="EO21" s="219">
        <f t="shared" si="63"/>
        <v>0</v>
      </c>
      <c r="EP21" s="236"/>
      <c r="EQ21" s="236"/>
      <c r="ER21" s="219">
        <f t="shared" si="64"/>
        <v>0</v>
      </c>
      <c r="ES21" s="236"/>
      <c r="ET21" s="236"/>
      <c r="EU21" s="219">
        <f t="shared" si="65"/>
        <v>0</v>
      </c>
      <c r="EV21" s="236"/>
      <c r="EW21" s="236"/>
      <c r="EX21" s="236"/>
      <c r="EY21" s="236"/>
      <c r="EZ21" s="236"/>
      <c r="FA21" s="236"/>
      <c r="FB21" s="236"/>
      <c r="FC21" s="236"/>
      <c r="FD21" s="236"/>
      <c r="FE21" s="236"/>
      <c r="FF21" s="236"/>
      <c r="FG21" s="219">
        <f t="shared" si="66"/>
        <v>0</v>
      </c>
      <c r="FH21" s="236"/>
      <c r="FI21" s="236"/>
      <c r="FJ21" s="236"/>
      <c r="FK21" s="219">
        <f t="shared" si="67"/>
        <v>0</v>
      </c>
      <c r="FL21" s="236"/>
      <c r="FM21" s="236"/>
      <c r="FN21" s="236"/>
      <c r="FO21" s="236"/>
      <c r="FP21" s="236"/>
      <c r="FQ21" s="236"/>
      <c r="FR21" s="219">
        <f t="shared" si="68"/>
        <v>0</v>
      </c>
      <c r="FS21" s="236"/>
      <c r="FT21" s="236"/>
      <c r="FU21" s="236"/>
      <c r="FV21" s="219">
        <f t="shared" si="69"/>
        <v>0</v>
      </c>
      <c r="FW21" s="236"/>
      <c r="FX21" s="236"/>
      <c r="FY21" s="219">
        <f t="shared" si="70"/>
        <v>0</v>
      </c>
      <c r="FZ21" s="236"/>
      <c r="GA21" s="236"/>
      <c r="GB21" s="219">
        <f t="shared" si="71"/>
        <v>0</v>
      </c>
      <c r="GC21" s="236"/>
      <c r="GD21" s="236"/>
      <c r="GE21" s="219">
        <f t="shared" si="72"/>
        <v>0</v>
      </c>
      <c r="GF21" s="236"/>
      <c r="GG21" s="236"/>
      <c r="GH21" s="236"/>
      <c r="GI21" s="236"/>
      <c r="GJ21" s="236"/>
      <c r="GK21" s="236"/>
      <c r="GL21" s="236"/>
      <c r="GM21" s="236"/>
      <c r="GN21" s="234">
        <f t="shared" si="73"/>
        <v>0</v>
      </c>
      <c r="GO21" s="236"/>
      <c r="GP21" s="236"/>
      <c r="GQ21" s="236"/>
      <c r="GR21" s="219">
        <f t="shared" si="3"/>
        <v>0</v>
      </c>
      <c r="GS21" s="236"/>
      <c r="GT21" s="236"/>
      <c r="GU21" s="236"/>
      <c r="GV21" s="236"/>
      <c r="GW21" s="219">
        <f t="shared" si="75"/>
        <v>0</v>
      </c>
      <c r="GX21" s="236"/>
      <c r="GY21" s="236"/>
      <c r="GZ21" s="236"/>
      <c r="HA21" s="236"/>
      <c r="HB21" s="219">
        <f t="shared" si="76"/>
        <v>0</v>
      </c>
      <c r="HC21" s="236"/>
      <c r="HD21" s="236"/>
      <c r="HE21" s="236"/>
      <c r="HF21" s="236"/>
      <c r="HG21" s="219">
        <f t="shared" si="77"/>
        <v>0</v>
      </c>
      <c r="HH21" s="236"/>
      <c r="HI21" s="236"/>
      <c r="HJ21" s="236"/>
      <c r="HK21" s="236"/>
      <c r="HL21" s="219">
        <f t="shared" si="78"/>
        <v>0</v>
      </c>
      <c r="HM21" s="236"/>
      <c r="HN21" s="236"/>
      <c r="HO21" s="236"/>
      <c r="HP21" s="236"/>
      <c r="HQ21" s="219">
        <f t="shared" si="79"/>
        <v>0</v>
      </c>
      <c r="HR21" s="236"/>
      <c r="HS21" s="236"/>
      <c r="HT21" s="236"/>
      <c r="HU21" s="236"/>
      <c r="HV21" s="219">
        <f t="shared" si="80"/>
        <v>0</v>
      </c>
      <c r="HW21" s="236"/>
      <c r="HX21" s="236"/>
      <c r="HY21" s="236"/>
      <c r="HZ21" s="219">
        <f t="shared" si="81"/>
        <v>0</v>
      </c>
      <c r="IA21" s="236"/>
      <c r="IB21" s="236"/>
      <c r="IC21" s="236"/>
      <c r="ID21" s="236"/>
      <c r="IE21" s="219">
        <f t="shared" si="82"/>
        <v>0</v>
      </c>
      <c r="IF21" s="236"/>
      <c r="IG21" s="236"/>
      <c r="IH21" s="236"/>
      <c r="II21" s="236"/>
      <c r="IJ21" s="219">
        <f t="shared" si="83"/>
        <v>0</v>
      </c>
      <c r="IK21" s="236"/>
      <c r="IL21" s="236"/>
      <c r="IM21" s="236"/>
      <c r="IN21" s="236"/>
      <c r="IO21" s="219">
        <f t="shared" si="84"/>
        <v>0</v>
      </c>
      <c r="IP21" s="236"/>
      <c r="IQ21" s="236"/>
      <c r="IR21" s="236"/>
      <c r="IS21" s="236"/>
      <c r="IT21" s="219">
        <f t="shared" si="85"/>
        <v>0</v>
      </c>
      <c r="IU21" s="236"/>
      <c r="IV21" s="236"/>
      <c r="IW21" s="236"/>
      <c r="IX21" s="219">
        <f t="shared" si="86"/>
        <v>0</v>
      </c>
      <c r="IY21" s="236"/>
      <c r="IZ21" s="236"/>
      <c r="JA21" s="236"/>
      <c r="JB21" s="219">
        <f t="shared" si="87"/>
        <v>0</v>
      </c>
      <c r="JC21" s="236"/>
      <c r="JD21" s="236"/>
      <c r="JE21" s="236"/>
      <c r="JF21" s="219">
        <f t="shared" si="88"/>
        <v>0</v>
      </c>
      <c r="JG21" s="236"/>
      <c r="JH21" s="236"/>
      <c r="JI21" s="236"/>
      <c r="JJ21" s="236"/>
      <c r="JK21" s="236"/>
      <c r="JL21" s="236"/>
      <c r="JM21" s="236"/>
      <c r="JN21" s="236"/>
      <c r="JO21" s="236"/>
      <c r="JP21" s="236"/>
      <c r="JQ21" s="236"/>
      <c r="JR21" s="236"/>
      <c r="JS21" s="236"/>
      <c r="JT21" s="236"/>
      <c r="JU21" s="236"/>
      <c r="JV21" s="236"/>
      <c r="JW21" s="236"/>
      <c r="JX21" s="236"/>
      <c r="JY21" s="236"/>
      <c r="JZ21" s="236"/>
      <c r="KA21" s="236"/>
      <c r="KB21" s="236"/>
      <c r="KC21" s="236"/>
      <c r="KD21" s="236"/>
      <c r="KE21" s="236"/>
      <c r="KF21" s="236"/>
      <c r="KG21" s="236"/>
      <c r="KH21" s="236"/>
      <c r="KI21" s="236"/>
      <c r="KJ21" s="236"/>
      <c r="KK21" s="236"/>
      <c r="KL21" s="236"/>
      <c r="KM21" s="236"/>
      <c r="KN21" s="236"/>
      <c r="KO21" s="236"/>
      <c r="KP21" s="236"/>
      <c r="KQ21" s="236"/>
      <c r="KR21" s="236"/>
      <c r="KS21" s="236"/>
      <c r="KT21" s="236"/>
      <c r="KU21" s="236"/>
      <c r="KV21" s="236"/>
      <c r="KW21" s="236"/>
      <c r="KX21" s="236"/>
      <c r="KY21" s="236"/>
      <c r="KZ21" s="219">
        <f t="shared" si="90"/>
        <v>0</v>
      </c>
      <c r="LA21" s="236"/>
      <c r="LB21" s="236"/>
      <c r="LC21" s="236"/>
      <c r="LD21" s="219">
        <f t="shared" si="91"/>
        <v>0</v>
      </c>
      <c r="LE21" s="236"/>
      <c r="LF21" s="236"/>
      <c r="LG21" s="236"/>
      <c r="LH21" s="219">
        <f t="shared" si="92"/>
        <v>0</v>
      </c>
      <c r="LI21" s="236"/>
      <c r="LJ21" s="236"/>
      <c r="LK21" s="236"/>
      <c r="LL21" s="219">
        <f t="shared" si="93"/>
        <v>0</v>
      </c>
      <c r="LM21" s="236"/>
      <c r="LN21" s="236"/>
      <c r="LO21" s="236"/>
      <c r="LP21" s="219">
        <f t="shared" si="94"/>
        <v>0</v>
      </c>
      <c r="LQ21" s="236"/>
      <c r="LR21" s="236"/>
      <c r="LS21" s="236"/>
      <c r="LT21" s="219">
        <f t="shared" si="95"/>
        <v>0</v>
      </c>
      <c r="LU21" s="234"/>
      <c r="LV21" s="234"/>
      <c r="LW21" s="234"/>
      <c r="LX21" s="219">
        <f t="shared" si="96"/>
        <v>0</v>
      </c>
      <c r="LY21" s="236"/>
      <c r="LZ21" s="236"/>
      <c r="MA21" s="236"/>
      <c r="MB21" s="219">
        <f t="shared" si="97"/>
        <v>0</v>
      </c>
      <c r="MC21" s="236"/>
      <c r="MD21" s="219">
        <f t="shared" si="98"/>
        <v>0</v>
      </c>
      <c r="ME21" s="236"/>
      <c r="MF21" s="219">
        <f t="shared" si="100"/>
        <v>0</v>
      </c>
      <c r="MG21" s="236"/>
      <c r="MH21" s="219">
        <f t="shared" si="101"/>
        <v>0</v>
      </c>
      <c r="MI21" s="236"/>
      <c r="MJ21" s="219">
        <f t="shared" si="102"/>
        <v>0</v>
      </c>
      <c r="MK21" s="236"/>
      <c r="ML21" s="219">
        <f t="shared" si="103"/>
        <v>0</v>
      </c>
      <c r="MM21" s="236"/>
      <c r="MN21" s="236"/>
      <c r="MO21" s="236"/>
      <c r="MP21" s="236"/>
      <c r="MQ21" s="236"/>
      <c r="MR21" s="236"/>
      <c r="MS21" s="236"/>
      <c r="MT21" s="236"/>
      <c r="MU21" s="236"/>
      <c r="MV21" s="236"/>
      <c r="MW21" s="219">
        <f t="shared" si="104"/>
        <v>0</v>
      </c>
      <c r="MX21" s="236"/>
      <c r="MY21" s="236"/>
      <c r="MZ21" s="236"/>
      <c r="NA21" s="219">
        <f t="shared" si="105"/>
        <v>0</v>
      </c>
      <c r="NB21" s="236"/>
      <c r="NC21" s="236"/>
      <c r="ND21" s="236"/>
      <c r="NE21" s="219">
        <f t="shared" si="106"/>
        <v>0</v>
      </c>
      <c r="NF21" s="236"/>
      <c r="NG21" s="236"/>
      <c r="NH21" s="236"/>
      <c r="NI21" s="219">
        <f t="shared" si="107"/>
        <v>0</v>
      </c>
      <c r="NJ21" s="236"/>
      <c r="NK21" s="236"/>
      <c r="NL21" s="236"/>
      <c r="NM21" s="219">
        <f t="shared" si="108"/>
        <v>0</v>
      </c>
      <c r="NN21" s="236"/>
      <c r="NO21" s="236"/>
      <c r="NP21" s="236"/>
      <c r="NQ21" s="219">
        <f t="shared" si="109"/>
        <v>0</v>
      </c>
      <c r="NR21" s="236"/>
      <c r="NS21" s="236"/>
      <c r="NT21" s="236"/>
      <c r="NU21" s="219">
        <f t="shared" si="110"/>
        <v>0</v>
      </c>
      <c r="NV21" s="179"/>
      <c r="NW21" s="179"/>
      <c r="NX21" s="179"/>
      <c r="NY21" s="219">
        <f t="shared" si="112"/>
        <v>0</v>
      </c>
      <c r="NZ21" s="179"/>
      <c r="OA21" s="179"/>
      <c r="OB21" s="179"/>
      <c r="OC21" s="219">
        <f t="shared" si="114"/>
        <v>0</v>
      </c>
      <c r="OD21" s="234"/>
      <c r="OE21" s="234"/>
      <c r="OF21" s="234"/>
      <c r="OG21" s="234"/>
      <c r="OH21" s="234"/>
      <c r="OI21" s="234"/>
      <c r="OJ21" s="234"/>
      <c r="OK21" s="234"/>
      <c r="OL21" s="234"/>
      <c r="OM21" s="234"/>
      <c r="ON21" s="234"/>
      <c r="OO21" s="234"/>
      <c r="OP21" s="234"/>
      <c r="OQ21" s="234"/>
      <c r="OR21" s="219">
        <f t="shared" si="116"/>
        <v>0</v>
      </c>
      <c r="OS21" s="179"/>
      <c r="OT21" s="179"/>
      <c r="OU21" s="179"/>
      <c r="OV21" s="179"/>
      <c r="OW21" s="179"/>
      <c r="OX21" s="229">
        <f t="shared" si="11"/>
        <v>0</v>
      </c>
      <c r="OY21" s="179"/>
      <c r="OZ21" s="179"/>
      <c r="PA21" s="179"/>
      <c r="PB21" s="229">
        <f t="shared" ref="PB21:PB26" si="631">SUM(OY21:PA21)</f>
        <v>0</v>
      </c>
      <c r="PC21" s="179"/>
      <c r="PD21" s="179"/>
      <c r="PE21" s="179"/>
      <c r="PF21" s="229">
        <f t="shared" ref="PF21:PF26" si="632">SUM(PC21:PE21)</f>
        <v>0</v>
      </c>
      <c r="PG21" s="179"/>
      <c r="PH21" s="179"/>
      <c r="PI21" s="179"/>
      <c r="PJ21" s="229">
        <f t="shared" ref="PJ21:PJ26" si="633">SUM(PG21:PI21)</f>
        <v>0</v>
      </c>
      <c r="PK21" s="179"/>
      <c r="PL21" s="179"/>
      <c r="PM21" s="179"/>
      <c r="PN21" s="229">
        <f t="shared" ref="PN21:PN26" si="634">SUM(PK21:PM21)</f>
        <v>0</v>
      </c>
      <c r="PO21" s="179"/>
      <c r="PP21" s="179"/>
      <c r="PQ21" s="179"/>
      <c r="PR21" s="229">
        <f t="shared" ref="PR21:PR26" si="635">SUM(PO21:PQ21)</f>
        <v>0</v>
      </c>
      <c r="PS21" s="179"/>
      <c r="PT21" s="179"/>
      <c r="PU21" s="179"/>
      <c r="PV21" s="229">
        <f t="shared" ref="PV21:PV26" si="636">SUM(PS21:PU21)</f>
        <v>0</v>
      </c>
      <c r="PW21" s="179"/>
      <c r="PX21" s="179"/>
      <c r="PY21" s="179"/>
      <c r="PZ21" s="229">
        <f t="shared" ref="PZ21:PZ26" si="637">SUM(PW21:PY21)</f>
        <v>0</v>
      </c>
      <c r="QA21" s="175"/>
      <c r="QB21" s="175"/>
      <c r="QC21" s="175"/>
      <c r="QD21" s="219">
        <f t="shared" si="132"/>
        <v>0</v>
      </c>
      <c r="QE21" s="175"/>
      <c r="QF21" s="175"/>
      <c r="QG21" s="175"/>
      <c r="QH21" s="175"/>
      <c r="QI21" s="175"/>
      <c r="QJ21" s="175"/>
      <c r="QK21" s="175"/>
      <c r="QL21" s="219">
        <f t="shared" si="133"/>
        <v>0</v>
      </c>
      <c r="QM21" s="175"/>
      <c r="QN21" s="175"/>
      <c r="QO21" s="175"/>
      <c r="QP21" s="175"/>
      <c r="QQ21" s="175"/>
      <c r="QR21" s="175"/>
      <c r="QS21" s="219">
        <f t="shared" si="135"/>
        <v>0</v>
      </c>
      <c r="QT21" s="175"/>
      <c r="QU21" s="175"/>
      <c r="QV21" s="175"/>
      <c r="QW21" s="175"/>
      <c r="QX21" s="175"/>
      <c r="QY21" s="175"/>
      <c r="QZ21" s="219">
        <f t="shared" si="137"/>
        <v>0</v>
      </c>
      <c r="RA21" s="175"/>
      <c r="RB21" s="175"/>
      <c r="RC21" s="175"/>
      <c r="RD21" s="175"/>
      <c r="RE21" s="175"/>
      <c r="RF21" s="175"/>
      <c r="RG21" s="219">
        <f t="shared" si="139"/>
        <v>0</v>
      </c>
      <c r="RH21" s="175"/>
      <c r="RI21" s="175"/>
      <c r="RJ21" s="175"/>
      <c r="RK21" s="175"/>
      <c r="RL21" s="175"/>
      <c r="RM21" s="175"/>
      <c r="RN21" s="219">
        <f t="shared" si="141"/>
        <v>0</v>
      </c>
      <c r="RO21" s="175"/>
      <c r="RP21" s="175"/>
      <c r="RQ21" s="175"/>
      <c r="RR21" s="175"/>
      <c r="RS21" s="175"/>
      <c r="RT21" s="175"/>
      <c r="RU21" s="219">
        <f t="shared" si="143"/>
        <v>0</v>
      </c>
      <c r="RV21" s="175"/>
      <c r="RW21" s="175"/>
      <c r="RX21" s="175"/>
      <c r="RY21" s="175"/>
      <c r="RZ21" s="175"/>
      <c r="SA21" s="175"/>
      <c r="SB21" s="175"/>
      <c r="SC21" s="219">
        <f t="shared" si="145"/>
        <v>0</v>
      </c>
      <c r="SD21" s="175"/>
      <c r="SE21" s="175"/>
      <c r="SF21" s="175"/>
      <c r="SG21" s="219">
        <f t="shared" si="147"/>
        <v>0</v>
      </c>
      <c r="SH21" s="175"/>
      <c r="SI21" s="175"/>
      <c r="SJ21" s="175"/>
      <c r="SK21" s="175"/>
      <c r="SL21" s="175"/>
      <c r="SM21" s="175"/>
      <c r="SN21" s="219">
        <f t="shared" si="149"/>
        <v>0</v>
      </c>
      <c r="SO21" s="175"/>
      <c r="SP21" s="175"/>
      <c r="SQ21" s="175"/>
      <c r="SR21" s="219">
        <f t="shared" si="151"/>
        <v>0</v>
      </c>
      <c r="SS21" s="175"/>
      <c r="ST21" s="175"/>
      <c r="SU21" s="219">
        <f t="shared" si="153"/>
        <v>0</v>
      </c>
      <c r="SV21" s="175"/>
      <c r="SW21" s="175"/>
      <c r="SX21" s="219">
        <f t="shared" si="155"/>
        <v>0</v>
      </c>
      <c r="SY21" s="175"/>
      <c r="SZ21" s="175"/>
      <c r="TA21" s="219">
        <f t="shared" si="157"/>
        <v>0</v>
      </c>
      <c r="TB21" s="175"/>
      <c r="TC21" s="175"/>
      <c r="TD21" s="175"/>
      <c r="TE21" s="175"/>
      <c r="TF21" s="175"/>
      <c r="TG21" s="175"/>
      <c r="TH21" s="175"/>
      <c r="TI21" s="175"/>
      <c r="TJ21" s="175"/>
      <c r="TK21" s="175"/>
      <c r="TL21" s="175"/>
      <c r="TM21" s="175"/>
      <c r="TN21" s="175"/>
      <c r="TO21" s="175"/>
      <c r="TP21" s="175"/>
      <c r="TQ21" s="175"/>
      <c r="TR21" s="175"/>
      <c r="TS21" s="175"/>
      <c r="TT21" s="175"/>
      <c r="TU21" s="175"/>
      <c r="TV21" s="175"/>
      <c r="TW21" s="175"/>
      <c r="TX21" s="175"/>
      <c r="TY21" s="175"/>
      <c r="TZ21" s="175"/>
      <c r="UA21" s="175"/>
      <c r="UB21" s="175"/>
      <c r="UC21" s="175"/>
    </row>
    <row r="22" spans="1:549" s="182" customFormat="1" hidden="1" x14ac:dyDescent="0.25">
      <c r="A22" s="35">
        <v>120301102</v>
      </c>
      <c r="B22" s="235">
        <v>8656</v>
      </c>
      <c r="C22" s="183" t="s">
        <v>244</v>
      </c>
      <c r="D22" s="36"/>
      <c r="E22" s="229"/>
      <c r="F22" s="229"/>
      <c r="G22" s="229"/>
      <c r="H22" s="219">
        <f t="shared" si="33"/>
        <v>0</v>
      </c>
      <c r="I22" s="229"/>
      <c r="J22" s="229"/>
      <c r="K22" s="229"/>
      <c r="L22" s="219">
        <f t="shared" si="34"/>
        <v>0</v>
      </c>
      <c r="M22" s="229"/>
      <c r="N22" s="229"/>
      <c r="O22" s="219">
        <f t="shared" si="35"/>
        <v>0</v>
      </c>
      <c r="P22" s="229"/>
      <c r="Q22" s="229"/>
      <c r="R22" s="229"/>
      <c r="S22" s="229"/>
      <c r="T22" s="219">
        <f t="shared" si="36"/>
        <v>0</v>
      </c>
      <c r="U22" s="229"/>
      <c r="V22" s="229"/>
      <c r="W22" s="229"/>
      <c r="X22" s="219">
        <f t="shared" si="37"/>
        <v>0</v>
      </c>
      <c r="Y22" s="229"/>
      <c r="Z22" s="229"/>
      <c r="AA22" s="219">
        <f t="shared" si="38"/>
        <v>0</v>
      </c>
      <c r="AB22" s="229"/>
      <c r="AC22" s="229"/>
      <c r="AD22" s="219">
        <f t="shared" si="39"/>
        <v>0</v>
      </c>
      <c r="AE22" s="229"/>
      <c r="AF22" s="229"/>
      <c r="AG22" s="229"/>
      <c r="AH22" s="219">
        <f t="shared" si="40"/>
        <v>0</v>
      </c>
      <c r="AI22" s="229"/>
      <c r="AJ22" s="229"/>
      <c r="AK22" s="229"/>
      <c r="AL22" s="219">
        <f t="shared" si="41"/>
        <v>0</v>
      </c>
      <c r="AM22" s="229"/>
      <c r="AN22" s="229"/>
      <c r="AO22" s="229"/>
      <c r="AP22" s="219">
        <f t="shared" si="42"/>
        <v>0</v>
      </c>
      <c r="AQ22" s="229"/>
      <c r="AR22" s="229"/>
      <c r="AS22" s="229"/>
      <c r="AT22" s="236"/>
      <c r="AU22" s="219">
        <f t="shared" si="43"/>
        <v>0</v>
      </c>
      <c r="AV22" s="229"/>
      <c r="AW22" s="229"/>
      <c r="AX22" s="229"/>
      <c r="AY22" s="229"/>
      <c r="AZ22" s="229"/>
      <c r="BA22" s="229"/>
      <c r="BB22" s="229"/>
      <c r="BC22" s="229"/>
      <c r="BD22" s="219">
        <f t="shared" si="44"/>
        <v>0</v>
      </c>
      <c r="BE22" s="229"/>
      <c r="BF22" s="229"/>
      <c r="BG22" s="229"/>
      <c r="BH22" s="229"/>
      <c r="BI22" s="229"/>
      <c r="BJ22" s="229"/>
      <c r="BK22" s="229"/>
      <c r="BL22" s="219">
        <f t="shared" si="45"/>
        <v>0</v>
      </c>
      <c r="BM22" s="229"/>
      <c r="BN22" s="229"/>
      <c r="BO22" s="229"/>
      <c r="BP22" s="229"/>
      <c r="BQ22" s="229"/>
      <c r="BR22" s="229"/>
      <c r="BS22" s="219">
        <f t="shared" si="47"/>
        <v>0</v>
      </c>
      <c r="BT22" s="229"/>
      <c r="BU22" s="229"/>
      <c r="BV22" s="229"/>
      <c r="BW22" s="219">
        <f t="shared" si="48"/>
        <v>0</v>
      </c>
      <c r="BX22" s="229"/>
      <c r="BY22" s="229"/>
      <c r="BZ22" s="219">
        <f t="shared" si="49"/>
        <v>0</v>
      </c>
      <c r="CA22" s="229"/>
      <c r="CB22" s="229"/>
      <c r="CC22" s="219">
        <f t="shared" si="50"/>
        <v>0</v>
      </c>
      <c r="CD22" s="229"/>
      <c r="CE22" s="229"/>
      <c r="CF22" s="229"/>
      <c r="CG22" s="229"/>
      <c r="CH22" s="229"/>
      <c r="CI22" s="229"/>
      <c r="CJ22" s="229"/>
      <c r="CK22" s="229"/>
      <c r="CL22" s="219">
        <f t="shared" si="51"/>
        <v>0</v>
      </c>
      <c r="CM22" s="229"/>
      <c r="CN22" s="229"/>
      <c r="CO22" s="229"/>
      <c r="CP22" s="229"/>
      <c r="CQ22" s="219">
        <f t="shared" si="52"/>
        <v>0</v>
      </c>
      <c r="CR22" s="229"/>
      <c r="CS22" s="229"/>
      <c r="CT22" s="229"/>
      <c r="CU22" s="229"/>
      <c r="CV22" s="229"/>
      <c r="CW22" s="229"/>
      <c r="CX22" s="219">
        <f t="shared" si="53"/>
        <v>0</v>
      </c>
      <c r="CY22" s="229"/>
      <c r="CZ22" s="229"/>
      <c r="DA22" s="229"/>
      <c r="DB22" s="219">
        <f t="shared" si="54"/>
        <v>0</v>
      </c>
      <c r="DC22" s="229"/>
      <c r="DD22" s="229"/>
      <c r="DE22" s="219">
        <f t="shared" si="55"/>
        <v>0</v>
      </c>
      <c r="DF22" s="229"/>
      <c r="DG22" s="229"/>
      <c r="DH22" s="219">
        <f t="shared" si="56"/>
        <v>0</v>
      </c>
      <c r="DI22" s="229"/>
      <c r="DJ22" s="229"/>
      <c r="DK22" s="219">
        <f t="shared" si="57"/>
        <v>0</v>
      </c>
      <c r="DL22" s="229"/>
      <c r="DM22" s="229"/>
      <c r="DN22" s="229"/>
      <c r="DO22" s="229"/>
      <c r="DP22" s="229"/>
      <c r="DQ22" s="229"/>
      <c r="DR22" s="229"/>
      <c r="DS22" s="229"/>
      <c r="DT22" s="229"/>
      <c r="DU22" s="229"/>
      <c r="DV22" s="229"/>
      <c r="DW22" s="219">
        <f t="shared" si="58"/>
        <v>0</v>
      </c>
      <c r="DX22" s="229"/>
      <c r="DY22" s="229"/>
      <c r="DZ22" s="229"/>
      <c r="EA22" s="219">
        <f t="shared" si="59"/>
        <v>0</v>
      </c>
      <c r="EB22" s="229"/>
      <c r="EC22" s="229"/>
      <c r="ED22" s="229"/>
      <c r="EE22" s="229"/>
      <c r="EF22" s="229"/>
      <c r="EG22" s="229"/>
      <c r="EH22" s="219">
        <f t="shared" si="61"/>
        <v>0</v>
      </c>
      <c r="EI22" s="229"/>
      <c r="EJ22" s="229"/>
      <c r="EK22" s="229"/>
      <c r="EL22" s="219">
        <f t="shared" si="62"/>
        <v>0</v>
      </c>
      <c r="EM22" s="229"/>
      <c r="EN22" s="229"/>
      <c r="EO22" s="219">
        <f t="shared" si="63"/>
        <v>0</v>
      </c>
      <c r="EP22" s="229"/>
      <c r="EQ22" s="229"/>
      <c r="ER22" s="219">
        <f t="shared" si="64"/>
        <v>0</v>
      </c>
      <c r="ES22" s="229"/>
      <c r="ET22" s="229"/>
      <c r="EU22" s="219">
        <f t="shared" si="65"/>
        <v>0</v>
      </c>
      <c r="EV22" s="229"/>
      <c r="EW22" s="229"/>
      <c r="EX22" s="229"/>
      <c r="EY22" s="229"/>
      <c r="EZ22" s="229"/>
      <c r="FA22" s="229"/>
      <c r="FB22" s="229"/>
      <c r="FC22" s="229"/>
      <c r="FD22" s="229"/>
      <c r="FE22" s="229"/>
      <c r="FF22" s="229"/>
      <c r="FG22" s="219">
        <f t="shared" si="66"/>
        <v>0</v>
      </c>
      <c r="FH22" s="229"/>
      <c r="FI22" s="229"/>
      <c r="FJ22" s="229"/>
      <c r="FK22" s="219">
        <f t="shared" si="67"/>
        <v>0</v>
      </c>
      <c r="FL22" s="229"/>
      <c r="FM22" s="229"/>
      <c r="FN22" s="229"/>
      <c r="FO22" s="229"/>
      <c r="FP22" s="229"/>
      <c r="FQ22" s="229"/>
      <c r="FR22" s="219">
        <f t="shared" si="68"/>
        <v>0</v>
      </c>
      <c r="FS22" s="229"/>
      <c r="FT22" s="229"/>
      <c r="FU22" s="229"/>
      <c r="FV22" s="219">
        <f t="shared" si="69"/>
        <v>0</v>
      </c>
      <c r="FW22" s="229"/>
      <c r="FX22" s="229"/>
      <c r="FY22" s="219">
        <f t="shared" si="70"/>
        <v>0</v>
      </c>
      <c r="FZ22" s="229"/>
      <c r="GA22" s="229"/>
      <c r="GB22" s="219">
        <f t="shared" si="71"/>
        <v>0</v>
      </c>
      <c r="GC22" s="229"/>
      <c r="GD22" s="229"/>
      <c r="GE22" s="219">
        <f t="shared" si="72"/>
        <v>0</v>
      </c>
      <c r="GF22" s="229"/>
      <c r="GG22" s="229"/>
      <c r="GH22" s="229"/>
      <c r="GI22" s="229"/>
      <c r="GJ22" s="229"/>
      <c r="GK22" s="229"/>
      <c r="GL22" s="229"/>
      <c r="GM22" s="229"/>
      <c r="GN22" s="234">
        <f t="shared" si="73"/>
        <v>0</v>
      </c>
      <c r="GO22" s="229"/>
      <c r="GP22" s="229"/>
      <c r="GQ22" s="229"/>
      <c r="GR22" s="219">
        <f t="shared" si="3"/>
        <v>0</v>
      </c>
      <c r="GS22" s="229"/>
      <c r="GT22" s="229"/>
      <c r="GU22" s="229"/>
      <c r="GV22" s="229"/>
      <c r="GW22" s="219">
        <f t="shared" si="75"/>
        <v>0</v>
      </c>
      <c r="GX22" s="229"/>
      <c r="GY22" s="229"/>
      <c r="GZ22" s="229"/>
      <c r="HA22" s="229"/>
      <c r="HB22" s="219">
        <f t="shared" si="76"/>
        <v>0</v>
      </c>
      <c r="HC22" s="229"/>
      <c r="HD22" s="229"/>
      <c r="HE22" s="229"/>
      <c r="HF22" s="229"/>
      <c r="HG22" s="219">
        <f t="shared" si="77"/>
        <v>0</v>
      </c>
      <c r="HH22" s="229"/>
      <c r="HI22" s="229"/>
      <c r="HJ22" s="229"/>
      <c r="HK22" s="229"/>
      <c r="HL22" s="219">
        <f t="shared" si="78"/>
        <v>0</v>
      </c>
      <c r="HM22" s="229"/>
      <c r="HN22" s="229"/>
      <c r="HO22" s="229"/>
      <c r="HP22" s="229"/>
      <c r="HQ22" s="219">
        <f t="shared" si="79"/>
        <v>0</v>
      </c>
      <c r="HR22" s="229"/>
      <c r="HS22" s="229"/>
      <c r="HT22" s="229"/>
      <c r="HU22" s="229"/>
      <c r="HV22" s="219">
        <f t="shared" si="80"/>
        <v>0</v>
      </c>
      <c r="HW22" s="229"/>
      <c r="HX22" s="229"/>
      <c r="HY22" s="229"/>
      <c r="HZ22" s="219">
        <f t="shared" si="81"/>
        <v>0</v>
      </c>
      <c r="IA22" s="229"/>
      <c r="IB22" s="229"/>
      <c r="IC22" s="229"/>
      <c r="ID22" s="229"/>
      <c r="IE22" s="219">
        <f t="shared" si="82"/>
        <v>0</v>
      </c>
      <c r="IF22" s="229"/>
      <c r="IG22" s="229"/>
      <c r="IH22" s="229"/>
      <c r="II22" s="229"/>
      <c r="IJ22" s="219">
        <f t="shared" si="83"/>
        <v>0</v>
      </c>
      <c r="IK22" s="229"/>
      <c r="IL22" s="229"/>
      <c r="IM22" s="229"/>
      <c r="IN22" s="229"/>
      <c r="IO22" s="219">
        <f t="shared" si="84"/>
        <v>0</v>
      </c>
      <c r="IP22" s="229"/>
      <c r="IQ22" s="229"/>
      <c r="IR22" s="229"/>
      <c r="IS22" s="229"/>
      <c r="IT22" s="219">
        <f t="shared" si="85"/>
        <v>0</v>
      </c>
      <c r="IU22" s="229"/>
      <c r="IV22" s="229"/>
      <c r="IW22" s="229"/>
      <c r="IX22" s="219">
        <f t="shared" si="86"/>
        <v>0</v>
      </c>
      <c r="IY22" s="229"/>
      <c r="IZ22" s="229"/>
      <c r="JA22" s="229"/>
      <c r="JB22" s="219">
        <f t="shared" si="87"/>
        <v>0</v>
      </c>
      <c r="JC22" s="229"/>
      <c r="JD22" s="229"/>
      <c r="JE22" s="229"/>
      <c r="JF22" s="219">
        <f t="shared" si="88"/>
        <v>0</v>
      </c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29"/>
      <c r="JX22" s="229"/>
      <c r="JY22" s="229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19">
        <f t="shared" si="90"/>
        <v>0</v>
      </c>
      <c r="LA22" s="229"/>
      <c r="LB22" s="229"/>
      <c r="LC22" s="229"/>
      <c r="LD22" s="219">
        <f t="shared" si="91"/>
        <v>0</v>
      </c>
      <c r="LE22" s="229"/>
      <c r="LF22" s="229"/>
      <c r="LG22" s="229"/>
      <c r="LH22" s="219">
        <f t="shared" si="92"/>
        <v>0</v>
      </c>
      <c r="LI22" s="229"/>
      <c r="LJ22" s="229"/>
      <c r="LK22" s="229"/>
      <c r="LL22" s="219">
        <f t="shared" si="93"/>
        <v>0</v>
      </c>
      <c r="LM22" s="229"/>
      <c r="LN22" s="229"/>
      <c r="LO22" s="229"/>
      <c r="LP22" s="219">
        <f t="shared" si="94"/>
        <v>0</v>
      </c>
      <c r="LQ22" s="229"/>
      <c r="LR22" s="229"/>
      <c r="LS22" s="229"/>
      <c r="LT22" s="219">
        <f t="shared" si="95"/>
        <v>0</v>
      </c>
      <c r="LU22" s="219"/>
      <c r="LV22" s="219"/>
      <c r="LW22" s="219"/>
      <c r="LX22" s="219">
        <f t="shared" si="96"/>
        <v>0</v>
      </c>
      <c r="LY22" s="229"/>
      <c r="LZ22" s="229"/>
      <c r="MA22" s="229"/>
      <c r="MB22" s="219">
        <f t="shared" si="97"/>
        <v>0</v>
      </c>
      <c r="MC22" s="229"/>
      <c r="MD22" s="219">
        <f t="shared" si="98"/>
        <v>0</v>
      </c>
      <c r="ME22" s="229"/>
      <c r="MF22" s="219">
        <f t="shared" si="100"/>
        <v>0</v>
      </c>
      <c r="MG22" s="229"/>
      <c r="MH22" s="219">
        <f t="shared" si="101"/>
        <v>0</v>
      </c>
      <c r="MI22" s="229"/>
      <c r="MJ22" s="219">
        <f t="shared" si="102"/>
        <v>0</v>
      </c>
      <c r="MK22" s="229"/>
      <c r="ML22" s="219">
        <f t="shared" si="103"/>
        <v>0</v>
      </c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19">
        <f t="shared" si="104"/>
        <v>0</v>
      </c>
      <c r="MX22" s="229"/>
      <c r="MY22" s="229"/>
      <c r="MZ22" s="229"/>
      <c r="NA22" s="219">
        <f t="shared" si="105"/>
        <v>0</v>
      </c>
      <c r="NB22" s="229"/>
      <c r="NC22" s="229"/>
      <c r="ND22" s="229"/>
      <c r="NE22" s="219">
        <f t="shared" si="106"/>
        <v>0</v>
      </c>
      <c r="NF22" s="229"/>
      <c r="NG22" s="229"/>
      <c r="NH22" s="229"/>
      <c r="NI22" s="219">
        <f t="shared" si="107"/>
        <v>0</v>
      </c>
      <c r="NJ22" s="229"/>
      <c r="NK22" s="229"/>
      <c r="NL22" s="229"/>
      <c r="NM22" s="219">
        <f t="shared" si="108"/>
        <v>0</v>
      </c>
      <c r="NN22" s="229"/>
      <c r="NO22" s="229"/>
      <c r="NP22" s="229"/>
      <c r="NQ22" s="219">
        <f t="shared" si="109"/>
        <v>0</v>
      </c>
      <c r="NR22" s="229"/>
      <c r="NS22" s="229"/>
      <c r="NT22" s="229"/>
      <c r="NU22" s="219">
        <f t="shared" si="110"/>
        <v>0</v>
      </c>
      <c r="NV22" s="236"/>
      <c r="NW22" s="236"/>
      <c r="NX22" s="236"/>
      <c r="NY22" s="219">
        <f t="shared" si="112"/>
        <v>0</v>
      </c>
      <c r="NZ22" s="236"/>
      <c r="OA22" s="236"/>
      <c r="OB22" s="236"/>
      <c r="OC22" s="219">
        <f t="shared" si="114"/>
        <v>0</v>
      </c>
      <c r="OD22" s="219"/>
      <c r="OE22" s="219"/>
      <c r="OF22" s="219"/>
      <c r="OG22" s="219"/>
      <c r="OH22" s="219"/>
      <c r="OI22" s="219"/>
      <c r="OJ22" s="219"/>
      <c r="OK22" s="219"/>
      <c r="OL22" s="219"/>
      <c r="OM22" s="219"/>
      <c r="ON22" s="219"/>
      <c r="OO22" s="219"/>
      <c r="OP22" s="219"/>
      <c r="OQ22" s="219"/>
      <c r="OR22" s="219">
        <f t="shared" si="116"/>
        <v>0</v>
      </c>
      <c r="OS22" s="175"/>
      <c r="OT22" s="175"/>
      <c r="OU22" s="175"/>
      <c r="OV22" s="175"/>
      <c r="OW22" s="175"/>
      <c r="OX22" s="229">
        <f t="shared" si="11"/>
        <v>0</v>
      </c>
      <c r="OY22" s="175"/>
      <c r="OZ22" s="175"/>
      <c r="PA22" s="175"/>
      <c r="PB22" s="229">
        <f t="shared" si="631"/>
        <v>0</v>
      </c>
      <c r="PC22" s="175"/>
      <c r="PD22" s="175"/>
      <c r="PE22" s="175"/>
      <c r="PF22" s="229">
        <f t="shared" si="632"/>
        <v>0</v>
      </c>
      <c r="PG22" s="175"/>
      <c r="PH22" s="175"/>
      <c r="PI22" s="175"/>
      <c r="PJ22" s="229">
        <f t="shared" si="633"/>
        <v>0</v>
      </c>
      <c r="PK22" s="175"/>
      <c r="PL22" s="175"/>
      <c r="PM22" s="175"/>
      <c r="PN22" s="229">
        <f t="shared" si="634"/>
        <v>0</v>
      </c>
      <c r="PO22" s="175"/>
      <c r="PP22" s="175"/>
      <c r="PQ22" s="175"/>
      <c r="PR22" s="229">
        <f t="shared" si="635"/>
        <v>0</v>
      </c>
      <c r="PS22" s="175"/>
      <c r="PT22" s="175"/>
      <c r="PU22" s="175"/>
      <c r="PV22" s="229">
        <f t="shared" si="636"/>
        <v>0</v>
      </c>
      <c r="PW22" s="175"/>
      <c r="PX22" s="175"/>
      <c r="PY22" s="175"/>
      <c r="PZ22" s="229">
        <f t="shared" si="637"/>
        <v>0</v>
      </c>
      <c r="QA22" s="175"/>
      <c r="QB22" s="175"/>
      <c r="QC22" s="175"/>
      <c r="QD22" s="219">
        <f t="shared" si="132"/>
        <v>0</v>
      </c>
      <c r="QE22" s="175"/>
      <c r="QF22" s="175"/>
      <c r="QG22" s="175"/>
      <c r="QH22" s="175"/>
      <c r="QI22" s="175"/>
      <c r="QJ22" s="175"/>
      <c r="QK22" s="175"/>
      <c r="QL22" s="219">
        <f t="shared" si="133"/>
        <v>0</v>
      </c>
      <c r="QM22" s="175"/>
      <c r="QN22" s="175"/>
      <c r="QO22" s="175"/>
      <c r="QP22" s="175"/>
      <c r="QQ22" s="175"/>
      <c r="QR22" s="175"/>
      <c r="QS22" s="219">
        <f t="shared" si="135"/>
        <v>0</v>
      </c>
      <c r="QT22" s="175"/>
      <c r="QU22" s="175"/>
      <c r="QV22" s="175"/>
      <c r="QW22" s="175"/>
      <c r="QX22" s="175"/>
      <c r="QY22" s="175"/>
      <c r="QZ22" s="219">
        <f t="shared" si="137"/>
        <v>0</v>
      </c>
      <c r="RA22" s="175"/>
      <c r="RB22" s="175"/>
      <c r="RC22" s="175"/>
      <c r="RD22" s="175"/>
      <c r="RE22" s="175"/>
      <c r="RF22" s="175"/>
      <c r="RG22" s="219">
        <f t="shared" si="139"/>
        <v>0</v>
      </c>
      <c r="RH22" s="175"/>
      <c r="RI22" s="175"/>
      <c r="RJ22" s="175"/>
      <c r="RK22" s="175"/>
      <c r="RL22" s="175"/>
      <c r="RM22" s="175"/>
      <c r="RN22" s="219">
        <f t="shared" si="141"/>
        <v>0</v>
      </c>
      <c r="RO22" s="175"/>
      <c r="RP22" s="175"/>
      <c r="RQ22" s="175"/>
      <c r="RR22" s="175"/>
      <c r="RS22" s="175"/>
      <c r="RT22" s="175"/>
      <c r="RU22" s="219">
        <f t="shared" si="143"/>
        <v>0</v>
      </c>
      <c r="RV22" s="175"/>
      <c r="RW22" s="175"/>
      <c r="RX22" s="175"/>
      <c r="RY22" s="175"/>
      <c r="RZ22" s="175"/>
      <c r="SA22" s="175"/>
      <c r="SB22" s="175"/>
      <c r="SC22" s="219">
        <f t="shared" si="145"/>
        <v>0</v>
      </c>
      <c r="SD22" s="175"/>
      <c r="SE22" s="175"/>
      <c r="SF22" s="175"/>
      <c r="SG22" s="219">
        <f t="shared" si="147"/>
        <v>0</v>
      </c>
      <c r="SH22" s="175"/>
      <c r="SI22" s="175"/>
      <c r="SJ22" s="175"/>
      <c r="SK22" s="175"/>
      <c r="SL22" s="175"/>
      <c r="SM22" s="175"/>
      <c r="SN22" s="219">
        <f t="shared" si="149"/>
        <v>0</v>
      </c>
      <c r="SO22" s="175"/>
      <c r="SP22" s="175"/>
      <c r="SQ22" s="175"/>
      <c r="SR22" s="219">
        <f t="shared" si="151"/>
        <v>0</v>
      </c>
      <c r="SS22" s="175"/>
      <c r="ST22" s="175"/>
      <c r="SU22" s="219">
        <f t="shared" si="153"/>
        <v>0</v>
      </c>
      <c r="SV22" s="175"/>
      <c r="SW22" s="175"/>
      <c r="SX22" s="219">
        <f t="shared" si="155"/>
        <v>0</v>
      </c>
      <c r="SY22" s="175"/>
      <c r="SZ22" s="175"/>
      <c r="TA22" s="219">
        <f t="shared" si="157"/>
        <v>0</v>
      </c>
      <c r="TB22" s="175"/>
      <c r="TC22" s="175"/>
      <c r="TD22" s="175"/>
      <c r="TE22" s="175"/>
      <c r="TF22" s="175"/>
      <c r="TG22" s="175"/>
      <c r="TH22" s="175"/>
      <c r="TI22" s="175"/>
      <c r="TJ22" s="175"/>
      <c r="TK22" s="175"/>
      <c r="TL22" s="175"/>
      <c r="TM22" s="175"/>
      <c r="TN22" s="175"/>
      <c r="TO22" s="175"/>
      <c r="TP22" s="175"/>
      <c r="TQ22" s="175"/>
      <c r="TR22" s="175"/>
      <c r="TS22" s="175"/>
      <c r="TT22" s="175"/>
      <c r="TU22" s="175"/>
      <c r="TV22" s="175"/>
      <c r="TW22" s="175"/>
      <c r="TX22" s="175"/>
      <c r="TY22" s="175"/>
      <c r="TZ22" s="175"/>
      <c r="UA22" s="175"/>
      <c r="UB22" s="175"/>
      <c r="UC22" s="175"/>
    </row>
    <row r="23" spans="1:549" s="182" customFormat="1" hidden="1" x14ac:dyDescent="0.25">
      <c r="A23" s="35">
        <v>120301301</v>
      </c>
      <c r="B23" s="235">
        <v>310</v>
      </c>
      <c r="C23" s="183" t="s">
        <v>245</v>
      </c>
      <c r="D23" s="36"/>
      <c r="E23" s="229"/>
      <c r="F23" s="229"/>
      <c r="G23" s="229"/>
      <c r="H23" s="219">
        <f t="shared" si="33"/>
        <v>0</v>
      </c>
      <c r="I23" s="229"/>
      <c r="J23" s="229"/>
      <c r="K23" s="229"/>
      <c r="L23" s="219">
        <f t="shared" si="34"/>
        <v>0</v>
      </c>
      <c r="M23" s="229"/>
      <c r="N23" s="229"/>
      <c r="O23" s="219">
        <f t="shared" si="35"/>
        <v>0</v>
      </c>
      <c r="P23" s="229"/>
      <c r="Q23" s="229"/>
      <c r="R23" s="229"/>
      <c r="S23" s="229"/>
      <c r="T23" s="219">
        <f t="shared" si="36"/>
        <v>0</v>
      </c>
      <c r="U23" s="229"/>
      <c r="V23" s="229"/>
      <c r="W23" s="229"/>
      <c r="X23" s="219">
        <f t="shared" si="37"/>
        <v>0</v>
      </c>
      <c r="Y23" s="229"/>
      <c r="Z23" s="229"/>
      <c r="AA23" s="219">
        <f t="shared" si="38"/>
        <v>0</v>
      </c>
      <c r="AB23" s="229"/>
      <c r="AC23" s="229"/>
      <c r="AD23" s="219">
        <f t="shared" si="39"/>
        <v>0</v>
      </c>
      <c r="AE23" s="229"/>
      <c r="AF23" s="229"/>
      <c r="AG23" s="229"/>
      <c r="AH23" s="219">
        <f t="shared" si="40"/>
        <v>0</v>
      </c>
      <c r="AI23" s="229"/>
      <c r="AJ23" s="229"/>
      <c r="AK23" s="229"/>
      <c r="AL23" s="219">
        <f t="shared" si="41"/>
        <v>0</v>
      </c>
      <c r="AM23" s="229"/>
      <c r="AN23" s="229"/>
      <c r="AO23" s="229"/>
      <c r="AP23" s="219">
        <f t="shared" si="42"/>
        <v>0</v>
      </c>
      <c r="AQ23" s="229"/>
      <c r="AR23" s="229"/>
      <c r="AS23" s="229"/>
      <c r="AT23" s="229"/>
      <c r="AU23" s="219">
        <f t="shared" si="43"/>
        <v>0</v>
      </c>
      <c r="AV23" s="229"/>
      <c r="AW23" s="229"/>
      <c r="AX23" s="229"/>
      <c r="AY23" s="229"/>
      <c r="AZ23" s="229"/>
      <c r="BA23" s="229"/>
      <c r="BB23" s="229"/>
      <c r="BC23" s="229"/>
      <c r="BD23" s="219">
        <f t="shared" si="44"/>
        <v>0</v>
      </c>
      <c r="BE23" s="229"/>
      <c r="BF23" s="229"/>
      <c r="BG23" s="229"/>
      <c r="BH23" s="229"/>
      <c r="BI23" s="229"/>
      <c r="BJ23" s="229"/>
      <c r="BK23" s="229"/>
      <c r="BL23" s="219">
        <f t="shared" si="45"/>
        <v>0</v>
      </c>
      <c r="BM23" s="229"/>
      <c r="BN23" s="229"/>
      <c r="BO23" s="229"/>
      <c r="BP23" s="229"/>
      <c r="BQ23" s="229"/>
      <c r="BR23" s="229"/>
      <c r="BS23" s="219">
        <f t="shared" si="47"/>
        <v>0</v>
      </c>
      <c r="BT23" s="229"/>
      <c r="BU23" s="229"/>
      <c r="BV23" s="229"/>
      <c r="BW23" s="219">
        <f t="shared" si="48"/>
        <v>0</v>
      </c>
      <c r="BX23" s="229"/>
      <c r="BY23" s="229"/>
      <c r="BZ23" s="219">
        <f t="shared" si="49"/>
        <v>0</v>
      </c>
      <c r="CA23" s="229"/>
      <c r="CB23" s="229"/>
      <c r="CC23" s="219">
        <f t="shared" si="50"/>
        <v>0</v>
      </c>
      <c r="CD23" s="229"/>
      <c r="CE23" s="229"/>
      <c r="CF23" s="229"/>
      <c r="CG23" s="229"/>
      <c r="CH23" s="229"/>
      <c r="CI23" s="229"/>
      <c r="CJ23" s="229"/>
      <c r="CK23" s="229"/>
      <c r="CL23" s="219">
        <f t="shared" si="51"/>
        <v>0</v>
      </c>
      <c r="CM23" s="229"/>
      <c r="CN23" s="229"/>
      <c r="CO23" s="229"/>
      <c r="CP23" s="229"/>
      <c r="CQ23" s="219">
        <f t="shared" si="52"/>
        <v>0</v>
      </c>
      <c r="CR23" s="229"/>
      <c r="CS23" s="229"/>
      <c r="CT23" s="229"/>
      <c r="CU23" s="229"/>
      <c r="CV23" s="229"/>
      <c r="CW23" s="229"/>
      <c r="CX23" s="219">
        <f t="shared" si="53"/>
        <v>0</v>
      </c>
      <c r="CY23" s="229"/>
      <c r="CZ23" s="229"/>
      <c r="DA23" s="229"/>
      <c r="DB23" s="219">
        <f t="shared" si="54"/>
        <v>0</v>
      </c>
      <c r="DC23" s="229"/>
      <c r="DD23" s="229"/>
      <c r="DE23" s="219">
        <f t="shared" si="55"/>
        <v>0</v>
      </c>
      <c r="DF23" s="229"/>
      <c r="DG23" s="229"/>
      <c r="DH23" s="219">
        <f t="shared" si="56"/>
        <v>0</v>
      </c>
      <c r="DI23" s="229"/>
      <c r="DJ23" s="229"/>
      <c r="DK23" s="219">
        <f t="shared" si="57"/>
        <v>0</v>
      </c>
      <c r="DL23" s="229"/>
      <c r="DM23" s="229"/>
      <c r="DN23" s="229"/>
      <c r="DO23" s="229"/>
      <c r="DP23" s="229"/>
      <c r="DQ23" s="229"/>
      <c r="DR23" s="229"/>
      <c r="DS23" s="229"/>
      <c r="DT23" s="229"/>
      <c r="DU23" s="229"/>
      <c r="DV23" s="229"/>
      <c r="DW23" s="219">
        <f t="shared" si="58"/>
        <v>0</v>
      </c>
      <c r="DX23" s="229"/>
      <c r="DY23" s="229"/>
      <c r="DZ23" s="229"/>
      <c r="EA23" s="219">
        <f t="shared" si="59"/>
        <v>0</v>
      </c>
      <c r="EB23" s="229"/>
      <c r="EC23" s="229"/>
      <c r="ED23" s="229"/>
      <c r="EE23" s="229"/>
      <c r="EF23" s="229"/>
      <c r="EG23" s="229"/>
      <c r="EH23" s="219">
        <f t="shared" si="61"/>
        <v>0</v>
      </c>
      <c r="EI23" s="229"/>
      <c r="EJ23" s="229"/>
      <c r="EK23" s="229"/>
      <c r="EL23" s="219">
        <f t="shared" si="62"/>
        <v>0</v>
      </c>
      <c r="EM23" s="229"/>
      <c r="EN23" s="229"/>
      <c r="EO23" s="219">
        <f t="shared" si="63"/>
        <v>0</v>
      </c>
      <c r="EP23" s="229"/>
      <c r="EQ23" s="229"/>
      <c r="ER23" s="219">
        <f t="shared" si="64"/>
        <v>0</v>
      </c>
      <c r="ES23" s="229"/>
      <c r="ET23" s="229"/>
      <c r="EU23" s="219">
        <f t="shared" si="65"/>
        <v>0</v>
      </c>
      <c r="EV23" s="229"/>
      <c r="EW23" s="229"/>
      <c r="EX23" s="229"/>
      <c r="EY23" s="229"/>
      <c r="EZ23" s="229"/>
      <c r="FA23" s="229"/>
      <c r="FB23" s="229"/>
      <c r="FC23" s="229"/>
      <c r="FD23" s="229"/>
      <c r="FE23" s="229"/>
      <c r="FF23" s="229"/>
      <c r="FG23" s="219">
        <f t="shared" si="66"/>
        <v>0</v>
      </c>
      <c r="FH23" s="229"/>
      <c r="FI23" s="229"/>
      <c r="FJ23" s="229"/>
      <c r="FK23" s="219">
        <f t="shared" si="67"/>
        <v>0</v>
      </c>
      <c r="FL23" s="229"/>
      <c r="FM23" s="229"/>
      <c r="FN23" s="229"/>
      <c r="FO23" s="229"/>
      <c r="FP23" s="229"/>
      <c r="FQ23" s="229"/>
      <c r="FR23" s="219">
        <f t="shared" si="68"/>
        <v>0</v>
      </c>
      <c r="FS23" s="229"/>
      <c r="FT23" s="229"/>
      <c r="FU23" s="229"/>
      <c r="FV23" s="219">
        <f t="shared" si="69"/>
        <v>0</v>
      </c>
      <c r="FW23" s="229"/>
      <c r="FX23" s="229"/>
      <c r="FY23" s="219">
        <f t="shared" si="70"/>
        <v>0</v>
      </c>
      <c r="FZ23" s="229"/>
      <c r="GA23" s="229"/>
      <c r="GB23" s="219">
        <f t="shared" si="71"/>
        <v>0</v>
      </c>
      <c r="GC23" s="229"/>
      <c r="GD23" s="229"/>
      <c r="GE23" s="219">
        <f t="shared" si="72"/>
        <v>0</v>
      </c>
      <c r="GF23" s="229"/>
      <c r="GG23" s="229"/>
      <c r="GH23" s="229"/>
      <c r="GI23" s="229"/>
      <c r="GJ23" s="229"/>
      <c r="GK23" s="229"/>
      <c r="GL23" s="229"/>
      <c r="GM23" s="229"/>
      <c r="GN23" s="234">
        <f t="shared" si="73"/>
        <v>0</v>
      </c>
      <c r="GO23" s="229"/>
      <c r="GP23" s="229"/>
      <c r="GQ23" s="229"/>
      <c r="GR23" s="219">
        <f t="shared" si="3"/>
        <v>0</v>
      </c>
      <c r="GS23" s="229"/>
      <c r="GT23" s="229"/>
      <c r="GU23" s="229"/>
      <c r="GV23" s="229"/>
      <c r="GW23" s="219">
        <f t="shared" si="75"/>
        <v>0</v>
      </c>
      <c r="GX23" s="229"/>
      <c r="GY23" s="229"/>
      <c r="GZ23" s="229"/>
      <c r="HA23" s="229"/>
      <c r="HB23" s="219">
        <f t="shared" si="76"/>
        <v>0</v>
      </c>
      <c r="HC23" s="229"/>
      <c r="HD23" s="229"/>
      <c r="HE23" s="229"/>
      <c r="HF23" s="229"/>
      <c r="HG23" s="219">
        <f t="shared" si="77"/>
        <v>0</v>
      </c>
      <c r="HH23" s="229"/>
      <c r="HI23" s="229"/>
      <c r="HJ23" s="229"/>
      <c r="HK23" s="229"/>
      <c r="HL23" s="219">
        <f t="shared" si="78"/>
        <v>0</v>
      </c>
      <c r="HM23" s="229"/>
      <c r="HN23" s="229"/>
      <c r="HO23" s="229"/>
      <c r="HP23" s="229"/>
      <c r="HQ23" s="219">
        <f t="shared" si="79"/>
        <v>0</v>
      </c>
      <c r="HR23" s="229"/>
      <c r="HS23" s="229"/>
      <c r="HT23" s="229"/>
      <c r="HU23" s="229"/>
      <c r="HV23" s="219">
        <f t="shared" si="80"/>
        <v>0</v>
      </c>
      <c r="HW23" s="229"/>
      <c r="HX23" s="229"/>
      <c r="HY23" s="229"/>
      <c r="HZ23" s="219">
        <f t="shared" si="81"/>
        <v>0</v>
      </c>
      <c r="IA23" s="229"/>
      <c r="IB23" s="229"/>
      <c r="IC23" s="229"/>
      <c r="ID23" s="229"/>
      <c r="IE23" s="219">
        <f t="shared" si="82"/>
        <v>0</v>
      </c>
      <c r="IF23" s="229"/>
      <c r="IG23" s="229"/>
      <c r="IH23" s="229"/>
      <c r="II23" s="229"/>
      <c r="IJ23" s="219">
        <f t="shared" si="83"/>
        <v>0</v>
      </c>
      <c r="IK23" s="229"/>
      <c r="IL23" s="229"/>
      <c r="IM23" s="229"/>
      <c r="IN23" s="229"/>
      <c r="IO23" s="219">
        <f t="shared" si="84"/>
        <v>0</v>
      </c>
      <c r="IP23" s="229"/>
      <c r="IQ23" s="229"/>
      <c r="IR23" s="229"/>
      <c r="IS23" s="229"/>
      <c r="IT23" s="219">
        <f t="shared" si="85"/>
        <v>0</v>
      </c>
      <c r="IU23" s="229"/>
      <c r="IV23" s="229"/>
      <c r="IW23" s="229"/>
      <c r="IX23" s="219">
        <f t="shared" si="86"/>
        <v>0</v>
      </c>
      <c r="IY23" s="229"/>
      <c r="IZ23" s="229"/>
      <c r="JA23" s="229"/>
      <c r="JB23" s="219">
        <f t="shared" si="87"/>
        <v>0</v>
      </c>
      <c r="JC23" s="229"/>
      <c r="JD23" s="229"/>
      <c r="JE23" s="229"/>
      <c r="JF23" s="219">
        <f t="shared" si="88"/>
        <v>0</v>
      </c>
      <c r="JG23" s="229"/>
      <c r="JH23" s="229"/>
      <c r="JI23" s="229"/>
      <c r="JJ23" s="229"/>
      <c r="JK23" s="229"/>
      <c r="JL23" s="229"/>
      <c r="JM23" s="229"/>
      <c r="JN23" s="229"/>
      <c r="JO23" s="229"/>
      <c r="JP23" s="229"/>
      <c r="JQ23" s="229"/>
      <c r="JR23" s="229"/>
      <c r="JS23" s="229"/>
      <c r="JT23" s="229"/>
      <c r="JU23" s="229"/>
      <c r="JV23" s="229"/>
      <c r="JW23" s="229"/>
      <c r="JX23" s="229"/>
      <c r="JY23" s="229"/>
      <c r="JZ23" s="229"/>
      <c r="KA23" s="229"/>
      <c r="KB23" s="229"/>
      <c r="KC23" s="229"/>
      <c r="KD23" s="229"/>
      <c r="KE23" s="229"/>
      <c r="KF23" s="229"/>
      <c r="KG23" s="229"/>
      <c r="KH23" s="229"/>
      <c r="KI23" s="229"/>
      <c r="KJ23" s="229"/>
      <c r="KK23" s="229"/>
      <c r="KL23" s="229"/>
      <c r="KM23" s="229"/>
      <c r="KN23" s="229"/>
      <c r="KO23" s="229"/>
      <c r="KP23" s="229"/>
      <c r="KQ23" s="229"/>
      <c r="KR23" s="229"/>
      <c r="KS23" s="229"/>
      <c r="KT23" s="229"/>
      <c r="KU23" s="229"/>
      <c r="KV23" s="229"/>
      <c r="KW23" s="229"/>
      <c r="KX23" s="229"/>
      <c r="KY23" s="229"/>
      <c r="KZ23" s="219">
        <f t="shared" si="90"/>
        <v>0</v>
      </c>
      <c r="LA23" s="229"/>
      <c r="LB23" s="229"/>
      <c r="LC23" s="229"/>
      <c r="LD23" s="219">
        <f t="shared" si="91"/>
        <v>0</v>
      </c>
      <c r="LE23" s="229"/>
      <c r="LF23" s="229"/>
      <c r="LG23" s="229"/>
      <c r="LH23" s="219">
        <f t="shared" si="92"/>
        <v>0</v>
      </c>
      <c r="LI23" s="229"/>
      <c r="LJ23" s="229"/>
      <c r="LK23" s="229"/>
      <c r="LL23" s="219">
        <f t="shared" si="93"/>
        <v>0</v>
      </c>
      <c r="LM23" s="229"/>
      <c r="LN23" s="229"/>
      <c r="LO23" s="229"/>
      <c r="LP23" s="219">
        <f t="shared" si="94"/>
        <v>0</v>
      </c>
      <c r="LQ23" s="229"/>
      <c r="LR23" s="229"/>
      <c r="LS23" s="229"/>
      <c r="LT23" s="219">
        <f t="shared" si="95"/>
        <v>0</v>
      </c>
      <c r="LU23" s="219"/>
      <c r="LV23" s="219"/>
      <c r="LW23" s="219"/>
      <c r="LX23" s="219">
        <f t="shared" si="96"/>
        <v>0</v>
      </c>
      <c r="LY23" s="229"/>
      <c r="LZ23" s="229"/>
      <c r="MA23" s="229"/>
      <c r="MB23" s="219">
        <f t="shared" si="97"/>
        <v>0</v>
      </c>
      <c r="MC23" s="229"/>
      <c r="MD23" s="219">
        <f t="shared" si="98"/>
        <v>0</v>
      </c>
      <c r="ME23" s="229"/>
      <c r="MF23" s="219">
        <f t="shared" si="100"/>
        <v>0</v>
      </c>
      <c r="MG23" s="229"/>
      <c r="MH23" s="219">
        <f t="shared" si="101"/>
        <v>0</v>
      </c>
      <c r="MI23" s="229"/>
      <c r="MJ23" s="219">
        <f t="shared" si="102"/>
        <v>0</v>
      </c>
      <c r="MK23" s="229"/>
      <c r="ML23" s="219">
        <f t="shared" si="103"/>
        <v>0</v>
      </c>
      <c r="MM23" s="229"/>
      <c r="MN23" s="229"/>
      <c r="MO23" s="229"/>
      <c r="MP23" s="229"/>
      <c r="MQ23" s="229"/>
      <c r="MR23" s="229"/>
      <c r="MS23" s="229"/>
      <c r="MT23" s="229"/>
      <c r="MU23" s="229"/>
      <c r="MV23" s="229"/>
      <c r="MW23" s="219">
        <f t="shared" si="104"/>
        <v>0</v>
      </c>
      <c r="MX23" s="229"/>
      <c r="MY23" s="229"/>
      <c r="MZ23" s="229"/>
      <c r="NA23" s="219">
        <f t="shared" si="105"/>
        <v>0</v>
      </c>
      <c r="NB23" s="229"/>
      <c r="NC23" s="229"/>
      <c r="ND23" s="229"/>
      <c r="NE23" s="219">
        <f t="shared" si="106"/>
        <v>0</v>
      </c>
      <c r="NF23" s="229"/>
      <c r="NG23" s="229"/>
      <c r="NH23" s="229"/>
      <c r="NI23" s="219">
        <f t="shared" si="107"/>
        <v>0</v>
      </c>
      <c r="NJ23" s="229"/>
      <c r="NK23" s="229"/>
      <c r="NL23" s="229"/>
      <c r="NM23" s="219">
        <f t="shared" si="108"/>
        <v>0</v>
      </c>
      <c r="NN23" s="229"/>
      <c r="NO23" s="229"/>
      <c r="NP23" s="229"/>
      <c r="NQ23" s="219">
        <f t="shared" si="109"/>
        <v>0</v>
      </c>
      <c r="NR23" s="229"/>
      <c r="NS23" s="229"/>
      <c r="NT23" s="229"/>
      <c r="NU23" s="219">
        <f t="shared" si="110"/>
        <v>0</v>
      </c>
      <c r="NV23" s="236"/>
      <c r="NW23" s="236"/>
      <c r="NX23" s="236"/>
      <c r="NY23" s="219">
        <f t="shared" si="112"/>
        <v>0</v>
      </c>
      <c r="NZ23" s="236"/>
      <c r="OA23" s="236"/>
      <c r="OB23" s="236"/>
      <c r="OC23" s="219">
        <f t="shared" si="114"/>
        <v>0</v>
      </c>
      <c r="OD23" s="219"/>
      <c r="OE23" s="219"/>
      <c r="OF23" s="219"/>
      <c r="OG23" s="219"/>
      <c r="OH23" s="219"/>
      <c r="OI23" s="219"/>
      <c r="OJ23" s="219"/>
      <c r="OK23" s="219"/>
      <c r="OL23" s="219"/>
      <c r="OM23" s="219"/>
      <c r="ON23" s="219"/>
      <c r="OO23" s="219"/>
      <c r="OP23" s="219"/>
      <c r="OQ23" s="219"/>
      <c r="OR23" s="219">
        <f t="shared" si="116"/>
        <v>0</v>
      </c>
      <c r="OS23" s="175"/>
      <c r="OT23" s="175"/>
      <c r="OU23" s="175"/>
      <c r="OV23" s="175"/>
      <c r="OW23" s="175"/>
      <c r="OX23" s="229">
        <f t="shared" si="11"/>
        <v>0</v>
      </c>
      <c r="OY23" s="175"/>
      <c r="OZ23" s="175"/>
      <c r="PA23" s="175"/>
      <c r="PB23" s="229">
        <f t="shared" si="631"/>
        <v>0</v>
      </c>
      <c r="PC23" s="175"/>
      <c r="PD23" s="175"/>
      <c r="PE23" s="175"/>
      <c r="PF23" s="229">
        <f t="shared" si="632"/>
        <v>0</v>
      </c>
      <c r="PG23" s="175"/>
      <c r="PH23" s="175"/>
      <c r="PI23" s="175"/>
      <c r="PJ23" s="229">
        <f t="shared" si="633"/>
        <v>0</v>
      </c>
      <c r="PK23" s="175"/>
      <c r="PL23" s="175"/>
      <c r="PM23" s="175"/>
      <c r="PN23" s="229">
        <f t="shared" si="634"/>
        <v>0</v>
      </c>
      <c r="PO23" s="175"/>
      <c r="PP23" s="175"/>
      <c r="PQ23" s="175"/>
      <c r="PR23" s="229">
        <f t="shared" si="635"/>
        <v>0</v>
      </c>
      <c r="PS23" s="175"/>
      <c r="PT23" s="175"/>
      <c r="PU23" s="175"/>
      <c r="PV23" s="229">
        <f t="shared" si="636"/>
        <v>0</v>
      </c>
      <c r="PW23" s="175"/>
      <c r="PX23" s="175"/>
      <c r="PY23" s="175"/>
      <c r="PZ23" s="229">
        <f t="shared" si="637"/>
        <v>0</v>
      </c>
      <c r="QA23" s="175"/>
      <c r="QB23" s="175"/>
      <c r="QC23" s="175"/>
      <c r="QD23" s="219">
        <f t="shared" si="132"/>
        <v>0</v>
      </c>
      <c r="QE23" s="175"/>
      <c r="QF23" s="229"/>
      <c r="QG23" s="229"/>
      <c r="QH23" s="229"/>
      <c r="QI23" s="229"/>
      <c r="QJ23" s="229"/>
      <c r="QK23" s="229"/>
      <c r="QL23" s="219">
        <f t="shared" si="133"/>
        <v>0</v>
      </c>
      <c r="QM23" s="229"/>
      <c r="QN23" s="229"/>
      <c r="QO23" s="229"/>
      <c r="QP23" s="229"/>
      <c r="QQ23" s="229"/>
      <c r="QR23" s="229"/>
      <c r="QS23" s="219">
        <f t="shared" si="135"/>
        <v>0</v>
      </c>
      <c r="QT23" s="229"/>
      <c r="QU23" s="229"/>
      <c r="QV23" s="229"/>
      <c r="QW23" s="229"/>
      <c r="QX23" s="229"/>
      <c r="QY23" s="229"/>
      <c r="QZ23" s="219">
        <f t="shared" si="137"/>
        <v>0</v>
      </c>
      <c r="RA23" s="229"/>
      <c r="RB23" s="229"/>
      <c r="RC23" s="229"/>
      <c r="RD23" s="229"/>
      <c r="RE23" s="229"/>
      <c r="RF23" s="229"/>
      <c r="RG23" s="219">
        <f t="shared" si="139"/>
        <v>0</v>
      </c>
      <c r="RH23" s="229"/>
      <c r="RI23" s="229"/>
      <c r="RJ23" s="229"/>
      <c r="RK23" s="229"/>
      <c r="RL23" s="229"/>
      <c r="RM23" s="229"/>
      <c r="RN23" s="219">
        <f t="shared" si="141"/>
        <v>0</v>
      </c>
      <c r="RO23" s="229"/>
      <c r="RP23" s="229"/>
      <c r="RQ23" s="229"/>
      <c r="RR23" s="229"/>
      <c r="RS23" s="229"/>
      <c r="RT23" s="229"/>
      <c r="RU23" s="219">
        <f t="shared" si="143"/>
        <v>0</v>
      </c>
      <c r="RV23" s="229"/>
      <c r="RW23" s="229"/>
      <c r="RX23" s="229"/>
      <c r="RY23" s="229"/>
      <c r="RZ23" s="229"/>
      <c r="SA23" s="229"/>
      <c r="SB23" s="229"/>
      <c r="SC23" s="219">
        <f t="shared" si="145"/>
        <v>0</v>
      </c>
      <c r="SD23" s="229"/>
      <c r="SE23" s="229"/>
      <c r="SF23" s="229"/>
      <c r="SG23" s="219">
        <f t="shared" si="147"/>
        <v>0</v>
      </c>
      <c r="SH23" s="229"/>
      <c r="SI23" s="229"/>
      <c r="SJ23" s="229"/>
      <c r="SK23" s="229"/>
      <c r="SL23" s="229"/>
      <c r="SM23" s="229"/>
      <c r="SN23" s="219">
        <f t="shared" si="149"/>
        <v>0</v>
      </c>
      <c r="SO23" s="229"/>
      <c r="SP23" s="229"/>
      <c r="SQ23" s="229"/>
      <c r="SR23" s="219">
        <f t="shared" si="151"/>
        <v>0</v>
      </c>
      <c r="SS23" s="229"/>
      <c r="ST23" s="229"/>
      <c r="SU23" s="219">
        <f t="shared" si="153"/>
        <v>0</v>
      </c>
      <c r="SV23" s="229"/>
      <c r="SW23" s="229"/>
      <c r="SX23" s="219">
        <f t="shared" si="155"/>
        <v>0</v>
      </c>
      <c r="SY23" s="229"/>
      <c r="SZ23" s="229"/>
      <c r="TA23" s="219">
        <f t="shared" si="157"/>
        <v>0</v>
      </c>
      <c r="TB23" s="229"/>
      <c r="TC23" s="229"/>
      <c r="TD23" s="229"/>
      <c r="TE23" s="229"/>
      <c r="TF23" s="229"/>
      <c r="TG23" s="229"/>
      <c r="TH23" s="175"/>
      <c r="TI23" s="175"/>
      <c r="TJ23" s="175"/>
      <c r="TK23" s="175"/>
      <c r="TL23" s="175"/>
      <c r="TM23" s="175"/>
      <c r="TN23" s="175"/>
      <c r="TO23" s="175"/>
      <c r="TP23" s="229"/>
      <c r="TQ23" s="229"/>
      <c r="TR23" s="229"/>
      <c r="TS23" s="175"/>
      <c r="TT23" s="175"/>
      <c r="TU23" s="175"/>
      <c r="TV23" s="175"/>
      <c r="TW23" s="175"/>
      <c r="TX23" s="175"/>
      <c r="TY23" s="175"/>
      <c r="TZ23" s="175"/>
      <c r="UA23" s="175"/>
      <c r="UB23" s="175"/>
      <c r="UC23" s="175"/>
    </row>
    <row r="24" spans="1:549" s="182" customFormat="1" hidden="1" x14ac:dyDescent="0.25">
      <c r="A24" s="35">
        <v>120301302</v>
      </c>
      <c r="B24" s="235">
        <v>311</v>
      </c>
      <c r="C24" s="183" t="s">
        <v>246</v>
      </c>
      <c r="D24" s="36"/>
      <c r="E24" s="229"/>
      <c r="F24" s="229"/>
      <c r="G24" s="229"/>
      <c r="H24" s="219">
        <f t="shared" si="33"/>
        <v>0</v>
      </c>
      <c r="I24" s="229"/>
      <c r="J24" s="229"/>
      <c r="K24" s="229"/>
      <c r="L24" s="219">
        <f t="shared" si="34"/>
        <v>0</v>
      </c>
      <c r="M24" s="229"/>
      <c r="N24" s="229"/>
      <c r="O24" s="219">
        <f t="shared" si="35"/>
        <v>0</v>
      </c>
      <c r="P24" s="229"/>
      <c r="Q24" s="229"/>
      <c r="R24" s="229"/>
      <c r="S24" s="229"/>
      <c r="T24" s="219">
        <f t="shared" si="36"/>
        <v>0</v>
      </c>
      <c r="U24" s="229"/>
      <c r="V24" s="229"/>
      <c r="W24" s="229"/>
      <c r="X24" s="219">
        <f t="shared" si="37"/>
        <v>0</v>
      </c>
      <c r="Y24" s="229"/>
      <c r="Z24" s="229"/>
      <c r="AA24" s="219">
        <f t="shared" si="38"/>
        <v>0</v>
      </c>
      <c r="AB24" s="229"/>
      <c r="AC24" s="229"/>
      <c r="AD24" s="219">
        <f t="shared" si="39"/>
        <v>0</v>
      </c>
      <c r="AE24" s="229"/>
      <c r="AF24" s="229"/>
      <c r="AG24" s="229"/>
      <c r="AH24" s="219">
        <f t="shared" si="40"/>
        <v>0</v>
      </c>
      <c r="AI24" s="229"/>
      <c r="AJ24" s="229"/>
      <c r="AK24" s="229"/>
      <c r="AL24" s="219">
        <f t="shared" si="41"/>
        <v>0</v>
      </c>
      <c r="AM24" s="229"/>
      <c r="AN24" s="229"/>
      <c r="AO24" s="229"/>
      <c r="AP24" s="219">
        <f t="shared" si="42"/>
        <v>0</v>
      </c>
      <c r="AQ24" s="229"/>
      <c r="AR24" s="229"/>
      <c r="AS24" s="229"/>
      <c r="AT24" s="229"/>
      <c r="AU24" s="219">
        <f t="shared" si="43"/>
        <v>0</v>
      </c>
      <c r="AV24" s="229"/>
      <c r="AW24" s="229"/>
      <c r="AX24" s="229"/>
      <c r="AY24" s="229"/>
      <c r="AZ24" s="229"/>
      <c r="BA24" s="229"/>
      <c r="BB24" s="229"/>
      <c r="BC24" s="229"/>
      <c r="BD24" s="219">
        <f t="shared" si="44"/>
        <v>0</v>
      </c>
      <c r="BE24" s="229"/>
      <c r="BF24" s="229"/>
      <c r="BG24" s="229"/>
      <c r="BH24" s="229"/>
      <c r="BI24" s="229"/>
      <c r="BJ24" s="229"/>
      <c r="BK24" s="229"/>
      <c r="BL24" s="219">
        <f t="shared" si="45"/>
        <v>0</v>
      </c>
      <c r="BM24" s="229"/>
      <c r="BN24" s="229"/>
      <c r="BO24" s="229"/>
      <c r="BP24" s="229"/>
      <c r="BQ24" s="229"/>
      <c r="BR24" s="229"/>
      <c r="BS24" s="219">
        <f t="shared" si="47"/>
        <v>0</v>
      </c>
      <c r="BT24" s="229"/>
      <c r="BU24" s="229"/>
      <c r="BV24" s="229"/>
      <c r="BW24" s="219">
        <f t="shared" si="48"/>
        <v>0</v>
      </c>
      <c r="BX24" s="229"/>
      <c r="BY24" s="229"/>
      <c r="BZ24" s="219">
        <f t="shared" si="49"/>
        <v>0</v>
      </c>
      <c r="CA24" s="229"/>
      <c r="CB24" s="229"/>
      <c r="CC24" s="219">
        <f t="shared" si="50"/>
        <v>0</v>
      </c>
      <c r="CD24" s="229"/>
      <c r="CE24" s="229"/>
      <c r="CF24" s="229"/>
      <c r="CG24" s="229"/>
      <c r="CH24" s="229"/>
      <c r="CI24" s="229"/>
      <c r="CJ24" s="229"/>
      <c r="CK24" s="229"/>
      <c r="CL24" s="219">
        <f t="shared" si="51"/>
        <v>0</v>
      </c>
      <c r="CM24" s="229"/>
      <c r="CN24" s="229"/>
      <c r="CO24" s="229"/>
      <c r="CP24" s="229"/>
      <c r="CQ24" s="219">
        <f t="shared" si="52"/>
        <v>0</v>
      </c>
      <c r="CR24" s="229"/>
      <c r="CS24" s="229"/>
      <c r="CT24" s="229"/>
      <c r="CU24" s="229"/>
      <c r="CV24" s="229"/>
      <c r="CW24" s="229"/>
      <c r="CX24" s="219">
        <f t="shared" si="53"/>
        <v>0</v>
      </c>
      <c r="CY24" s="229"/>
      <c r="CZ24" s="229"/>
      <c r="DA24" s="229"/>
      <c r="DB24" s="219">
        <f t="shared" si="54"/>
        <v>0</v>
      </c>
      <c r="DC24" s="229"/>
      <c r="DD24" s="229"/>
      <c r="DE24" s="219">
        <f t="shared" si="55"/>
        <v>0</v>
      </c>
      <c r="DF24" s="229"/>
      <c r="DG24" s="229"/>
      <c r="DH24" s="219">
        <f t="shared" si="56"/>
        <v>0</v>
      </c>
      <c r="DI24" s="229"/>
      <c r="DJ24" s="229"/>
      <c r="DK24" s="219">
        <f t="shared" si="57"/>
        <v>0</v>
      </c>
      <c r="DL24" s="229"/>
      <c r="DM24" s="229"/>
      <c r="DN24" s="229"/>
      <c r="DO24" s="229"/>
      <c r="DP24" s="229"/>
      <c r="DQ24" s="229"/>
      <c r="DR24" s="229"/>
      <c r="DS24" s="229"/>
      <c r="DT24" s="229"/>
      <c r="DU24" s="229"/>
      <c r="DV24" s="229"/>
      <c r="DW24" s="219">
        <f t="shared" si="58"/>
        <v>0</v>
      </c>
      <c r="DX24" s="229"/>
      <c r="DY24" s="229"/>
      <c r="DZ24" s="229"/>
      <c r="EA24" s="219">
        <f t="shared" si="59"/>
        <v>0</v>
      </c>
      <c r="EB24" s="229"/>
      <c r="EC24" s="229"/>
      <c r="ED24" s="229"/>
      <c r="EE24" s="229"/>
      <c r="EF24" s="229"/>
      <c r="EG24" s="229"/>
      <c r="EH24" s="219">
        <f t="shared" si="61"/>
        <v>0</v>
      </c>
      <c r="EI24" s="229"/>
      <c r="EJ24" s="229"/>
      <c r="EK24" s="229"/>
      <c r="EL24" s="219">
        <f t="shared" si="62"/>
        <v>0</v>
      </c>
      <c r="EM24" s="229"/>
      <c r="EN24" s="229"/>
      <c r="EO24" s="219">
        <f t="shared" si="63"/>
        <v>0</v>
      </c>
      <c r="EP24" s="229"/>
      <c r="EQ24" s="229"/>
      <c r="ER24" s="219">
        <f t="shared" si="64"/>
        <v>0</v>
      </c>
      <c r="ES24" s="229"/>
      <c r="ET24" s="229"/>
      <c r="EU24" s="219">
        <f t="shared" si="65"/>
        <v>0</v>
      </c>
      <c r="EV24" s="229"/>
      <c r="EW24" s="229"/>
      <c r="EX24" s="229"/>
      <c r="EY24" s="229"/>
      <c r="EZ24" s="229"/>
      <c r="FA24" s="229"/>
      <c r="FB24" s="229"/>
      <c r="FC24" s="229"/>
      <c r="FD24" s="229"/>
      <c r="FE24" s="229"/>
      <c r="FF24" s="229"/>
      <c r="FG24" s="219">
        <f t="shared" si="66"/>
        <v>0</v>
      </c>
      <c r="FH24" s="229"/>
      <c r="FI24" s="229"/>
      <c r="FJ24" s="229"/>
      <c r="FK24" s="219">
        <f t="shared" si="67"/>
        <v>0</v>
      </c>
      <c r="FL24" s="229"/>
      <c r="FM24" s="229"/>
      <c r="FN24" s="229"/>
      <c r="FO24" s="229"/>
      <c r="FP24" s="229"/>
      <c r="FQ24" s="229"/>
      <c r="FR24" s="219">
        <f t="shared" si="68"/>
        <v>0</v>
      </c>
      <c r="FS24" s="229"/>
      <c r="FT24" s="229"/>
      <c r="FU24" s="229"/>
      <c r="FV24" s="219">
        <f t="shared" si="69"/>
        <v>0</v>
      </c>
      <c r="FW24" s="229"/>
      <c r="FX24" s="229"/>
      <c r="FY24" s="219">
        <f t="shared" si="70"/>
        <v>0</v>
      </c>
      <c r="FZ24" s="229"/>
      <c r="GA24" s="229"/>
      <c r="GB24" s="219">
        <f t="shared" si="71"/>
        <v>0</v>
      </c>
      <c r="GC24" s="229"/>
      <c r="GD24" s="229"/>
      <c r="GE24" s="219">
        <v>0</v>
      </c>
      <c r="GF24" s="229"/>
      <c r="GG24" s="229"/>
      <c r="GH24" s="229"/>
      <c r="GI24" s="229"/>
      <c r="GJ24" s="229"/>
      <c r="GK24" s="229"/>
      <c r="GL24" s="229"/>
      <c r="GM24" s="229"/>
      <c r="GN24" s="234">
        <f t="shared" si="73"/>
        <v>0</v>
      </c>
      <c r="GO24" s="229"/>
      <c r="GP24" s="229"/>
      <c r="GQ24" s="229"/>
      <c r="GR24" s="219">
        <f t="shared" si="3"/>
        <v>0</v>
      </c>
      <c r="GS24" s="229"/>
      <c r="GT24" s="229"/>
      <c r="GU24" s="229"/>
      <c r="GV24" s="229"/>
      <c r="GW24" s="219">
        <f t="shared" si="75"/>
        <v>0</v>
      </c>
      <c r="GX24" s="229"/>
      <c r="GY24" s="229"/>
      <c r="GZ24" s="229"/>
      <c r="HA24" s="229"/>
      <c r="HB24" s="219">
        <f t="shared" si="76"/>
        <v>0</v>
      </c>
      <c r="HC24" s="229"/>
      <c r="HD24" s="229"/>
      <c r="HE24" s="229"/>
      <c r="HF24" s="229"/>
      <c r="HG24" s="219">
        <f t="shared" si="77"/>
        <v>0</v>
      </c>
      <c r="HH24" s="229"/>
      <c r="HI24" s="229"/>
      <c r="HJ24" s="229"/>
      <c r="HK24" s="229"/>
      <c r="HL24" s="219">
        <f t="shared" si="78"/>
        <v>0</v>
      </c>
      <c r="HM24" s="229"/>
      <c r="HN24" s="229"/>
      <c r="HO24" s="229"/>
      <c r="HP24" s="229"/>
      <c r="HQ24" s="219">
        <f t="shared" si="79"/>
        <v>0</v>
      </c>
      <c r="HR24" s="229"/>
      <c r="HS24" s="229"/>
      <c r="HT24" s="229"/>
      <c r="HU24" s="229"/>
      <c r="HV24" s="219">
        <f t="shared" si="80"/>
        <v>0</v>
      </c>
      <c r="HW24" s="229"/>
      <c r="HX24" s="229"/>
      <c r="HY24" s="229"/>
      <c r="HZ24" s="219">
        <f t="shared" si="81"/>
        <v>0</v>
      </c>
      <c r="IA24" s="229"/>
      <c r="IB24" s="229"/>
      <c r="IC24" s="229"/>
      <c r="ID24" s="229"/>
      <c r="IE24" s="219">
        <f t="shared" si="82"/>
        <v>0</v>
      </c>
      <c r="IF24" s="229"/>
      <c r="IG24" s="229"/>
      <c r="IH24" s="229"/>
      <c r="II24" s="229"/>
      <c r="IJ24" s="219">
        <f t="shared" si="83"/>
        <v>0</v>
      </c>
      <c r="IK24" s="229"/>
      <c r="IL24" s="229"/>
      <c r="IM24" s="229"/>
      <c r="IN24" s="229"/>
      <c r="IO24" s="219">
        <f t="shared" si="84"/>
        <v>0</v>
      </c>
      <c r="IP24" s="229"/>
      <c r="IQ24" s="229"/>
      <c r="IR24" s="229"/>
      <c r="IS24" s="229"/>
      <c r="IT24" s="219">
        <v>0</v>
      </c>
      <c r="IU24" s="229"/>
      <c r="IV24" s="229"/>
      <c r="IW24" s="229"/>
      <c r="IX24" s="219">
        <f t="shared" si="86"/>
        <v>0</v>
      </c>
      <c r="IY24" s="229"/>
      <c r="IZ24" s="229"/>
      <c r="JA24" s="229"/>
      <c r="JB24" s="219">
        <f t="shared" si="87"/>
        <v>0</v>
      </c>
      <c r="JC24" s="229"/>
      <c r="JD24" s="229"/>
      <c r="JE24" s="229"/>
      <c r="JF24" s="219">
        <f t="shared" si="88"/>
        <v>0</v>
      </c>
      <c r="JG24" s="229"/>
      <c r="JH24" s="229"/>
      <c r="JI24" s="229"/>
      <c r="JJ24" s="229"/>
      <c r="JK24" s="229"/>
      <c r="JL24" s="229"/>
      <c r="JM24" s="229"/>
      <c r="JN24" s="229"/>
      <c r="JO24" s="229"/>
      <c r="JP24" s="229"/>
      <c r="JQ24" s="229"/>
      <c r="JR24" s="229"/>
      <c r="JS24" s="229"/>
      <c r="JT24" s="229"/>
      <c r="JU24" s="229"/>
      <c r="JV24" s="229"/>
      <c r="JW24" s="229"/>
      <c r="JX24" s="229"/>
      <c r="JY24" s="229"/>
      <c r="JZ24" s="229"/>
      <c r="KA24" s="229"/>
      <c r="KB24" s="229"/>
      <c r="KC24" s="229"/>
      <c r="KD24" s="229"/>
      <c r="KE24" s="229"/>
      <c r="KF24" s="229"/>
      <c r="KG24" s="229"/>
      <c r="KH24" s="229"/>
      <c r="KI24" s="229"/>
      <c r="KJ24" s="229"/>
      <c r="KK24" s="229"/>
      <c r="KL24" s="229"/>
      <c r="KM24" s="229"/>
      <c r="KN24" s="229"/>
      <c r="KO24" s="229"/>
      <c r="KP24" s="229"/>
      <c r="KQ24" s="229"/>
      <c r="KR24" s="229"/>
      <c r="KS24" s="229"/>
      <c r="KT24" s="229"/>
      <c r="KU24" s="229"/>
      <c r="KV24" s="229"/>
      <c r="KW24" s="229"/>
      <c r="KX24" s="229"/>
      <c r="KY24" s="229"/>
      <c r="KZ24" s="219">
        <f t="shared" si="90"/>
        <v>0</v>
      </c>
      <c r="LA24" s="229"/>
      <c r="LB24" s="229"/>
      <c r="LC24" s="229"/>
      <c r="LD24" s="219">
        <f t="shared" si="91"/>
        <v>0</v>
      </c>
      <c r="LE24" s="229"/>
      <c r="LF24" s="229"/>
      <c r="LG24" s="229"/>
      <c r="LH24" s="219">
        <f t="shared" si="92"/>
        <v>0</v>
      </c>
      <c r="LI24" s="229"/>
      <c r="LJ24" s="229"/>
      <c r="LK24" s="229"/>
      <c r="LL24" s="219">
        <f t="shared" si="93"/>
        <v>0</v>
      </c>
      <c r="LM24" s="229"/>
      <c r="LN24" s="229"/>
      <c r="LO24" s="229"/>
      <c r="LP24" s="219">
        <f t="shared" si="94"/>
        <v>0</v>
      </c>
      <c r="LQ24" s="229"/>
      <c r="LR24" s="229"/>
      <c r="LS24" s="229"/>
      <c r="LT24" s="219">
        <f t="shared" si="95"/>
        <v>0</v>
      </c>
      <c r="LU24" s="219"/>
      <c r="LV24" s="219"/>
      <c r="LW24" s="219"/>
      <c r="LX24" s="219">
        <f t="shared" si="96"/>
        <v>0</v>
      </c>
      <c r="LY24" s="229"/>
      <c r="LZ24" s="229"/>
      <c r="MA24" s="229"/>
      <c r="MB24" s="219">
        <f t="shared" si="97"/>
        <v>0</v>
      </c>
      <c r="MC24" s="229"/>
      <c r="MD24" s="219">
        <f t="shared" si="98"/>
        <v>0</v>
      </c>
      <c r="ME24" s="229"/>
      <c r="MF24" s="219">
        <f t="shared" si="100"/>
        <v>0</v>
      </c>
      <c r="MG24" s="229"/>
      <c r="MH24" s="219">
        <f t="shared" si="101"/>
        <v>0</v>
      </c>
      <c r="MI24" s="229"/>
      <c r="MJ24" s="219">
        <f t="shared" si="102"/>
        <v>0</v>
      </c>
      <c r="MK24" s="229"/>
      <c r="ML24" s="219">
        <f t="shared" si="103"/>
        <v>0</v>
      </c>
      <c r="MM24" s="229"/>
      <c r="MN24" s="229"/>
      <c r="MO24" s="229"/>
      <c r="MP24" s="229"/>
      <c r="MQ24" s="229"/>
      <c r="MR24" s="229"/>
      <c r="MS24" s="229"/>
      <c r="MT24" s="229"/>
      <c r="MU24" s="229"/>
      <c r="MV24" s="229"/>
      <c r="MW24" s="219">
        <f t="shared" si="104"/>
        <v>0</v>
      </c>
      <c r="MX24" s="229"/>
      <c r="MY24" s="229"/>
      <c r="MZ24" s="229"/>
      <c r="NA24" s="219">
        <f t="shared" si="105"/>
        <v>0</v>
      </c>
      <c r="NB24" s="229"/>
      <c r="NC24" s="229"/>
      <c r="ND24" s="229"/>
      <c r="NE24" s="219">
        <f t="shared" si="106"/>
        <v>0</v>
      </c>
      <c r="NF24" s="229"/>
      <c r="NG24" s="229"/>
      <c r="NH24" s="229"/>
      <c r="NI24" s="219">
        <f t="shared" si="107"/>
        <v>0</v>
      </c>
      <c r="NJ24" s="229"/>
      <c r="NK24" s="229"/>
      <c r="NL24" s="229"/>
      <c r="NM24" s="219">
        <f t="shared" si="108"/>
        <v>0</v>
      </c>
      <c r="NN24" s="229"/>
      <c r="NO24" s="229"/>
      <c r="NP24" s="229"/>
      <c r="NQ24" s="219">
        <f t="shared" si="109"/>
        <v>0</v>
      </c>
      <c r="NR24" s="229"/>
      <c r="NS24" s="229"/>
      <c r="NT24" s="229"/>
      <c r="NU24" s="219">
        <f t="shared" si="110"/>
        <v>0</v>
      </c>
      <c r="NV24" s="236"/>
      <c r="NW24" s="236"/>
      <c r="NX24" s="236"/>
      <c r="NY24" s="219">
        <f t="shared" si="112"/>
        <v>0</v>
      </c>
      <c r="NZ24" s="236"/>
      <c r="OA24" s="236"/>
      <c r="OB24" s="236"/>
      <c r="OC24" s="219">
        <f t="shared" si="114"/>
        <v>0</v>
      </c>
      <c r="OD24" s="219"/>
      <c r="OE24" s="219"/>
      <c r="OF24" s="219"/>
      <c r="OG24" s="219"/>
      <c r="OH24" s="219"/>
      <c r="OI24" s="219"/>
      <c r="OJ24" s="219"/>
      <c r="OK24" s="219"/>
      <c r="OL24" s="219"/>
      <c r="OM24" s="219"/>
      <c r="ON24" s="219"/>
      <c r="OO24" s="219"/>
      <c r="OP24" s="219"/>
      <c r="OQ24" s="219"/>
      <c r="OR24" s="219">
        <f t="shared" si="116"/>
        <v>0</v>
      </c>
      <c r="OS24" s="175"/>
      <c r="OT24" s="175"/>
      <c r="OU24" s="175"/>
      <c r="OV24" s="175"/>
      <c r="OW24" s="175"/>
      <c r="OX24" s="229">
        <f t="shared" si="11"/>
        <v>0</v>
      </c>
      <c r="OY24" s="175"/>
      <c r="OZ24" s="175"/>
      <c r="PA24" s="175"/>
      <c r="PB24" s="229">
        <f t="shared" si="631"/>
        <v>0</v>
      </c>
      <c r="PC24" s="175"/>
      <c r="PD24" s="175"/>
      <c r="PE24" s="175"/>
      <c r="PF24" s="229">
        <f t="shared" si="632"/>
        <v>0</v>
      </c>
      <c r="PG24" s="175"/>
      <c r="PH24" s="175"/>
      <c r="PI24" s="175"/>
      <c r="PJ24" s="229">
        <f t="shared" si="633"/>
        <v>0</v>
      </c>
      <c r="PK24" s="175"/>
      <c r="PL24" s="175"/>
      <c r="PM24" s="175"/>
      <c r="PN24" s="229">
        <f t="shared" si="634"/>
        <v>0</v>
      </c>
      <c r="PO24" s="175"/>
      <c r="PP24" s="175"/>
      <c r="PQ24" s="175"/>
      <c r="PR24" s="229">
        <f t="shared" si="635"/>
        <v>0</v>
      </c>
      <c r="PS24" s="175"/>
      <c r="PT24" s="175"/>
      <c r="PU24" s="175"/>
      <c r="PV24" s="229">
        <f t="shared" si="636"/>
        <v>0</v>
      </c>
      <c r="PW24" s="175"/>
      <c r="PX24" s="175"/>
      <c r="PY24" s="175"/>
      <c r="PZ24" s="229">
        <f t="shared" si="637"/>
        <v>0</v>
      </c>
      <c r="QA24" s="175"/>
      <c r="QB24" s="175"/>
      <c r="QC24" s="175"/>
      <c r="QD24" s="219">
        <f t="shared" si="132"/>
        <v>0</v>
      </c>
      <c r="QE24" s="175"/>
      <c r="QF24" s="229"/>
      <c r="QG24" s="229"/>
      <c r="QH24" s="229"/>
      <c r="QI24" s="229"/>
      <c r="QJ24" s="229"/>
      <c r="QK24" s="229"/>
      <c r="QL24" s="219">
        <f t="shared" si="133"/>
        <v>0</v>
      </c>
      <c r="QM24" s="229"/>
      <c r="QN24" s="229"/>
      <c r="QO24" s="229"/>
      <c r="QP24" s="229"/>
      <c r="QQ24" s="229"/>
      <c r="QR24" s="229"/>
      <c r="QS24" s="219">
        <f t="shared" si="135"/>
        <v>0</v>
      </c>
      <c r="QT24" s="229"/>
      <c r="QU24" s="229"/>
      <c r="QV24" s="229"/>
      <c r="QW24" s="229"/>
      <c r="QX24" s="229"/>
      <c r="QY24" s="229"/>
      <c r="QZ24" s="219">
        <f t="shared" si="137"/>
        <v>0</v>
      </c>
      <c r="RA24" s="229"/>
      <c r="RB24" s="229"/>
      <c r="RC24" s="229"/>
      <c r="RD24" s="229"/>
      <c r="RE24" s="229"/>
      <c r="RF24" s="229"/>
      <c r="RG24" s="219">
        <f t="shared" si="139"/>
        <v>0</v>
      </c>
      <c r="RH24" s="229"/>
      <c r="RI24" s="229"/>
      <c r="RJ24" s="229"/>
      <c r="RK24" s="229"/>
      <c r="RL24" s="229"/>
      <c r="RM24" s="229"/>
      <c r="RN24" s="219">
        <f t="shared" si="141"/>
        <v>0</v>
      </c>
      <c r="RO24" s="229"/>
      <c r="RP24" s="229"/>
      <c r="RQ24" s="229"/>
      <c r="RR24" s="229"/>
      <c r="RS24" s="229"/>
      <c r="RT24" s="229"/>
      <c r="RU24" s="219">
        <f t="shared" si="143"/>
        <v>0</v>
      </c>
      <c r="RV24" s="229"/>
      <c r="RW24" s="229"/>
      <c r="RX24" s="229"/>
      <c r="RY24" s="229"/>
      <c r="RZ24" s="229"/>
      <c r="SA24" s="229"/>
      <c r="SB24" s="229"/>
      <c r="SC24" s="219">
        <f t="shared" si="145"/>
        <v>0</v>
      </c>
      <c r="SD24" s="229"/>
      <c r="SE24" s="229"/>
      <c r="SF24" s="229"/>
      <c r="SG24" s="219">
        <f t="shared" si="147"/>
        <v>0</v>
      </c>
      <c r="SH24" s="229"/>
      <c r="SI24" s="229"/>
      <c r="SJ24" s="229"/>
      <c r="SK24" s="229"/>
      <c r="SL24" s="229"/>
      <c r="SM24" s="229"/>
      <c r="SN24" s="219">
        <f t="shared" si="149"/>
        <v>0</v>
      </c>
      <c r="SO24" s="229"/>
      <c r="SP24" s="229"/>
      <c r="SQ24" s="229"/>
      <c r="SR24" s="219">
        <f t="shared" si="151"/>
        <v>0</v>
      </c>
      <c r="SS24" s="229"/>
      <c r="ST24" s="229"/>
      <c r="SU24" s="219">
        <f t="shared" si="153"/>
        <v>0</v>
      </c>
      <c r="SV24" s="229"/>
      <c r="SW24" s="229"/>
      <c r="SX24" s="219">
        <f t="shared" si="155"/>
        <v>0</v>
      </c>
      <c r="SY24" s="229"/>
      <c r="SZ24" s="229"/>
      <c r="TA24" s="219">
        <f t="shared" si="157"/>
        <v>0</v>
      </c>
      <c r="TB24" s="229"/>
      <c r="TC24" s="229"/>
      <c r="TD24" s="229"/>
      <c r="TE24" s="229"/>
      <c r="TF24" s="229"/>
      <c r="TG24" s="229"/>
      <c r="TH24" s="175"/>
      <c r="TI24" s="175"/>
      <c r="TJ24" s="175"/>
      <c r="TK24" s="175"/>
      <c r="TL24" s="175"/>
      <c r="TM24" s="175"/>
      <c r="TN24" s="175"/>
      <c r="TO24" s="175"/>
      <c r="TP24" s="229"/>
      <c r="TQ24" s="229"/>
      <c r="TR24" s="229"/>
      <c r="TS24" s="175"/>
      <c r="TT24" s="175"/>
      <c r="TU24" s="175"/>
      <c r="TV24" s="175"/>
      <c r="TW24" s="175"/>
      <c r="TX24" s="175"/>
      <c r="TY24" s="175"/>
      <c r="TZ24" s="175"/>
      <c r="UA24" s="175"/>
      <c r="UB24" s="175"/>
      <c r="UC24" s="175"/>
    </row>
    <row r="25" spans="1:549" s="182" customFormat="1" hidden="1" x14ac:dyDescent="0.25">
      <c r="A25" s="35">
        <v>120301303</v>
      </c>
      <c r="B25" s="235">
        <v>312</v>
      </c>
      <c r="C25" s="183" t="s">
        <v>247</v>
      </c>
      <c r="D25" s="36"/>
      <c r="E25" s="229"/>
      <c r="F25" s="229"/>
      <c r="G25" s="229"/>
      <c r="H25" s="219">
        <f t="shared" si="33"/>
        <v>0</v>
      </c>
      <c r="I25" s="229"/>
      <c r="J25" s="229"/>
      <c r="K25" s="229"/>
      <c r="L25" s="219">
        <f t="shared" si="34"/>
        <v>0</v>
      </c>
      <c r="M25" s="229"/>
      <c r="N25" s="229"/>
      <c r="O25" s="219">
        <f t="shared" si="35"/>
        <v>0</v>
      </c>
      <c r="P25" s="229"/>
      <c r="Q25" s="229"/>
      <c r="R25" s="229"/>
      <c r="S25" s="229"/>
      <c r="T25" s="219">
        <f t="shared" si="36"/>
        <v>0</v>
      </c>
      <c r="U25" s="229"/>
      <c r="V25" s="229"/>
      <c r="W25" s="229"/>
      <c r="X25" s="219">
        <f t="shared" si="37"/>
        <v>0</v>
      </c>
      <c r="Y25" s="229"/>
      <c r="Z25" s="229"/>
      <c r="AA25" s="219">
        <f t="shared" si="38"/>
        <v>0</v>
      </c>
      <c r="AB25" s="229"/>
      <c r="AC25" s="229"/>
      <c r="AD25" s="219">
        <f t="shared" si="39"/>
        <v>0</v>
      </c>
      <c r="AE25" s="229"/>
      <c r="AF25" s="229"/>
      <c r="AG25" s="229"/>
      <c r="AH25" s="219">
        <f t="shared" si="40"/>
        <v>0</v>
      </c>
      <c r="AI25" s="229"/>
      <c r="AJ25" s="229"/>
      <c r="AK25" s="229"/>
      <c r="AL25" s="219">
        <f t="shared" si="41"/>
        <v>0</v>
      </c>
      <c r="AM25" s="229"/>
      <c r="AN25" s="229"/>
      <c r="AO25" s="229"/>
      <c r="AP25" s="219">
        <f t="shared" si="42"/>
        <v>0</v>
      </c>
      <c r="AQ25" s="229"/>
      <c r="AR25" s="229"/>
      <c r="AS25" s="229"/>
      <c r="AT25" s="229"/>
      <c r="AU25" s="219">
        <f t="shared" si="43"/>
        <v>0</v>
      </c>
      <c r="AV25" s="229"/>
      <c r="AW25" s="229"/>
      <c r="AX25" s="229"/>
      <c r="AY25" s="229"/>
      <c r="AZ25" s="229"/>
      <c r="BA25" s="229"/>
      <c r="BB25" s="229"/>
      <c r="BC25" s="229"/>
      <c r="BD25" s="219">
        <f t="shared" si="44"/>
        <v>0</v>
      </c>
      <c r="BE25" s="229"/>
      <c r="BF25" s="229"/>
      <c r="BG25" s="229"/>
      <c r="BH25" s="229"/>
      <c r="BI25" s="229"/>
      <c r="BJ25" s="229"/>
      <c r="BK25" s="229"/>
      <c r="BL25" s="219">
        <f t="shared" si="45"/>
        <v>0</v>
      </c>
      <c r="BM25" s="229"/>
      <c r="BN25" s="229"/>
      <c r="BO25" s="229"/>
      <c r="BP25" s="229"/>
      <c r="BQ25" s="229"/>
      <c r="BR25" s="229"/>
      <c r="BS25" s="219">
        <f t="shared" si="47"/>
        <v>0</v>
      </c>
      <c r="BT25" s="229"/>
      <c r="BU25" s="229"/>
      <c r="BV25" s="229"/>
      <c r="BW25" s="219">
        <f t="shared" si="48"/>
        <v>0</v>
      </c>
      <c r="BX25" s="229"/>
      <c r="BY25" s="229"/>
      <c r="BZ25" s="219">
        <f t="shared" si="49"/>
        <v>0</v>
      </c>
      <c r="CA25" s="229"/>
      <c r="CB25" s="229"/>
      <c r="CC25" s="219">
        <f t="shared" si="50"/>
        <v>0</v>
      </c>
      <c r="CD25" s="229"/>
      <c r="CE25" s="229"/>
      <c r="CF25" s="229"/>
      <c r="CG25" s="229"/>
      <c r="CH25" s="229"/>
      <c r="CI25" s="229"/>
      <c r="CJ25" s="229"/>
      <c r="CK25" s="229"/>
      <c r="CL25" s="219">
        <f t="shared" si="51"/>
        <v>0</v>
      </c>
      <c r="CM25" s="229"/>
      <c r="CN25" s="229"/>
      <c r="CO25" s="229"/>
      <c r="CP25" s="229"/>
      <c r="CQ25" s="219">
        <f t="shared" si="52"/>
        <v>0</v>
      </c>
      <c r="CR25" s="229"/>
      <c r="CS25" s="229"/>
      <c r="CT25" s="229"/>
      <c r="CU25" s="229"/>
      <c r="CV25" s="229"/>
      <c r="CW25" s="229"/>
      <c r="CX25" s="219">
        <f t="shared" si="53"/>
        <v>0</v>
      </c>
      <c r="CY25" s="229"/>
      <c r="CZ25" s="229"/>
      <c r="DA25" s="229"/>
      <c r="DB25" s="219">
        <f t="shared" si="54"/>
        <v>0</v>
      </c>
      <c r="DC25" s="229"/>
      <c r="DD25" s="229"/>
      <c r="DE25" s="219">
        <f t="shared" si="55"/>
        <v>0</v>
      </c>
      <c r="DF25" s="229"/>
      <c r="DG25" s="229"/>
      <c r="DH25" s="219">
        <f t="shared" si="56"/>
        <v>0</v>
      </c>
      <c r="DI25" s="229"/>
      <c r="DJ25" s="229"/>
      <c r="DK25" s="219">
        <f t="shared" si="57"/>
        <v>0</v>
      </c>
      <c r="DL25" s="229"/>
      <c r="DM25" s="229"/>
      <c r="DN25" s="229"/>
      <c r="DO25" s="229"/>
      <c r="DP25" s="229"/>
      <c r="DQ25" s="229"/>
      <c r="DR25" s="229"/>
      <c r="DS25" s="229"/>
      <c r="DT25" s="229"/>
      <c r="DU25" s="229"/>
      <c r="DV25" s="229"/>
      <c r="DW25" s="219">
        <f t="shared" si="58"/>
        <v>0</v>
      </c>
      <c r="DX25" s="229"/>
      <c r="DY25" s="229"/>
      <c r="DZ25" s="229"/>
      <c r="EA25" s="219">
        <f t="shared" si="59"/>
        <v>0</v>
      </c>
      <c r="EB25" s="229"/>
      <c r="EC25" s="229"/>
      <c r="ED25" s="229"/>
      <c r="EE25" s="229"/>
      <c r="EF25" s="229"/>
      <c r="EG25" s="229"/>
      <c r="EH25" s="219">
        <f t="shared" si="61"/>
        <v>0</v>
      </c>
      <c r="EI25" s="229"/>
      <c r="EJ25" s="229"/>
      <c r="EK25" s="229"/>
      <c r="EL25" s="219">
        <f t="shared" si="62"/>
        <v>0</v>
      </c>
      <c r="EM25" s="229"/>
      <c r="EN25" s="229"/>
      <c r="EO25" s="219">
        <f t="shared" si="63"/>
        <v>0</v>
      </c>
      <c r="EP25" s="229"/>
      <c r="EQ25" s="229"/>
      <c r="ER25" s="219">
        <f t="shared" si="64"/>
        <v>0</v>
      </c>
      <c r="ES25" s="229"/>
      <c r="ET25" s="229"/>
      <c r="EU25" s="219">
        <f t="shared" si="65"/>
        <v>0</v>
      </c>
      <c r="EV25" s="229"/>
      <c r="EW25" s="229"/>
      <c r="EX25" s="229"/>
      <c r="EY25" s="229"/>
      <c r="EZ25" s="229"/>
      <c r="FA25" s="229"/>
      <c r="FB25" s="229"/>
      <c r="FC25" s="229"/>
      <c r="FD25" s="229"/>
      <c r="FE25" s="229"/>
      <c r="FF25" s="229"/>
      <c r="FG25" s="219">
        <f t="shared" si="66"/>
        <v>0</v>
      </c>
      <c r="FH25" s="229"/>
      <c r="FI25" s="229"/>
      <c r="FJ25" s="229"/>
      <c r="FK25" s="219">
        <f t="shared" si="67"/>
        <v>0</v>
      </c>
      <c r="FL25" s="229"/>
      <c r="FM25" s="229"/>
      <c r="FN25" s="229"/>
      <c r="FO25" s="229"/>
      <c r="FP25" s="229"/>
      <c r="FQ25" s="229"/>
      <c r="FR25" s="219">
        <f t="shared" si="68"/>
        <v>0</v>
      </c>
      <c r="FS25" s="229"/>
      <c r="FT25" s="229"/>
      <c r="FU25" s="229"/>
      <c r="FV25" s="219">
        <f t="shared" si="69"/>
        <v>0</v>
      </c>
      <c r="FW25" s="229"/>
      <c r="FX25" s="229"/>
      <c r="FY25" s="219">
        <f t="shared" si="70"/>
        <v>0</v>
      </c>
      <c r="FZ25" s="229"/>
      <c r="GA25" s="229"/>
      <c r="GB25" s="219">
        <f t="shared" si="71"/>
        <v>0</v>
      </c>
      <c r="GC25" s="229"/>
      <c r="GD25" s="229"/>
      <c r="GE25" s="219">
        <v>0</v>
      </c>
      <c r="GF25" s="229"/>
      <c r="GG25" s="229"/>
      <c r="GH25" s="229"/>
      <c r="GI25" s="229"/>
      <c r="GJ25" s="229"/>
      <c r="GK25" s="229"/>
      <c r="GL25" s="229"/>
      <c r="GM25" s="229"/>
      <c r="GN25" s="234">
        <f t="shared" si="73"/>
        <v>0</v>
      </c>
      <c r="GO25" s="229"/>
      <c r="GP25" s="229"/>
      <c r="GQ25" s="229"/>
      <c r="GR25" s="219">
        <f t="shared" si="3"/>
        <v>0</v>
      </c>
      <c r="GS25" s="229"/>
      <c r="GT25" s="229"/>
      <c r="GU25" s="229"/>
      <c r="GV25" s="229"/>
      <c r="GW25" s="219">
        <f t="shared" si="75"/>
        <v>0</v>
      </c>
      <c r="GX25" s="229"/>
      <c r="GY25" s="229"/>
      <c r="GZ25" s="229"/>
      <c r="HA25" s="229"/>
      <c r="HB25" s="219">
        <f t="shared" si="76"/>
        <v>0</v>
      </c>
      <c r="HC25" s="229"/>
      <c r="HD25" s="229"/>
      <c r="HE25" s="229"/>
      <c r="HF25" s="229"/>
      <c r="HG25" s="219">
        <f t="shared" si="77"/>
        <v>0</v>
      </c>
      <c r="HH25" s="229"/>
      <c r="HI25" s="229"/>
      <c r="HJ25" s="229"/>
      <c r="HK25" s="229"/>
      <c r="HL25" s="219">
        <f t="shared" si="78"/>
        <v>0</v>
      </c>
      <c r="HM25" s="229"/>
      <c r="HN25" s="229"/>
      <c r="HO25" s="229"/>
      <c r="HP25" s="229"/>
      <c r="HQ25" s="219">
        <f t="shared" si="79"/>
        <v>0</v>
      </c>
      <c r="HR25" s="229"/>
      <c r="HS25" s="229"/>
      <c r="HT25" s="229"/>
      <c r="HU25" s="229"/>
      <c r="HV25" s="219">
        <f t="shared" si="80"/>
        <v>0</v>
      </c>
      <c r="HW25" s="229"/>
      <c r="HX25" s="229"/>
      <c r="HY25" s="229"/>
      <c r="HZ25" s="219">
        <f t="shared" si="81"/>
        <v>0</v>
      </c>
      <c r="IA25" s="229"/>
      <c r="IB25" s="229"/>
      <c r="IC25" s="229"/>
      <c r="ID25" s="229"/>
      <c r="IE25" s="219">
        <f t="shared" si="82"/>
        <v>0</v>
      </c>
      <c r="IF25" s="229"/>
      <c r="IG25" s="229"/>
      <c r="IH25" s="229"/>
      <c r="II25" s="229"/>
      <c r="IJ25" s="219">
        <f t="shared" si="83"/>
        <v>0</v>
      </c>
      <c r="IK25" s="229"/>
      <c r="IL25" s="229"/>
      <c r="IM25" s="229"/>
      <c r="IN25" s="229"/>
      <c r="IO25" s="219">
        <f t="shared" si="84"/>
        <v>0</v>
      </c>
      <c r="IP25" s="229"/>
      <c r="IQ25" s="229"/>
      <c r="IR25" s="229"/>
      <c r="IS25" s="229"/>
      <c r="IT25" s="219">
        <v>0</v>
      </c>
      <c r="IU25" s="229"/>
      <c r="IV25" s="229"/>
      <c r="IW25" s="229"/>
      <c r="IX25" s="219">
        <f t="shared" si="86"/>
        <v>0</v>
      </c>
      <c r="IY25" s="229"/>
      <c r="IZ25" s="229"/>
      <c r="JA25" s="229"/>
      <c r="JB25" s="219">
        <f t="shared" si="87"/>
        <v>0</v>
      </c>
      <c r="JC25" s="229"/>
      <c r="JD25" s="229"/>
      <c r="JE25" s="229"/>
      <c r="JF25" s="219">
        <f t="shared" si="88"/>
        <v>0</v>
      </c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29"/>
      <c r="JX25" s="229"/>
      <c r="JY25" s="229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19">
        <f t="shared" si="90"/>
        <v>0</v>
      </c>
      <c r="LA25" s="229"/>
      <c r="LB25" s="229"/>
      <c r="LC25" s="229"/>
      <c r="LD25" s="219">
        <f t="shared" si="91"/>
        <v>0</v>
      </c>
      <c r="LE25" s="229"/>
      <c r="LF25" s="229"/>
      <c r="LG25" s="229"/>
      <c r="LH25" s="219">
        <f t="shared" si="92"/>
        <v>0</v>
      </c>
      <c r="LI25" s="229"/>
      <c r="LJ25" s="229"/>
      <c r="LK25" s="229"/>
      <c r="LL25" s="219">
        <f t="shared" si="93"/>
        <v>0</v>
      </c>
      <c r="LM25" s="229"/>
      <c r="LN25" s="229"/>
      <c r="LO25" s="229"/>
      <c r="LP25" s="219">
        <f t="shared" si="94"/>
        <v>0</v>
      </c>
      <c r="LQ25" s="229"/>
      <c r="LR25" s="229"/>
      <c r="LS25" s="229"/>
      <c r="LT25" s="219">
        <f t="shared" si="95"/>
        <v>0</v>
      </c>
      <c r="LU25" s="219"/>
      <c r="LV25" s="219"/>
      <c r="LW25" s="219"/>
      <c r="LX25" s="219">
        <f t="shared" si="96"/>
        <v>0</v>
      </c>
      <c r="LY25" s="229"/>
      <c r="LZ25" s="229"/>
      <c r="MA25" s="229"/>
      <c r="MB25" s="219">
        <f t="shared" si="97"/>
        <v>0</v>
      </c>
      <c r="MC25" s="229"/>
      <c r="MD25" s="219">
        <f t="shared" si="98"/>
        <v>0</v>
      </c>
      <c r="ME25" s="229"/>
      <c r="MF25" s="219">
        <f t="shared" si="100"/>
        <v>0</v>
      </c>
      <c r="MG25" s="229"/>
      <c r="MH25" s="219">
        <f t="shared" si="101"/>
        <v>0</v>
      </c>
      <c r="MI25" s="229"/>
      <c r="MJ25" s="219">
        <f t="shared" si="102"/>
        <v>0</v>
      </c>
      <c r="MK25" s="229"/>
      <c r="ML25" s="219">
        <f t="shared" si="103"/>
        <v>0</v>
      </c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19">
        <f t="shared" si="104"/>
        <v>0</v>
      </c>
      <c r="MX25" s="229"/>
      <c r="MY25" s="229"/>
      <c r="MZ25" s="229"/>
      <c r="NA25" s="219">
        <f t="shared" si="105"/>
        <v>0</v>
      </c>
      <c r="NB25" s="229"/>
      <c r="NC25" s="229"/>
      <c r="ND25" s="229"/>
      <c r="NE25" s="219">
        <f t="shared" si="106"/>
        <v>0</v>
      </c>
      <c r="NF25" s="229"/>
      <c r="NG25" s="229"/>
      <c r="NH25" s="229"/>
      <c r="NI25" s="219">
        <f t="shared" si="107"/>
        <v>0</v>
      </c>
      <c r="NJ25" s="229"/>
      <c r="NK25" s="229"/>
      <c r="NL25" s="229"/>
      <c r="NM25" s="219">
        <f t="shared" si="108"/>
        <v>0</v>
      </c>
      <c r="NN25" s="229"/>
      <c r="NO25" s="229"/>
      <c r="NP25" s="229"/>
      <c r="NQ25" s="219">
        <f t="shared" si="109"/>
        <v>0</v>
      </c>
      <c r="NR25" s="229"/>
      <c r="NS25" s="229"/>
      <c r="NT25" s="229"/>
      <c r="NU25" s="219">
        <f t="shared" si="110"/>
        <v>0</v>
      </c>
      <c r="NV25" s="236"/>
      <c r="NW25" s="236"/>
      <c r="NX25" s="236"/>
      <c r="NY25" s="219">
        <f t="shared" si="112"/>
        <v>0</v>
      </c>
      <c r="NZ25" s="236"/>
      <c r="OA25" s="236"/>
      <c r="OB25" s="236"/>
      <c r="OC25" s="219">
        <f t="shared" si="114"/>
        <v>0</v>
      </c>
      <c r="OD25" s="219"/>
      <c r="OE25" s="219"/>
      <c r="OF25" s="219"/>
      <c r="OG25" s="219"/>
      <c r="OH25" s="219"/>
      <c r="OI25" s="219"/>
      <c r="OJ25" s="219"/>
      <c r="OK25" s="219"/>
      <c r="OL25" s="219"/>
      <c r="OM25" s="219"/>
      <c r="ON25" s="219"/>
      <c r="OO25" s="219"/>
      <c r="OP25" s="219"/>
      <c r="OQ25" s="219"/>
      <c r="OR25" s="219">
        <f t="shared" si="116"/>
        <v>0</v>
      </c>
      <c r="OS25" s="175"/>
      <c r="OT25" s="175"/>
      <c r="OU25" s="175"/>
      <c r="OV25" s="175"/>
      <c r="OW25" s="175"/>
      <c r="OX25" s="229">
        <f t="shared" si="11"/>
        <v>0</v>
      </c>
      <c r="OY25" s="175"/>
      <c r="OZ25" s="175"/>
      <c r="PA25" s="175"/>
      <c r="PB25" s="229">
        <f t="shared" si="631"/>
        <v>0</v>
      </c>
      <c r="PC25" s="175"/>
      <c r="PD25" s="175"/>
      <c r="PE25" s="175"/>
      <c r="PF25" s="229">
        <f t="shared" si="632"/>
        <v>0</v>
      </c>
      <c r="PG25" s="175"/>
      <c r="PH25" s="175"/>
      <c r="PI25" s="175"/>
      <c r="PJ25" s="229">
        <f t="shared" si="633"/>
        <v>0</v>
      </c>
      <c r="PK25" s="175"/>
      <c r="PL25" s="175"/>
      <c r="PM25" s="175"/>
      <c r="PN25" s="229">
        <f t="shared" si="634"/>
        <v>0</v>
      </c>
      <c r="PO25" s="175"/>
      <c r="PP25" s="175"/>
      <c r="PQ25" s="175"/>
      <c r="PR25" s="229">
        <f t="shared" si="635"/>
        <v>0</v>
      </c>
      <c r="PS25" s="175"/>
      <c r="PT25" s="175"/>
      <c r="PU25" s="175"/>
      <c r="PV25" s="229">
        <f t="shared" si="636"/>
        <v>0</v>
      </c>
      <c r="PW25" s="175"/>
      <c r="PX25" s="175"/>
      <c r="PY25" s="175"/>
      <c r="PZ25" s="229">
        <f t="shared" si="637"/>
        <v>0</v>
      </c>
      <c r="QA25" s="175"/>
      <c r="QB25" s="175"/>
      <c r="QC25" s="175"/>
      <c r="QD25" s="219">
        <f t="shared" si="132"/>
        <v>0</v>
      </c>
      <c r="QE25" s="175"/>
      <c r="QF25" s="236"/>
      <c r="QG25" s="236"/>
      <c r="QH25" s="236"/>
      <c r="QI25" s="236"/>
      <c r="QJ25" s="236"/>
      <c r="QK25" s="236"/>
      <c r="QL25" s="219">
        <f t="shared" si="133"/>
        <v>0</v>
      </c>
      <c r="QM25" s="236"/>
      <c r="QN25" s="236"/>
      <c r="QO25" s="236"/>
      <c r="QP25" s="236"/>
      <c r="QQ25" s="236"/>
      <c r="QR25" s="236"/>
      <c r="QS25" s="219">
        <f t="shared" si="135"/>
        <v>0</v>
      </c>
      <c r="QT25" s="229"/>
      <c r="QU25" s="229"/>
      <c r="QV25" s="229"/>
      <c r="QW25" s="229"/>
      <c r="QX25" s="229"/>
      <c r="QY25" s="229"/>
      <c r="QZ25" s="219">
        <f t="shared" si="137"/>
        <v>0</v>
      </c>
      <c r="RA25" s="229"/>
      <c r="RB25" s="229"/>
      <c r="RC25" s="229"/>
      <c r="RD25" s="229"/>
      <c r="RE25" s="229"/>
      <c r="RF25" s="229"/>
      <c r="RG25" s="219">
        <f t="shared" si="139"/>
        <v>0</v>
      </c>
      <c r="RH25" s="229"/>
      <c r="RI25" s="229"/>
      <c r="RJ25" s="229"/>
      <c r="RK25" s="229"/>
      <c r="RL25" s="229"/>
      <c r="RM25" s="229"/>
      <c r="RN25" s="219">
        <f t="shared" si="141"/>
        <v>0</v>
      </c>
      <c r="RO25" s="229"/>
      <c r="RP25" s="229"/>
      <c r="RQ25" s="229"/>
      <c r="RR25" s="229"/>
      <c r="RS25" s="229"/>
      <c r="RT25" s="229"/>
      <c r="RU25" s="219">
        <f t="shared" si="143"/>
        <v>0</v>
      </c>
      <c r="RV25" s="229"/>
      <c r="RW25" s="229"/>
      <c r="RX25" s="229"/>
      <c r="RY25" s="229"/>
      <c r="RZ25" s="229"/>
      <c r="SA25" s="229"/>
      <c r="SB25" s="229"/>
      <c r="SC25" s="219">
        <f t="shared" si="145"/>
        <v>0</v>
      </c>
      <c r="SD25" s="229"/>
      <c r="SE25" s="229"/>
      <c r="SF25" s="229"/>
      <c r="SG25" s="219">
        <f t="shared" si="147"/>
        <v>0</v>
      </c>
      <c r="SH25" s="229"/>
      <c r="SI25" s="229"/>
      <c r="SJ25" s="229"/>
      <c r="SK25" s="229"/>
      <c r="SL25" s="229"/>
      <c r="SM25" s="229"/>
      <c r="SN25" s="219">
        <f t="shared" si="149"/>
        <v>0</v>
      </c>
      <c r="SO25" s="229"/>
      <c r="SP25" s="229"/>
      <c r="SQ25" s="229"/>
      <c r="SR25" s="219">
        <f t="shared" si="151"/>
        <v>0</v>
      </c>
      <c r="SS25" s="229"/>
      <c r="ST25" s="229"/>
      <c r="SU25" s="219">
        <f t="shared" si="153"/>
        <v>0</v>
      </c>
      <c r="SV25" s="229"/>
      <c r="SW25" s="229"/>
      <c r="SX25" s="219">
        <f t="shared" si="155"/>
        <v>0</v>
      </c>
      <c r="SY25" s="229"/>
      <c r="SZ25" s="229"/>
      <c r="TA25" s="219">
        <f t="shared" si="157"/>
        <v>0</v>
      </c>
      <c r="TB25" s="229"/>
      <c r="TC25" s="229"/>
      <c r="TD25" s="229"/>
      <c r="TE25" s="229"/>
      <c r="TF25" s="229"/>
      <c r="TG25" s="229"/>
      <c r="TH25" s="175"/>
      <c r="TI25" s="175"/>
      <c r="TJ25" s="175"/>
      <c r="TK25" s="175"/>
      <c r="TL25" s="175"/>
      <c r="TM25" s="175"/>
      <c r="TN25" s="175"/>
      <c r="TO25" s="175"/>
      <c r="TP25" s="229"/>
      <c r="TQ25" s="229"/>
      <c r="TR25" s="229"/>
      <c r="TS25" s="175"/>
      <c r="TT25" s="175"/>
      <c r="TU25" s="175"/>
      <c r="TV25" s="175"/>
      <c r="TW25" s="175"/>
      <c r="TX25" s="175"/>
      <c r="TY25" s="175"/>
      <c r="TZ25" s="175"/>
      <c r="UA25" s="175"/>
      <c r="UB25" s="175"/>
      <c r="UC25" s="175"/>
    </row>
    <row r="26" spans="1:549" s="182" customFormat="1" hidden="1" x14ac:dyDescent="0.25">
      <c r="A26" s="35">
        <v>33686</v>
      </c>
      <c r="B26" s="235">
        <v>33686</v>
      </c>
      <c r="C26" s="183" t="s">
        <v>248</v>
      </c>
      <c r="D26" s="36"/>
      <c r="E26" s="229"/>
      <c r="F26" s="229"/>
      <c r="G26" s="229"/>
      <c r="H26" s="219">
        <f t="shared" si="33"/>
        <v>0</v>
      </c>
      <c r="I26" s="229"/>
      <c r="J26" s="229"/>
      <c r="K26" s="229"/>
      <c r="L26" s="219">
        <f t="shared" si="34"/>
        <v>0</v>
      </c>
      <c r="M26" s="229"/>
      <c r="N26" s="229"/>
      <c r="O26" s="219">
        <f t="shared" si="35"/>
        <v>0</v>
      </c>
      <c r="P26" s="229"/>
      <c r="Q26" s="229"/>
      <c r="R26" s="229"/>
      <c r="S26" s="229"/>
      <c r="T26" s="219">
        <f t="shared" si="36"/>
        <v>0</v>
      </c>
      <c r="U26" s="229"/>
      <c r="V26" s="229"/>
      <c r="W26" s="229"/>
      <c r="X26" s="219">
        <f t="shared" si="37"/>
        <v>0</v>
      </c>
      <c r="Y26" s="229"/>
      <c r="Z26" s="229"/>
      <c r="AA26" s="219">
        <f t="shared" si="38"/>
        <v>0</v>
      </c>
      <c r="AB26" s="229"/>
      <c r="AC26" s="229"/>
      <c r="AD26" s="219">
        <f t="shared" si="39"/>
        <v>0</v>
      </c>
      <c r="AE26" s="229"/>
      <c r="AF26" s="229"/>
      <c r="AG26" s="229"/>
      <c r="AH26" s="219">
        <f t="shared" si="40"/>
        <v>0</v>
      </c>
      <c r="AI26" s="229"/>
      <c r="AJ26" s="229"/>
      <c r="AK26" s="229"/>
      <c r="AL26" s="219">
        <f t="shared" si="41"/>
        <v>0</v>
      </c>
      <c r="AM26" s="229"/>
      <c r="AN26" s="229"/>
      <c r="AO26" s="229"/>
      <c r="AP26" s="219">
        <f t="shared" si="42"/>
        <v>0</v>
      </c>
      <c r="AQ26" s="229"/>
      <c r="AR26" s="229"/>
      <c r="AS26" s="229"/>
      <c r="AT26" s="229"/>
      <c r="AU26" s="219">
        <f t="shared" si="43"/>
        <v>0</v>
      </c>
      <c r="AV26" s="229"/>
      <c r="AW26" s="229"/>
      <c r="AX26" s="229"/>
      <c r="AY26" s="229"/>
      <c r="AZ26" s="229"/>
      <c r="BA26" s="229"/>
      <c r="BB26" s="229"/>
      <c r="BC26" s="229"/>
      <c r="BD26" s="219">
        <f t="shared" si="44"/>
        <v>0</v>
      </c>
      <c r="BE26" s="229"/>
      <c r="BF26" s="229"/>
      <c r="BG26" s="229"/>
      <c r="BH26" s="229"/>
      <c r="BI26" s="229"/>
      <c r="BJ26" s="229"/>
      <c r="BK26" s="229"/>
      <c r="BL26" s="219">
        <f t="shared" si="45"/>
        <v>0</v>
      </c>
      <c r="BM26" s="229"/>
      <c r="BN26" s="229"/>
      <c r="BO26" s="229"/>
      <c r="BP26" s="229"/>
      <c r="BQ26" s="229"/>
      <c r="BR26" s="229"/>
      <c r="BS26" s="219">
        <f t="shared" si="47"/>
        <v>0</v>
      </c>
      <c r="BT26" s="229"/>
      <c r="BU26" s="229"/>
      <c r="BV26" s="229"/>
      <c r="BW26" s="219">
        <f t="shared" si="48"/>
        <v>0</v>
      </c>
      <c r="BX26" s="229"/>
      <c r="BY26" s="229"/>
      <c r="BZ26" s="219">
        <f t="shared" si="49"/>
        <v>0</v>
      </c>
      <c r="CA26" s="229"/>
      <c r="CB26" s="229"/>
      <c r="CC26" s="219">
        <f t="shared" si="50"/>
        <v>0</v>
      </c>
      <c r="CD26" s="229"/>
      <c r="CE26" s="229"/>
      <c r="CF26" s="229"/>
      <c r="CG26" s="229"/>
      <c r="CH26" s="229"/>
      <c r="CI26" s="229"/>
      <c r="CJ26" s="229"/>
      <c r="CK26" s="229"/>
      <c r="CL26" s="219">
        <f t="shared" si="51"/>
        <v>0</v>
      </c>
      <c r="CM26" s="229"/>
      <c r="CN26" s="229"/>
      <c r="CO26" s="229"/>
      <c r="CP26" s="229"/>
      <c r="CQ26" s="219">
        <f t="shared" si="52"/>
        <v>0</v>
      </c>
      <c r="CR26" s="229"/>
      <c r="CS26" s="229"/>
      <c r="CT26" s="229"/>
      <c r="CU26" s="229"/>
      <c r="CV26" s="229"/>
      <c r="CW26" s="229"/>
      <c r="CX26" s="219">
        <f t="shared" si="53"/>
        <v>0</v>
      </c>
      <c r="CY26" s="229"/>
      <c r="CZ26" s="229"/>
      <c r="DA26" s="229"/>
      <c r="DB26" s="219">
        <f t="shared" si="54"/>
        <v>0</v>
      </c>
      <c r="DC26" s="229"/>
      <c r="DD26" s="229"/>
      <c r="DE26" s="219">
        <f t="shared" si="55"/>
        <v>0</v>
      </c>
      <c r="DF26" s="229"/>
      <c r="DG26" s="229"/>
      <c r="DH26" s="219">
        <f t="shared" si="56"/>
        <v>0</v>
      </c>
      <c r="DI26" s="229"/>
      <c r="DJ26" s="229"/>
      <c r="DK26" s="219">
        <f t="shared" si="57"/>
        <v>0</v>
      </c>
      <c r="DL26" s="229"/>
      <c r="DM26" s="229"/>
      <c r="DN26" s="229"/>
      <c r="DO26" s="229"/>
      <c r="DP26" s="229"/>
      <c r="DQ26" s="229"/>
      <c r="DR26" s="229"/>
      <c r="DS26" s="229"/>
      <c r="DT26" s="229"/>
      <c r="DU26" s="229"/>
      <c r="DV26" s="229"/>
      <c r="DW26" s="219">
        <f t="shared" si="58"/>
        <v>0</v>
      </c>
      <c r="DX26" s="229"/>
      <c r="DY26" s="229"/>
      <c r="DZ26" s="229"/>
      <c r="EA26" s="219">
        <f t="shared" si="59"/>
        <v>0</v>
      </c>
      <c r="EB26" s="229"/>
      <c r="EC26" s="229"/>
      <c r="ED26" s="229"/>
      <c r="EE26" s="229"/>
      <c r="EF26" s="229"/>
      <c r="EG26" s="229"/>
      <c r="EH26" s="219">
        <f t="shared" si="61"/>
        <v>0</v>
      </c>
      <c r="EI26" s="229"/>
      <c r="EJ26" s="229"/>
      <c r="EK26" s="229"/>
      <c r="EL26" s="219">
        <f t="shared" si="62"/>
        <v>0</v>
      </c>
      <c r="EM26" s="229"/>
      <c r="EN26" s="229"/>
      <c r="EO26" s="219">
        <f t="shared" si="63"/>
        <v>0</v>
      </c>
      <c r="EP26" s="229"/>
      <c r="EQ26" s="229"/>
      <c r="ER26" s="219">
        <f t="shared" si="64"/>
        <v>0</v>
      </c>
      <c r="ES26" s="229"/>
      <c r="ET26" s="229"/>
      <c r="EU26" s="219">
        <f t="shared" si="65"/>
        <v>0</v>
      </c>
      <c r="EV26" s="229"/>
      <c r="EW26" s="229"/>
      <c r="EX26" s="229"/>
      <c r="EY26" s="229"/>
      <c r="EZ26" s="229"/>
      <c r="FA26" s="229"/>
      <c r="FB26" s="229"/>
      <c r="FC26" s="229"/>
      <c r="FD26" s="229"/>
      <c r="FE26" s="229"/>
      <c r="FF26" s="229"/>
      <c r="FG26" s="219">
        <f t="shared" si="66"/>
        <v>0</v>
      </c>
      <c r="FH26" s="229"/>
      <c r="FI26" s="229"/>
      <c r="FJ26" s="229"/>
      <c r="FK26" s="219">
        <f t="shared" si="67"/>
        <v>0</v>
      </c>
      <c r="FL26" s="229"/>
      <c r="FM26" s="229"/>
      <c r="FN26" s="229"/>
      <c r="FO26" s="229"/>
      <c r="FP26" s="229"/>
      <c r="FQ26" s="229"/>
      <c r="FR26" s="219">
        <f t="shared" si="68"/>
        <v>0</v>
      </c>
      <c r="FS26" s="229"/>
      <c r="FT26" s="229"/>
      <c r="FU26" s="229"/>
      <c r="FV26" s="219">
        <f t="shared" si="69"/>
        <v>0</v>
      </c>
      <c r="FW26" s="229"/>
      <c r="FX26" s="229"/>
      <c r="FY26" s="219">
        <f t="shared" si="70"/>
        <v>0</v>
      </c>
      <c r="FZ26" s="229"/>
      <c r="GA26" s="229"/>
      <c r="GB26" s="219">
        <f t="shared" si="71"/>
        <v>0</v>
      </c>
      <c r="GC26" s="229"/>
      <c r="GD26" s="229"/>
      <c r="GE26" s="219"/>
      <c r="GF26" s="229"/>
      <c r="GG26" s="229"/>
      <c r="GH26" s="229"/>
      <c r="GI26" s="229"/>
      <c r="GJ26" s="229"/>
      <c r="GK26" s="229"/>
      <c r="GL26" s="229"/>
      <c r="GM26" s="229"/>
      <c r="GN26" s="234">
        <f t="shared" si="73"/>
        <v>0</v>
      </c>
      <c r="GO26" s="229"/>
      <c r="GP26" s="229"/>
      <c r="GQ26" s="229"/>
      <c r="GR26" s="219">
        <f t="shared" si="3"/>
        <v>0</v>
      </c>
      <c r="GS26" s="229"/>
      <c r="GT26" s="229"/>
      <c r="GU26" s="229"/>
      <c r="GV26" s="229"/>
      <c r="GW26" s="219">
        <f t="shared" si="75"/>
        <v>0</v>
      </c>
      <c r="GX26" s="229"/>
      <c r="GY26" s="229"/>
      <c r="GZ26" s="229"/>
      <c r="HA26" s="229"/>
      <c r="HB26" s="219">
        <f t="shared" si="76"/>
        <v>0</v>
      </c>
      <c r="HC26" s="229"/>
      <c r="HD26" s="229"/>
      <c r="HE26" s="229"/>
      <c r="HF26" s="229"/>
      <c r="HG26" s="219">
        <f t="shared" si="77"/>
        <v>0</v>
      </c>
      <c r="HH26" s="229"/>
      <c r="HI26" s="229"/>
      <c r="HJ26" s="229"/>
      <c r="HK26" s="229"/>
      <c r="HL26" s="219">
        <f t="shared" si="78"/>
        <v>0</v>
      </c>
      <c r="HM26" s="229"/>
      <c r="HN26" s="229"/>
      <c r="HO26" s="229"/>
      <c r="HP26" s="229"/>
      <c r="HQ26" s="219">
        <f t="shared" si="79"/>
        <v>0</v>
      </c>
      <c r="HR26" s="229"/>
      <c r="HS26" s="229"/>
      <c r="HT26" s="229"/>
      <c r="HU26" s="229"/>
      <c r="HV26" s="219">
        <f t="shared" si="80"/>
        <v>0</v>
      </c>
      <c r="HW26" s="229"/>
      <c r="HX26" s="229"/>
      <c r="HY26" s="229"/>
      <c r="HZ26" s="219">
        <f t="shared" si="81"/>
        <v>0</v>
      </c>
      <c r="IA26" s="229"/>
      <c r="IB26" s="229"/>
      <c r="IC26" s="229"/>
      <c r="ID26" s="229"/>
      <c r="IE26" s="219">
        <f t="shared" si="82"/>
        <v>0</v>
      </c>
      <c r="IF26" s="229"/>
      <c r="IG26" s="229"/>
      <c r="IH26" s="229"/>
      <c r="II26" s="229"/>
      <c r="IJ26" s="219">
        <f t="shared" si="83"/>
        <v>0</v>
      </c>
      <c r="IK26" s="229"/>
      <c r="IL26" s="229"/>
      <c r="IM26" s="229"/>
      <c r="IN26" s="229"/>
      <c r="IO26" s="219">
        <f t="shared" si="84"/>
        <v>0</v>
      </c>
      <c r="IP26" s="229"/>
      <c r="IQ26" s="229"/>
      <c r="IR26" s="229"/>
      <c r="IS26" s="229"/>
      <c r="IT26" s="219"/>
      <c r="IU26" s="229"/>
      <c r="IV26" s="229"/>
      <c r="IW26" s="229"/>
      <c r="IX26" s="219">
        <f t="shared" si="86"/>
        <v>0</v>
      </c>
      <c r="IY26" s="229"/>
      <c r="IZ26" s="229"/>
      <c r="JA26" s="229"/>
      <c r="JB26" s="219">
        <f t="shared" si="87"/>
        <v>0</v>
      </c>
      <c r="JC26" s="229"/>
      <c r="JD26" s="229"/>
      <c r="JE26" s="229"/>
      <c r="JF26" s="219">
        <f t="shared" si="88"/>
        <v>0</v>
      </c>
      <c r="JG26" s="229"/>
      <c r="JH26" s="229"/>
      <c r="JI26" s="229"/>
      <c r="JJ26" s="229"/>
      <c r="JK26" s="229"/>
      <c r="JL26" s="229"/>
      <c r="JM26" s="229"/>
      <c r="JN26" s="229"/>
      <c r="JO26" s="229"/>
      <c r="JP26" s="229"/>
      <c r="JQ26" s="229"/>
      <c r="JR26" s="229"/>
      <c r="JS26" s="229"/>
      <c r="JT26" s="229"/>
      <c r="JU26" s="229"/>
      <c r="JV26" s="229"/>
      <c r="JW26" s="229"/>
      <c r="JX26" s="229"/>
      <c r="JY26" s="229"/>
      <c r="JZ26" s="229"/>
      <c r="KA26" s="229"/>
      <c r="KB26" s="229"/>
      <c r="KC26" s="229"/>
      <c r="KD26" s="229"/>
      <c r="KE26" s="229"/>
      <c r="KF26" s="229"/>
      <c r="KG26" s="229"/>
      <c r="KH26" s="229"/>
      <c r="KI26" s="229"/>
      <c r="KJ26" s="229"/>
      <c r="KK26" s="229"/>
      <c r="KL26" s="229"/>
      <c r="KM26" s="229"/>
      <c r="KN26" s="229"/>
      <c r="KO26" s="229"/>
      <c r="KP26" s="229"/>
      <c r="KQ26" s="229"/>
      <c r="KR26" s="229"/>
      <c r="KS26" s="229"/>
      <c r="KT26" s="229"/>
      <c r="KU26" s="229"/>
      <c r="KV26" s="229"/>
      <c r="KW26" s="229"/>
      <c r="KX26" s="229"/>
      <c r="KY26" s="229"/>
      <c r="KZ26" s="219">
        <f t="shared" si="90"/>
        <v>0</v>
      </c>
      <c r="LA26" s="229"/>
      <c r="LB26" s="229"/>
      <c r="LC26" s="229"/>
      <c r="LD26" s="219">
        <f t="shared" si="91"/>
        <v>0</v>
      </c>
      <c r="LE26" s="229"/>
      <c r="LF26" s="229"/>
      <c r="LG26" s="229"/>
      <c r="LH26" s="219">
        <f t="shared" si="92"/>
        <v>0</v>
      </c>
      <c r="LI26" s="229"/>
      <c r="LJ26" s="229"/>
      <c r="LK26" s="229"/>
      <c r="LL26" s="219">
        <f t="shared" si="93"/>
        <v>0</v>
      </c>
      <c r="LM26" s="229"/>
      <c r="LN26" s="229"/>
      <c r="LO26" s="229"/>
      <c r="LP26" s="219">
        <f t="shared" si="94"/>
        <v>0</v>
      </c>
      <c r="LQ26" s="229"/>
      <c r="LR26" s="229"/>
      <c r="LS26" s="229"/>
      <c r="LT26" s="219">
        <f t="shared" si="95"/>
        <v>0</v>
      </c>
      <c r="LU26" s="219"/>
      <c r="LV26" s="219"/>
      <c r="LW26" s="219"/>
      <c r="LX26" s="219">
        <f t="shared" si="96"/>
        <v>0</v>
      </c>
      <c r="LY26" s="229"/>
      <c r="LZ26" s="229"/>
      <c r="MA26" s="229"/>
      <c r="MB26" s="219">
        <f t="shared" si="97"/>
        <v>0</v>
      </c>
      <c r="MC26" s="229"/>
      <c r="MD26" s="219">
        <f t="shared" si="98"/>
        <v>0</v>
      </c>
      <c r="ME26" s="229"/>
      <c r="MF26" s="219">
        <f t="shared" si="100"/>
        <v>0</v>
      </c>
      <c r="MG26" s="229"/>
      <c r="MH26" s="219">
        <f t="shared" si="101"/>
        <v>0</v>
      </c>
      <c r="MI26" s="229"/>
      <c r="MJ26" s="219">
        <f t="shared" si="102"/>
        <v>0</v>
      </c>
      <c r="MK26" s="229"/>
      <c r="ML26" s="219">
        <f t="shared" si="103"/>
        <v>0</v>
      </c>
      <c r="MM26" s="229"/>
      <c r="MN26" s="229"/>
      <c r="MO26" s="229"/>
      <c r="MP26" s="229"/>
      <c r="MQ26" s="229"/>
      <c r="MR26" s="229"/>
      <c r="MS26" s="229"/>
      <c r="MT26" s="229"/>
      <c r="MU26" s="229"/>
      <c r="MV26" s="229"/>
      <c r="MW26" s="219">
        <f t="shared" si="104"/>
        <v>0</v>
      </c>
      <c r="MX26" s="229"/>
      <c r="MY26" s="229"/>
      <c r="MZ26" s="229"/>
      <c r="NA26" s="219">
        <f t="shared" si="105"/>
        <v>0</v>
      </c>
      <c r="NB26" s="229"/>
      <c r="NC26" s="229"/>
      <c r="ND26" s="229"/>
      <c r="NE26" s="219">
        <f t="shared" si="106"/>
        <v>0</v>
      </c>
      <c r="NF26" s="229"/>
      <c r="NG26" s="229"/>
      <c r="NH26" s="229"/>
      <c r="NI26" s="219">
        <f t="shared" si="107"/>
        <v>0</v>
      </c>
      <c r="NJ26" s="229"/>
      <c r="NK26" s="229"/>
      <c r="NL26" s="229"/>
      <c r="NM26" s="219">
        <f t="shared" si="108"/>
        <v>0</v>
      </c>
      <c r="NN26" s="229"/>
      <c r="NO26" s="229"/>
      <c r="NP26" s="229"/>
      <c r="NQ26" s="219">
        <f t="shared" si="109"/>
        <v>0</v>
      </c>
      <c r="NR26" s="229"/>
      <c r="NS26" s="229"/>
      <c r="NT26" s="229"/>
      <c r="NU26" s="219">
        <f t="shared" si="110"/>
        <v>0</v>
      </c>
      <c r="NV26" s="236"/>
      <c r="NW26" s="236"/>
      <c r="NX26" s="236"/>
      <c r="NY26" s="219">
        <f t="shared" si="112"/>
        <v>0</v>
      </c>
      <c r="NZ26" s="236"/>
      <c r="OA26" s="236"/>
      <c r="OB26" s="236"/>
      <c r="OC26" s="219">
        <f t="shared" si="114"/>
        <v>0</v>
      </c>
      <c r="OD26" s="219"/>
      <c r="OE26" s="219"/>
      <c r="OF26" s="219"/>
      <c r="OG26" s="219"/>
      <c r="OH26" s="219"/>
      <c r="OI26" s="219"/>
      <c r="OJ26" s="219"/>
      <c r="OK26" s="219"/>
      <c r="OL26" s="219"/>
      <c r="OM26" s="219"/>
      <c r="ON26" s="219"/>
      <c r="OO26" s="219"/>
      <c r="OP26" s="219"/>
      <c r="OQ26" s="219"/>
      <c r="OR26" s="219">
        <f t="shared" si="116"/>
        <v>0</v>
      </c>
      <c r="OS26" s="175"/>
      <c r="OT26" s="175"/>
      <c r="OU26" s="175"/>
      <c r="OV26" s="175"/>
      <c r="OW26" s="175"/>
      <c r="OX26" s="229">
        <f t="shared" si="11"/>
        <v>0</v>
      </c>
      <c r="OY26" s="175"/>
      <c r="OZ26" s="175"/>
      <c r="PA26" s="175"/>
      <c r="PB26" s="229">
        <f t="shared" si="631"/>
        <v>0</v>
      </c>
      <c r="PC26" s="175"/>
      <c r="PD26" s="175"/>
      <c r="PE26" s="175"/>
      <c r="PF26" s="229">
        <f t="shared" si="632"/>
        <v>0</v>
      </c>
      <c r="PG26" s="175"/>
      <c r="PH26" s="175"/>
      <c r="PI26" s="175"/>
      <c r="PJ26" s="229">
        <f t="shared" si="633"/>
        <v>0</v>
      </c>
      <c r="PK26" s="175"/>
      <c r="PL26" s="175"/>
      <c r="PM26" s="175"/>
      <c r="PN26" s="229">
        <f t="shared" si="634"/>
        <v>0</v>
      </c>
      <c r="PO26" s="175"/>
      <c r="PP26" s="175"/>
      <c r="PQ26" s="175"/>
      <c r="PR26" s="229">
        <f t="shared" si="635"/>
        <v>0</v>
      </c>
      <c r="PS26" s="175"/>
      <c r="PT26" s="175"/>
      <c r="PU26" s="175"/>
      <c r="PV26" s="229">
        <f t="shared" si="636"/>
        <v>0</v>
      </c>
      <c r="PW26" s="175"/>
      <c r="PX26" s="175"/>
      <c r="PY26" s="175"/>
      <c r="PZ26" s="229">
        <f t="shared" si="637"/>
        <v>0</v>
      </c>
      <c r="QA26" s="175"/>
      <c r="QB26" s="175"/>
      <c r="QC26" s="175"/>
      <c r="QD26" s="219">
        <f t="shared" si="132"/>
        <v>0</v>
      </c>
      <c r="QE26" s="175"/>
      <c r="QF26" s="236"/>
      <c r="QG26" s="236"/>
      <c r="QH26" s="236"/>
      <c r="QI26" s="236"/>
      <c r="QJ26" s="236"/>
      <c r="QK26" s="236"/>
      <c r="QL26" s="219">
        <f t="shared" si="133"/>
        <v>0</v>
      </c>
      <c r="QM26" s="236"/>
      <c r="QN26" s="236"/>
      <c r="QO26" s="236"/>
      <c r="QP26" s="236"/>
      <c r="QQ26" s="236"/>
      <c r="QR26" s="236"/>
      <c r="QS26" s="219">
        <f t="shared" si="135"/>
        <v>0</v>
      </c>
      <c r="QT26" s="229"/>
      <c r="QU26" s="229"/>
      <c r="QV26" s="229"/>
      <c r="QW26" s="229"/>
      <c r="QX26" s="229"/>
      <c r="QY26" s="229"/>
      <c r="QZ26" s="219">
        <f t="shared" si="137"/>
        <v>0</v>
      </c>
      <c r="RA26" s="229"/>
      <c r="RB26" s="229"/>
      <c r="RC26" s="229"/>
      <c r="RD26" s="229"/>
      <c r="RE26" s="229"/>
      <c r="RF26" s="229"/>
      <c r="RG26" s="219">
        <f t="shared" si="139"/>
        <v>0</v>
      </c>
      <c r="RH26" s="229"/>
      <c r="RI26" s="229"/>
      <c r="RJ26" s="229"/>
      <c r="RK26" s="229"/>
      <c r="RL26" s="229"/>
      <c r="RM26" s="229"/>
      <c r="RN26" s="219">
        <f t="shared" si="141"/>
        <v>0</v>
      </c>
      <c r="RO26" s="229"/>
      <c r="RP26" s="229"/>
      <c r="RQ26" s="229"/>
      <c r="RR26" s="229"/>
      <c r="RS26" s="229"/>
      <c r="RT26" s="229"/>
      <c r="RU26" s="219">
        <f t="shared" si="143"/>
        <v>0</v>
      </c>
      <c r="RV26" s="229"/>
      <c r="RW26" s="229"/>
      <c r="RX26" s="229"/>
      <c r="RY26" s="229"/>
      <c r="RZ26" s="229"/>
      <c r="SA26" s="229"/>
      <c r="SB26" s="229"/>
      <c r="SC26" s="219">
        <f t="shared" si="145"/>
        <v>0</v>
      </c>
      <c r="SD26" s="229"/>
      <c r="SE26" s="229"/>
      <c r="SF26" s="229"/>
      <c r="SG26" s="219">
        <f t="shared" si="147"/>
        <v>0</v>
      </c>
      <c r="SH26" s="229"/>
      <c r="SI26" s="229"/>
      <c r="SJ26" s="229"/>
      <c r="SK26" s="229"/>
      <c r="SL26" s="229"/>
      <c r="SM26" s="229"/>
      <c r="SN26" s="219">
        <f t="shared" si="149"/>
        <v>0</v>
      </c>
      <c r="SO26" s="229"/>
      <c r="SP26" s="229"/>
      <c r="SQ26" s="229"/>
      <c r="SR26" s="219">
        <f t="shared" si="151"/>
        <v>0</v>
      </c>
      <c r="SS26" s="229"/>
      <c r="ST26" s="229"/>
      <c r="SU26" s="219">
        <f t="shared" si="153"/>
        <v>0</v>
      </c>
      <c r="SV26" s="229"/>
      <c r="SW26" s="229"/>
      <c r="SX26" s="219">
        <f t="shared" si="155"/>
        <v>0</v>
      </c>
      <c r="SY26" s="229"/>
      <c r="SZ26" s="229"/>
      <c r="TA26" s="219">
        <f t="shared" si="157"/>
        <v>0</v>
      </c>
      <c r="TB26" s="229"/>
      <c r="TC26" s="229"/>
      <c r="TD26" s="229"/>
      <c r="TE26" s="229"/>
      <c r="TF26" s="229"/>
      <c r="TG26" s="229"/>
      <c r="TH26" s="175"/>
      <c r="TI26" s="175"/>
      <c r="TJ26" s="175"/>
      <c r="TK26" s="175"/>
      <c r="TL26" s="175"/>
      <c r="TM26" s="175"/>
      <c r="TN26" s="175"/>
      <c r="TO26" s="175"/>
      <c r="TP26" s="229"/>
      <c r="TQ26" s="229"/>
      <c r="TR26" s="229"/>
      <c r="TS26" s="175"/>
      <c r="TT26" s="175"/>
      <c r="TU26" s="175"/>
      <c r="TV26" s="175"/>
      <c r="TW26" s="175"/>
      <c r="TX26" s="175"/>
      <c r="TY26" s="175"/>
      <c r="TZ26" s="175"/>
      <c r="UA26" s="175"/>
      <c r="UB26" s="175"/>
      <c r="UC26" s="175"/>
    </row>
    <row r="27" spans="1:549" s="182" customFormat="1" x14ac:dyDescent="0.25">
      <c r="A27" s="231">
        <v>120302</v>
      </c>
      <c r="B27" s="232"/>
      <c r="C27" s="233" t="s">
        <v>249</v>
      </c>
      <c r="D27" s="36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  <c r="CL27" s="229"/>
      <c r="CM27" s="229"/>
      <c r="CN27" s="229"/>
      <c r="CO27" s="229"/>
      <c r="CP27" s="229"/>
      <c r="CQ27" s="229"/>
      <c r="CR27" s="229"/>
      <c r="CS27" s="229"/>
      <c r="CT27" s="229"/>
      <c r="CU27" s="229"/>
      <c r="CV27" s="229"/>
      <c r="CW27" s="229"/>
      <c r="CX27" s="229"/>
      <c r="CY27" s="22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29"/>
      <c r="DM27" s="229"/>
      <c r="DN27" s="229"/>
      <c r="DO27" s="229"/>
      <c r="DP27" s="229"/>
      <c r="DQ27" s="229"/>
      <c r="DR27" s="229"/>
      <c r="DS27" s="229"/>
      <c r="DT27" s="229"/>
      <c r="DU27" s="229"/>
      <c r="DV27" s="229"/>
      <c r="DW27" s="229"/>
      <c r="DX27" s="229"/>
      <c r="DY27" s="229"/>
      <c r="DZ27" s="229"/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  <c r="EO27" s="229"/>
      <c r="EP27" s="229"/>
      <c r="EQ27" s="229"/>
      <c r="ER27" s="229"/>
      <c r="ES27" s="229"/>
      <c r="ET27" s="229"/>
      <c r="EU27" s="229"/>
      <c r="EV27" s="229"/>
      <c r="EW27" s="229"/>
      <c r="EX27" s="229"/>
      <c r="EY27" s="229"/>
      <c r="EZ27" s="229"/>
      <c r="FA27" s="229"/>
      <c r="FB27" s="229"/>
      <c r="FC27" s="229"/>
      <c r="FD27" s="229"/>
      <c r="FE27" s="229"/>
      <c r="FF27" s="229"/>
      <c r="FG27" s="229"/>
      <c r="FH27" s="229"/>
      <c r="FI27" s="229"/>
      <c r="FJ27" s="229"/>
      <c r="FK27" s="229"/>
      <c r="FL27" s="229"/>
      <c r="FM27" s="229"/>
      <c r="FN27" s="229"/>
      <c r="FO27" s="229"/>
      <c r="FP27" s="229"/>
      <c r="FQ27" s="229"/>
      <c r="FR27" s="229"/>
      <c r="FS27" s="229"/>
      <c r="FT27" s="229"/>
      <c r="FU27" s="229"/>
      <c r="FV27" s="229"/>
      <c r="FW27" s="229"/>
      <c r="FX27" s="229"/>
      <c r="FY27" s="229"/>
      <c r="FZ27" s="229"/>
      <c r="GA27" s="229"/>
      <c r="GB27" s="229"/>
      <c r="GC27" s="229"/>
      <c r="GD27" s="229"/>
      <c r="GE27" s="229"/>
      <c r="GF27" s="229"/>
      <c r="GG27" s="229"/>
      <c r="GH27" s="229"/>
      <c r="GI27" s="229"/>
      <c r="GJ27" s="229"/>
      <c r="GK27" s="229"/>
      <c r="GL27" s="229"/>
      <c r="GM27" s="229"/>
      <c r="GN27" s="229"/>
      <c r="GO27" s="229"/>
      <c r="GP27" s="229"/>
      <c r="GQ27" s="229"/>
      <c r="GR27" s="229"/>
      <c r="GS27" s="229"/>
      <c r="GT27" s="229"/>
      <c r="GU27" s="229"/>
      <c r="GV27" s="229"/>
      <c r="GW27" s="229"/>
      <c r="GX27" s="229"/>
      <c r="GY27" s="229"/>
      <c r="GZ27" s="229"/>
      <c r="HA27" s="229"/>
      <c r="HB27" s="229"/>
      <c r="HC27" s="229"/>
      <c r="HD27" s="229"/>
      <c r="HE27" s="229"/>
      <c r="HF27" s="229"/>
      <c r="HG27" s="229"/>
      <c r="HH27" s="229"/>
      <c r="HI27" s="229"/>
      <c r="HJ27" s="229"/>
      <c r="HK27" s="229"/>
      <c r="HL27" s="229"/>
      <c r="HM27" s="229"/>
      <c r="HN27" s="229"/>
      <c r="HO27" s="229"/>
      <c r="HP27" s="229"/>
      <c r="HQ27" s="229"/>
      <c r="HR27" s="229"/>
      <c r="HS27" s="229"/>
      <c r="HT27" s="229"/>
      <c r="HU27" s="229"/>
      <c r="HV27" s="229"/>
      <c r="HW27" s="229"/>
      <c r="HX27" s="229"/>
      <c r="HY27" s="229"/>
      <c r="HZ27" s="229"/>
      <c r="IA27" s="229"/>
      <c r="IB27" s="229"/>
      <c r="IC27" s="229"/>
      <c r="ID27" s="229"/>
      <c r="IE27" s="229"/>
      <c r="IF27" s="229"/>
      <c r="IG27" s="229"/>
      <c r="IH27" s="229"/>
      <c r="II27" s="229"/>
      <c r="IJ27" s="229"/>
      <c r="IK27" s="229"/>
      <c r="IL27" s="229"/>
      <c r="IM27" s="229"/>
      <c r="IN27" s="229"/>
      <c r="IO27" s="229"/>
      <c r="IP27" s="229"/>
      <c r="IQ27" s="229"/>
      <c r="IR27" s="229"/>
      <c r="IS27" s="229"/>
      <c r="IT27" s="229"/>
      <c r="IU27" s="229"/>
      <c r="IV27" s="229"/>
      <c r="IW27" s="229"/>
      <c r="IX27" s="229"/>
      <c r="IY27" s="229"/>
      <c r="IZ27" s="229"/>
      <c r="JA27" s="229"/>
      <c r="JB27" s="229"/>
      <c r="JC27" s="229"/>
      <c r="JD27" s="229"/>
      <c r="JE27" s="229"/>
      <c r="JF27" s="229"/>
      <c r="JG27" s="229"/>
      <c r="JH27" s="229"/>
      <c r="JI27" s="229"/>
      <c r="JJ27" s="229"/>
      <c r="JK27" s="229"/>
      <c r="JL27" s="229"/>
      <c r="JM27" s="229"/>
      <c r="JN27" s="229"/>
      <c r="JO27" s="229"/>
      <c r="JP27" s="229"/>
      <c r="JQ27" s="229"/>
      <c r="JR27" s="229"/>
      <c r="JS27" s="229"/>
      <c r="JT27" s="229"/>
      <c r="JU27" s="229"/>
      <c r="JV27" s="229"/>
      <c r="JW27" s="229"/>
      <c r="JX27" s="229"/>
      <c r="JY27" s="229"/>
      <c r="JZ27" s="229"/>
      <c r="KA27" s="229"/>
      <c r="KB27" s="229"/>
      <c r="KC27" s="229"/>
      <c r="KD27" s="229"/>
      <c r="KE27" s="229"/>
      <c r="KF27" s="229"/>
      <c r="KG27" s="229"/>
      <c r="KH27" s="229"/>
      <c r="KI27" s="229"/>
      <c r="KJ27" s="229"/>
      <c r="KK27" s="229"/>
      <c r="KL27" s="229"/>
      <c r="KM27" s="229"/>
      <c r="KN27" s="229"/>
      <c r="KO27" s="229"/>
      <c r="KP27" s="229"/>
      <c r="KQ27" s="229"/>
      <c r="KR27" s="229"/>
      <c r="KS27" s="229"/>
      <c r="KT27" s="229"/>
      <c r="KU27" s="229"/>
      <c r="KV27" s="229"/>
      <c r="KW27" s="229"/>
      <c r="KX27" s="229"/>
      <c r="KY27" s="229"/>
      <c r="KZ27" s="229"/>
      <c r="LA27" s="229"/>
      <c r="LB27" s="229"/>
      <c r="LC27" s="229"/>
      <c r="LD27" s="229"/>
      <c r="LE27" s="229"/>
      <c r="LF27" s="229"/>
      <c r="LG27" s="229"/>
      <c r="LH27" s="229"/>
      <c r="LI27" s="229"/>
      <c r="LJ27" s="229"/>
      <c r="LK27" s="229"/>
      <c r="LL27" s="229"/>
      <c r="LM27" s="229"/>
      <c r="LN27" s="229"/>
      <c r="LO27" s="229"/>
      <c r="LP27" s="229"/>
      <c r="LQ27" s="229"/>
      <c r="LR27" s="229"/>
      <c r="LS27" s="229"/>
      <c r="LT27" s="229"/>
      <c r="LU27" s="229"/>
      <c r="LV27" s="229"/>
      <c r="LW27" s="229"/>
      <c r="LX27" s="229"/>
      <c r="LY27" s="229"/>
      <c r="LZ27" s="229"/>
      <c r="MA27" s="229"/>
      <c r="MB27" s="229"/>
      <c r="MC27" s="229"/>
      <c r="MD27" s="229"/>
      <c r="ME27" s="229"/>
      <c r="MF27" s="229"/>
      <c r="MG27" s="229"/>
      <c r="MH27" s="229"/>
      <c r="MI27" s="229"/>
      <c r="MJ27" s="229"/>
      <c r="MK27" s="229"/>
      <c r="ML27" s="229"/>
      <c r="MM27" s="229"/>
      <c r="MN27" s="229"/>
      <c r="MO27" s="229"/>
      <c r="MP27" s="229"/>
      <c r="MQ27" s="229"/>
      <c r="MR27" s="229"/>
      <c r="MS27" s="229"/>
      <c r="MT27" s="229"/>
      <c r="MU27" s="229"/>
      <c r="MV27" s="229"/>
      <c r="MW27" s="229"/>
      <c r="MX27" s="229"/>
      <c r="MY27" s="229"/>
      <c r="MZ27" s="229"/>
      <c r="NA27" s="229"/>
      <c r="NB27" s="229"/>
      <c r="NC27" s="229"/>
      <c r="ND27" s="229"/>
      <c r="NE27" s="229"/>
      <c r="NF27" s="229"/>
      <c r="NG27" s="229"/>
      <c r="NH27" s="229"/>
      <c r="NI27" s="229"/>
      <c r="NJ27" s="229"/>
      <c r="NK27" s="229"/>
      <c r="NL27" s="229"/>
      <c r="NM27" s="229"/>
      <c r="NN27" s="229"/>
      <c r="NO27" s="229"/>
      <c r="NP27" s="229"/>
      <c r="NQ27" s="229"/>
      <c r="NR27" s="229"/>
      <c r="NS27" s="229"/>
      <c r="NT27" s="229"/>
      <c r="NU27" s="229"/>
      <c r="NV27" s="229"/>
      <c r="NW27" s="229"/>
      <c r="NX27" s="229"/>
      <c r="NY27" s="229"/>
      <c r="NZ27" s="229"/>
      <c r="OA27" s="229"/>
      <c r="OB27" s="229"/>
      <c r="OC27" s="229"/>
      <c r="OD27" s="229"/>
      <c r="OE27" s="229"/>
      <c r="OF27" s="229"/>
      <c r="OG27" s="229"/>
      <c r="OH27" s="229"/>
      <c r="OI27" s="229"/>
      <c r="OJ27" s="229"/>
      <c r="OK27" s="229"/>
      <c r="OL27" s="229"/>
      <c r="OM27" s="229"/>
      <c r="ON27" s="229"/>
      <c r="OO27" s="229"/>
      <c r="OP27" s="229"/>
      <c r="OQ27" s="229"/>
      <c r="OR27" s="229"/>
      <c r="OS27" s="229"/>
      <c r="OT27" s="229"/>
      <c r="OU27" s="229"/>
      <c r="OV27" s="229"/>
      <c r="OW27" s="229"/>
      <c r="OX27" s="229"/>
      <c r="OY27" s="229"/>
      <c r="OZ27" s="229"/>
      <c r="PA27" s="229"/>
      <c r="PB27" s="229"/>
      <c r="PC27" s="229"/>
      <c r="PD27" s="229"/>
      <c r="PE27" s="229"/>
      <c r="PF27" s="229"/>
      <c r="PG27" s="229"/>
      <c r="PH27" s="229"/>
      <c r="PI27" s="229"/>
      <c r="PJ27" s="229"/>
      <c r="PK27" s="229"/>
      <c r="PL27" s="229"/>
      <c r="PM27" s="229"/>
      <c r="PN27" s="229"/>
      <c r="PO27" s="229"/>
      <c r="PP27" s="229"/>
      <c r="PQ27" s="229"/>
      <c r="PR27" s="229"/>
      <c r="PS27" s="229"/>
      <c r="PT27" s="229"/>
      <c r="PU27" s="229"/>
      <c r="PV27" s="229"/>
      <c r="PW27" s="229"/>
      <c r="PX27" s="229"/>
      <c r="PY27" s="229"/>
      <c r="PZ27" s="229"/>
      <c r="QA27" s="229"/>
      <c r="QB27" s="229"/>
      <c r="QC27" s="229"/>
      <c r="QD27" s="229"/>
      <c r="QE27" s="229"/>
      <c r="QF27" s="229"/>
      <c r="QG27" s="229"/>
      <c r="QH27" s="229"/>
      <c r="QI27" s="229"/>
      <c r="QJ27" s="229"/>
      <c r="QK27" s="229"/>
      <c r="QL27" s="229"/>
      <c r="QM27" s="229"/>
      <c r="QN27" s="229"/>
      <c r="QO27" s="229"/>
      <c r="QP27" s="229"/>
      <c r="QQ27" s="229"/>
      <c r="QR27" s="229"/>
      <c r="QS27" s="229"/>
      <c r="QT27" s="229"/>
      <c r="QU27" s="229"/>
      <c r="QV27" s="229"/>
      <c r="QW27" s="229"/>
      <c r="QX27" s="229"/>
      <c r="QY27" s="229"/>
      <c r="QZ27" s="229"/>
      <c r="RA27" s="229"/>
      <c r="RB27" s="229"/>
      <c r="RC27" s="229"/>
      <c r="RD27" s="229"/>
      <c r="RE27" s="229"/>
      <c r="RF27" s="229"/>
      <c r="RG27" s="229"/>
      <c r="RH27" s="229"/>
      <c r="RI27" s="229"/>
      <c r="RJ27" s="229"/>
      <c r="RK27" s="229"/>
      <c r="RL27" s="229"/>
      <c r="RM27" s="229"/>
      <c r="RN27" s="229"/>
      <c r="RO27" s="229"/>
      <c r="RP27" s="229"/>
      <c r="RQ27" s="229"/>
      <c r="RR27" s="229"/>
      <c r="RS27" s="229"/>
      <c r="RT27" s="229"/>
      <c r="RU27" s="229"/>
      <c r="RV27" s="229"/>
      <c r="RW27" s="229"/>
      <c r="RX27" s="229"/>
      <c r="RY27" s="229"/>
      <c r="RZ27" s="229"/>
      <c r="SA27" s="229"/>
      <c r="SB27" s="229"/>
      <c r="SC27" s="229"/>
      <c r="SD27" s="229"/>
      <c r="SE27" s="229"/>
      <c r="SF27" s="229"/>
      <c r="SG27" s="229"/>
      <c r="SH27" s="229"/>
      <c r="SI27" s="229"/>
      <c r="SJ27" s="229"/>
      <c r="SK27" s="229"/>
      <c r="SL27" s="229"/>
      <c r="SM27" s="229"/>
      <c r="SN27" s="229"/>
      <c r="SO27" s="229"/>
      <c r="SP27" s="229"/>
      <c r="SQ27" s="229"/>
      <c r="SR27" s="229"/>
      <c r="SS27" s="229"/>
      <c r="ST27" s="229"/>
      <c r="SU27" s="229"/>
      <c r="SV27" s="229"/>
      <c r="SW27" s="229"/>
      <c r="SX27" s="229"/>
      <c r="SY27" s="229"/>
      <c r="SZ27" s="229"/>
      <c r="TA27" s="229"/>
      <c r="TB27" s="229"/>
      <c r="TC27" s="229"/>
      <c r="TD27" s="229"/>
      <c r="TE27" s="229"/>
      <c r="TF27" s="229"/>
      <c r="TG27" s="229"/>
      <c r="TH27" s="229"/>
      <c r="TI27" s="229"/>
      <c r="TJ27" s="229"/>
      <c r="TK27" s="229"/>
      <c r="TL27" s="229"/>
      <c r="TM27" s="229"/>
      <c r="TN27" s="229"/>
      <c r="TO27" s="229"/>
      <c r="TP27" s="229"/>
      <c r="TQ27" s="229"/>
      <c r="TR27" s="229"/>
      <c r="TS27" s="229"/>
      <c r="TT27" s="229"/>
      <c r="TU27" s="229"/>
      <c r="TV27" s="229"/>
      <c r="TW27" s="229"/>
      <c r="TX27" s="229"/>
      <c r="TY27" s="229"/>
      <c r="TZ27" s="229"/>
      <c r="UA27" s="229"/>
      <c r="UB27" s="229"/>
      <c r="UC27" s="229"/>
    </row>
    <row r="28" spans="1:549" s="182" customFormat="1" x14ac:dyDescent="0.25">
      <c r="A28" s="35"/>
      <c r="B28" s="237"/>
      <c r="C28" s="184"/>
      <c r="D28" s="36"/>
      <c r="E28" s="39"/>
      <c r="F28" s="39"/>
      <c r="G28" s="39"/>
      <c r="H28" s="18">
        <f t="shared" ref="H28" si="638">SUM(E28:G28)</f>
        <v>0</v>
      </c>
      <c r="I28" s="39"/>
      <c r="J28" s="39"/>
      <c r="K28" s="39"/>
      <c r="L28" s="18">
        <f t="shared" ref="L28" si="639">SUM(I28:K28)</f>
        <v>0</v>
      </c>
      <c r="M28" s="39"/>
      <c r="N28" s="39"/>
      <c r="O28" s="18">
        <f t="shared" ref="O28" si="640">SUM(M28:N28)</f>
        <v>0</v>
      </c>
      <c r="P28" s="39"/>
      <c r="Q28" s="39"/>
      <c r="R28" s="39"/>
      <c r="S28" s="39"/>
      <c r="T28" s="18">
        <f t="shared" ref="T28" si="641">SUM(Q28:S28)</f>
        <v>0</v>
      </c>
      <c r="U28" s="39"/>
      <c r="V28" s="39"/>
      <c r="W28" s="39"/>
      <c r="X28" s="18">
        <f t="shared" ref="X28" si="642">SUM(V28:W28)</f>
        <v>0</v>
      </c>
      <c r="Y28" s="39"/>
      <c r="Z28" s="39"/>
      <c r="AA28" s="18">
        <f t="shared" ref="AA28" si="643">SUM(Y28:Z28)</f>
        <v>0</v>
      </c>
      <c r="AB28" s="39"/>
      <c r="AC28" s="39"/>
      <c r="AD28" s="18">
        <f t="shared" ref="AD28" si="644">SUM(AB28:AC28)</f>
        <v>0</v>
      </c>
      <c r="AE28" s="39"/>
      <c r="AF28" s="39"/>
      <c r="AG28" s="39"/>
      <c r="AH28" s="18">
        <f t="shared" ref="AH28" si="645">SUM(AF28:AG28)</f>
        <v>0</v>
      </c>
      <c r="AI28" s="39"/>
      <c r="AJ28" s="39"/>
      <c r="AK28" s="39"/>
      <c r="AL28" s="18">
        <f t="shared" ref="AL28" si="646">SUM(AJ28:AK28)</f>
        <v>0</v>
      </c>
      <c r="AM28" s="39"/>
      <c r="AN28" s="39"/>
      <c r="AO28" s="39"/>
      <c r="AP28" s="18">
        <f t="shared" ref="AP28" si="647">SUM(AN28:AO28)</f>
        <v>0</v>
      </c>
      <c r="AQ28" s="39"/>
      <c r="AR28" s="39"/>
      <c r="AS28" s="39"/>
      <c r="AT28" s="39"/>
      <c r="AU28" s="18">
        <f t="shared" ref="AU28" si="648">SUM(AR28:AT28)</f>
        <v>0</v>
      </c>
      <c r="AV28" s="39"/>
      <c r="AW28" s="39"/>
      <c r="AX28" s="39"/>
      <c r="AY28" s="39"/>
      <c r="AZ28" s="39"/>
      <c r="BA28" s="39"/>
      <c r="BB28" s="39"/>
      <c r="BC28" s="39"/>
      <c r="BD28" s="18">
        <f t="shared" ref="BD28" si="649">SUM(BB28:BC28)</f>
        <v>0</v>
      </c>
      <c r="BE28" s="39"/>
      <c r="BF28" s="39"/>
      <c r="BG28" s="39"/>
      <c r="BH28" s="39"/>
      <c r="BI28" s="39"/>
      <c r="BJ28" s="39"/>
      <c r="BK28" s="39"/>
      <c r="BL28" s="18">
        <f>SUM(BJ28:BK28)</f>
        <v>0</v>
      </c>
      <c r="BM28" s="39"/>
      <c r="BN28" s="39"/>
      <c r="BO28" s="39"/>
      <c r="BP28" s="39"/>
      <c r="BQ28" s="39"/>
      <c r="BR28" s="39"/>
      <c r="BS28" s="18">
        <f t="shared" ref="BS28" si="650">SUM(BP28:BR28)</f>
        <v>0</v>
      </c>
      <c r="BT28" s="39"/>
      <c r="BU28" s="39"/>
      <c r="BV28" s="39"/>
      <c r="BW28" s="18">
        <f t="shared" ref="BW28" si="651">SUM(BU28:BV28)</f>
        <v>0</v>
      </c>
      <c r="BX28" s="39"/>
      <c r="BY28" s="39"/>
      <c r="BZ28" s="18">
        <f t="shared" ref="BZ28" si="652">SUM(BX28:BY28)</f>
        <v>0</v>
      </c>
      <c r="CA28" s="39"/>
      <c r="CB28" s="39"/>
      <c r="CC28" s="18">
        <f t="shared" ref="CC28" si="653">SUM(CA28:CB28)</f>
        <v>0</v>
      </c>
      <c r="CD28" s="39"/>
      <c r="CE28" s="39"/>
      <c r="CF28" s="39"/>
      <c r="CG28" s="39"/>
      <c r="CH28" s="39"/>
      <c r="CI28" s="39"/>
      <c r="CJ28" s="39"/>
      <c r="CK28" s="39"/>
      <c r="CL28" s="18">
        <f t="shared" ref="CL28" si="654">SUM(CI28:CK28)</f>
        <v>0</v>
      </c>
      <c r="CM28" s="39"/>
      <c r="CN28" s="39"/>
      <c r="CO28" s="39"/>
      <c r="CP28" s="39"/>
      <c r="CQ28" s="18">
        <f t="shared" ref="CQ28" si="655">SUM(CO28:CP28)</f>
        <v>0</v>
      </c>
      <c r="CR28" s="39"/>
      <c r="CS28" s="39"/>
      <c r="CT28" s="39"/>
      <c r="CU28" s="39"/>
      <c r="CV28" s="39"/>
      <c r="CW28" s="39"/>
      <c r="CX28" s="18">
        <f t="shared" ref="CX28" si="656">SUM(CU28:CW28)</f>
        <v>0</v>
      </c>
      <c r="CY28" s="39"/>
      <c r="CZ28" s="39"/>
      <c r="DA28" s="39"/>
      <c r="DB28" s="18">
        <f t="shared" ref="DB28" si="657">SUM(CZ28:DA28)</f>
        <v>0</v>
      </c>
      <c r="DC28" s="39"/>
      <c r="DD28" s="39"/>
      <c r="DE28" s="18">
        <f t="shared" ref="DE28" si="658">SUM(DC28:DD28)</f>
        <v>0</v>
      </c>
      <c r="DF28" s="39"/>
      <c r="DG28" s="39"/>
      <c r="DH28" s="18">
        <f>SUM(DF28:DG28)</f>
        <v>0</v>
      </c>
      <c r="DI28" s="39"/>
      <c r="DJ28" s="39"/>
      <c r="DK28" s="18">
        <f t="shared" ref="DK28" si="659">SUM(DI28:DJ28)</f>
        <v>0</v>
      </c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18">
        <f t="shared" ref="DW28" si="660">SUM(DT28:DV28)</f>
        <v>0</v>
      </c>
      <c r="DX28" s="39"/>
      <c r="DY28" s="39"/>
      <c r="DZ28" s="39"/>
      <c r="EA28" s="18">
        <f t="shared" ref="EA28" si="661">SUM(DY28:DZ28)</f>
        <v>0</v>
      </c>
      <c r="EB28" s="39"/>
      <c r="EC28" s="39"/>
      <c r="ED28" s="39"/>
      <c r="EE28" s="39"/>
      <c r="EF28" s="39"/>
      <c r="EG28" s="39"/>
      <c r="EH28" s="18">
        <f t="shared" ref="EH28" si="662">SUM(EE28:EG28)</f>
        <v>0</v>
      </c>
      <c r="EI28" s="39"/>
      <c r="EJ28" s="39"/>
      <c r="EK28" s="39"/>
      <c r="EL28" s="18">
        <f t="shared" ref="EL28" si="663">SUM(EJ28:EK28)</f>
        <v>0</v>
      </c>
      <c r="EM28" s="39"/>
      <c r="EN28" s="39"/>
      <c r="EO28" s="18">
        <f t="shared" ref="EO28" si="664">SUM(EM28:EN28)</f>
        <v>0</v>
      </c>
      <c r="EP28" s="39"/>
      <c r="EQ28" s="39"/>
      <c r="ER28" s="18">
        <f t="shared" ref="ER28" si="665">SUM(EP28:EQ28)</f>
        <v>0</v>
      </c>
      <c r="ES28" s="39"/>
      <c r="ET28" s="39"/>
      <c r="EU28" s="18">
        <f t="shared" ref="EU28" si="666">SUM(ES28:ET28)</f>
        <v>0</v>
      </c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18">
        <f t="shared" ref="FG28" si="667">SUM(FD28:FF28)</f>
        <v>0</v>
      </c>
      <c r="FH28" s="39"/>
      <c r="FI28" s="39"/>
      <c r="FJ28" s="39"/>
      <c r="FK28" s="18">
        <f t="shared" ref="FK28" si="668">SUM(FI28:FJ28)</f>
        <v>0</v>
      </c>
      <c r="FL28" s="39"/>
      <c r="FM28" s="39"/>
      <c r="FN28" s="39"/>
      <c r="FO28" s="39"/>
      <c r="FP28" s="39"/>
      <c r="FQ28" s="39"/>
      <c r="FR28" s="18">
        <f t="shared" ref="FR28" si="669">SUM(FO28:FQ28)</f>
        <v>0</v>
      </c>
      <c r="FS28" s="39"/>
      <c r="FT28" s="39"/>
      <c r="FU28" s="39"/>
      <c r="FV28" s="18">
        <f t="shared" ref="FV28" si="670">SUM(FT28:FU28)</f>
        <v>0</v>
      </c>
      <c r="FW28" s="39"/>
      <c r="FX28" s="39"/>
      <c r="FY28" s="18">
        <f t="shared" ref="FY28" si="671">SUM(FW28:FX28)</f>
        <v>0</v>
      </c>
      <c r="FZ28" s="39"/>
      <c r="GA28" s="39"/>
      <c r="GB28" s="18">
        <f t="shared" ref="GB28" si="672">SUM(FZ28:GA28)</f>
        <v>0</v>
      </c>
      <c r="GC28" s="39"/>
      <c r="GD28" s="39"/>
      <c r="GE28" s="18">
        <f t="shared" ref="GE28" si="673">SUM(GC28:GD28)</f>
        <v>0</v>
      </c>
      <c r="GF28" s="39"/>
      <c r="GG28" s="270"/>
      <c r="GH28" s="270"/>
      <c r="GI28" s="270"/>
      <c r="GJ28" s="39"/>
      <c r="GK28" s="28"/>
      <c r="GL28" s="28"/>
      <c r="GM28" s="28"/>
      <c r="GN28" s="20">
        <f t="shared" ref="GN28" si="674">SUM(GK28:GM28)</f>
        <v>0</v>
      </c>
      <c r="GO28" s="39"/>
      <c r="GP28" s="39"/>
      <c r="GQ28" s="39"/>
      <c r="GR28" s="18">
        <f t="shared" ref="GR28" si="675">SUM(GO28:GQ28)</f>
        <v>0</v>
      </c>
      <c r="GS28" s="39"/>
      <c r="GT28" s="39"/>
      <c r="GU28" s="39"/>
      <c r="GV28" s="39"/>
      <c r="GW28" s="18">
        <f t="shared" ref="GW28" si="676">SUM(GT28:GV28)</f>
        <v>0</v>
      </c>
      <c r="GX28" s="39"/>
      <c r="GY28" s="39"/>
      <c r="GZ28" s="39"/>
      <c r="HA28" s="39"/>
      <c r="HB28" s="18">
        <f t="shared" ref="HB28" si="677">SUM(GY28:HA28)</f>
        <v>0</v>
      </c>
      <c r="HC28" s="39"/>
      <c r="HD28" s="39"/>
      <c r="HE28" s="39"/>
      <c r="HF28" s="39"/>
      <c r="HG28" s="18">
        <f t="shared" ref="HG28" si="678">SUM(HD28:HF28)</f>
        <v>0</v>
      </c>
      <c r="HH28" s="39"/>
      <c r="HI28" s="39"/>
      <c r="HJ28" s="39"/>
      <c r="HK28" s="39"/>
      <c r="HL28" s="18">
        <f t="shared" ref="HL28" si="679">SUM(HI28:HK28)</f>
        <v>0</v>
      </c>
      <c r="HM28" s="39"/>
      <c r="HN28" s="39"/>
      <c r="HO28" s="39"/>
      <c r="HP28" s="39"/>
      <c r="HQ28" s="18">
        <f t="shared" ref="HQ28" si="680">SUM(HN28:HP28)</f>
        <v>0</v>
      </c>
      <c r="HR28" s="39"/>
      <c r="HS28" s="28"/>
      <c r="HT28" s="28"/>
      <c r="HU28" s="28"/>
      <c r="HV28" s="20">
        <f t="shared" ref="HV28" si="681">SUM(HS28:HU28)</f>
        <v>0</v>
      </c>
      <c r="HW28" s="39"/>
      <c r="HX28" s="39"/>
      <c r="HY28" s="39"/>
      <c r="HZ28" s="18">
        <f t="shared" ref="HZ28" si="682">SUM(HW28:HY28)</f>
        <v>0</v>
      </c>
      <c r="IA28" s="39"/>
      <c r="IB28" s="39"/>
      <c r="IC28" s="39"/>
      <c r="ID28" s="39"/>
      <c r="IE28" s="18">
        <f t="shared" ref="IE28" si="683">SUM(IB28:ID28)</f>
        <v>0</v>
      </c>
      <c r="IF28" s="39"/>
      <c r="IG28" s="39"/>
      <c r="IH28" s="39"/>
      <c r="II28" s="39"/>
      <c r="IJ28" s="18">
        <f t="shared" ref="IJ28" si="684">SUM(IG28:II28)</f>
        <v>0</v>
      </c>
      <c r="IK28" s="39"/>
      <c r="IL28" s="39"/>
      <c r="IM28" s="39"/>
      <c r="IN28" s="39"/>
      <c r="IO28" s="18">
        <f t="shared" ref="IO28" si="685">SUM(IL28:IN28)</f>
        <v>0</v>
      </c>
      <c r="IP28" s="39"/>
      <c r="IQ28" s="39"/>
      <c r="IR28" s="39"/>
      <c r="IS28" s="39"/>
      <c r="IT28" s="18">
        <f t="shared" ref="IT28" si="686">SUM(IQ28:IS28)</f>
        <v>0</v>
      </c>
      <c r="IU28" s="39"/>
      <c r="IV28" s="39"/>
      <c r="IW28" s="39"/>
      <c r="IX28" s="18">
        <f t="shared" ref="IX28" si="687">SUM(IU28:IW28)</f>
        <v>0</v>
      </c>
      <c r="IY28" s="39"/>
      <c r="IZ28" s="39"/>
      <c r="JA28" s="39"/>
      <c r="JB28" s="18">
        <f t="shared" ref="JB28" si="688">SUM(IY28:JA28)</f>
        <v>0</v>
      </c>
      <c r="JC28" s="39"/>
      <c r="JD28" s="39"/>
      <c r="JE28" s="39"/>
      <c r="JF28" s="18">
        <f t="shared" ref="JF28" si="689">SUM(JC28:JE28)</f>
        <v>0</v>
      </c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40"/>
      <c r="KJ28" s="39"/>
      <c r="KK28" s="39"/>
      <c r="KL28" s="39"/>
      <c r="KM28" s="39"/>
      <c r="KN28" s="40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18">
        <f t="shared" ref="KZ28" si="690">SUM(KW28:KY28)</f>
        <v>0</v>
      </c>
      <c r="LA28" s="39"/>
      <c r="LB28" s="39"/>
      <c r="LC28" s="39"/>
      <c r="LD28" s="18">
        <f t="shared" ref="LD28" si="691">SUM(LA28:LC28)</f>
        <v>0</v>
      </c>
      <c r="LE28" s="39"/>
      <c r="LF28" s="39"/>
      <c r="LG28" s="39"/>
      <c r="LH28" s="18">
        <f t="shared" ref="LH28" si="692">SUM(LE28:LG28)</f>
        <v>0</v>
      </c>
      <c r="LI28" s="39"/>
      <c r="LJ28" s="39"/>
      <c r="LK28" s="39"/>
      <c r="LL28" s="18">
        <f t="shared" ref="LL28" si="693">SUM(LI28:LK28)</f>
        <v>0</v>
      </c>
      <c r="LM28" s="39"/>
      <c r="LN28" s="39"/>
      <c r="LO28" s="39"/>
      <c r="LP28" s="18">
        <f t="shared" ref="LP28" si="694">SUM(LM28:LO28)</f>
        <v>0</v>
      </c>
      <c r="LQ28" s="39"/>
      <c r="LR28" s="39"/>
      <c r="LS28" s="39"/>
      <c r="LT28" s="18">
        <f t="shared" ref="LT28" si="695">SUM(LQ28:LS28)</f>
        <v>0</v>
      </c>
      <c r="LU28" s="19"/>
      <c r="LV28" s="19"/>
      <c r="LW28" s="19"/>
      <c r="LX28" s="21">
        <f t="shared" ref="LX28" si="696">SUM(LU28:LW28)</f>
        <v>0</v>
      </c>
      <c r="LY28" s="39"/>
      <c r="LZ28" s="39"/>
      <c r="MA28" s="39"/>
      <c r="MB28" s="18">
        <f t="shared" ref="MB28" si="697">SUM(LY28:MA28)</f>
        <v>0</v>
      </c>
      <c r="MC28" s="39"/>
      <c r="MD28" s="18">
        <f t="shared" ref="MD28" si="698">MC28</f>
        <v>0</v>
      </c>
      <c r="ME28" s="39"/>
      <c r="MF28" s="18">
        <f t="shared" ref="MF28" si="699">ME28</f>
        <v>0</v>
      </c>
      <c r="MG28" s="39"/>
      <c r="MH28" s="18">
        <f t="shared" ref="MH28" si="700">MG28</f>
        <v>0</v>
      </c>
      <c r="MI28" s="39"/>
      <c r="MJ28" s="18">
        <f t="shared" ref="MJ28" si="701">MI28</f>
        <v>0</v>
      </c>
      <c r="MK28" s="39"/>
      <c r="ML28" s="18">
        <f t="shared" ref="ML28" si="702">MK28</f>
        <v>0</v>
      </c>
      <c r="MM28" s="39"/>
      <c r="MN28" s="39"/>
      <c r="MO28" s="39"/>
      <c r="MP28" s="39"/>
      <c r="MQ28" s="39"/>
      <c r="MR28" s="39"/>
      <c r="MS28" s="39"/>
      <c r="MT28" s="39"/>
      <c r="MU28" s="39"/>
      <c r="MV28" s="39"/>
      <c r="MW28" s="18">
        <f t="shared" ref="MW28" si="703">SUM(MR28:MV28)</f>
        <v>0</v>
      </c>
      <c r="MX28" s="39"/>
      <c r="MY28" s="39"/>
      <c r="MZ28" s="39"/>
      <c r="NA28" s="18">
        <f t="shared" ref="NA28" si="704">SUM(MX28:MZ28)</f>
        <v>0</v>
      </c>
      <c r="NB28" s="39"/>
      <c r="NC28" s="39"/>
      <c r="ND28" s="39"/>
      <c r="NE28" s="18">
        <f t="shared" ref="NE28" si="705">SUM(NB28:ND28)</f>
        <v>0</v>
      </c>
      <c r="NF28" s="39"/>
      <c r="NG28" s="39"/>
      <c r="NH28" s="39"/>
      <c r="NI28" s="18">
        <f t="shared" ref="NI28" si="706">SUM(NF28:NH28)</f>
        <v>0</v>
      </c>
      <c r="NJ28" s="39"/>
      <c r="NK28" s="39"/>
      <c r="NL28" s="39"/>
      <c r="NM28" s="18">
        <f t="shared" ref="NM28" si="707">SUM(NJ28:NL28)</f>
        <v>0</v>
      </c>
      <c r="NN28" s="39"/>
      <c r="NO28" s="39"/>
      <c r="NP28" s="39"/>
      <c r="NQ28" s="18">
        <f t="shared" ref="NQ28" si="708">SUM(NN28:NP28)</f>
        <v>0</v>
      </c>
      <c r="NR28" s="39"/>
      <c r="NS28" s="39"/>
      <c r="NT28" s="39"/>
      <c r="NU28" s="18">
        <f t="shared" ref="NU28" si="709">SUM(NR28:NT28)</f>
        <v>0</v>
      </c>
      <c r="NV28" s="267"/>
      <c r="NW28" s="267"/>
      <c r="NX28" s="267"/>
      <c r="NY28" s="20">
        <f t="shared" ref="NY28" si="710">SUM(NV28:NX28)</f>
        <v>0</v>
      </c>
      <c r="NZ28" s="267"/>
      <c r="OA28" s="267"/>
      <c r="OB28" s="267"/>
      <c r="OC28" s="268">
        <f t="shared" ref="OC28" si="711">SUM(NZ28:OB28)</f>
        <v>0</v>
      </c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>
        <f>SUM(OD28:OQ28)</f>
        <v>0</v>
      </c>
      <c r="OS28" s="38"/>
      <c r="OT28" s="38"/>
      <c r="OU28" s="269"/>
      <c r="OV28" s="269"/>
      <c r="OW28" s="38"/>
      <c r="OX28" s="23">
        <f t="shared" ref="OX28" si="712">SUM(OS28:OW28)</f>
        <v>0</v>
      </c>
      <c r="OY28" s="38"/>
      <c r="OZ28" s="38"/>
      <c r="PA28" s="38"/>
      <c r="PB28" s="34">
        <f t="shared" ref="PB28" si="713">SUM(OY28:PA28)</f>
        <v>0</v>
      </c>
      <c r="PC28" s="38"/>
      <c r="PD28" s="38"/>
      <c r="PE28" s="38"/>
      <c r="PF28" s="34">
        <f t="shared" ref="PF28" si="714">SUM(PC28:PE28)</f>
        <v>0</v>
      </c>
      <c r="PG28" s="38"/>
      <c r="PH28" s="38"/>
      <c r="PI28" s="38"/>
      <c r="PJ28" s="34">
        <f t="shared" ref="PJ28" si="715">SUM(PG28:PI28)</f>
        <v>0</v>
      </c>
      <c r="PK28" s="38"/>
      <c r="PL28" s="38"/>
      <c r="PM28" s="38"/>
      <c r="PN28" s="34">
        <f t="shared" ref="PN28" si="716">SUM(PK28:PM28)</f>
        <v>0</v>
      </c>
      <c r="PO28" s="38"/>
      <c r="PP28" s="38"/>
      <c r="PQ28" s="38"/>
      <c r="PR28" s="34">
        <f t="shared" ref="PR28" si="717">SUM(PO28:PQ28)</f>
        <v>0</v>
      </c>
      <c r="PS28" s="38"/>
      <c r="PT28" s="38"/>
      <c r="PU28" s="38"/>
      <c r="PV28" s="34">
        <f t="shared" ref="PV28" si="718">SUM(PS28:PU28)</f>
        <v>0</v>
      </c>
      <c r="PW28" s="38"/>
      <c r="PX28" s="38"/>
      <c r="PY28" s="38"/>
      <c r="PZ28" s="34">
        <f t="shared" ref="PZ28" si="719">SUM(PW28:PY28)</f>
        <v>0</v>
      </c>
      <c r="QA28" s="39"/>
      <c r="QB28" s="39"/>
      <c r="QC28" s="38"/>
      <c r="QD28" s="24">
        <f t="shared" ref="QD28" si="720">SUM(QA28:QC28)</f>
        <v>0</v>
      </c>
      <c r="QE28" s="39"/>
      <c r="QF28" s="39"/>
      <c r="QG28" s="39"/>
      <c r="QH28" s="39"/>
      <c r="QI28" s="39"/>
      <c r="QJ28" s="39"/>
      <c r="QK28" s="39"/>
      <c r="QL28" s="18">
        <f>SUM(QF28:QK28)</f>
        <v>0</v>
      </c>
      <c r="QM28" s="39"/>
      <c r="QN28" s="39"/>
      <c r="QO28" s="39"/>
      <c r="QP28" s="39"/>
      <c r="QQ28" s="39"/>
      <c r="QR28" s="39"/>
      <c r="QS28" s="18">
        <f>SUM(QM28:QR28)</f>
        <v>0</v>
      </c>
      <c r="QT28" s="39"/>
      <c r="QU28" s="39"/>
      <c r="QV28" s="39"/>
      <c r="QW28" s="39"/>
      <c r="QX28" s="39"/>
      <c r="QY28" s="39"/>
      <c r="QZ28" s="18">
        <f>SUM(QT28:QY28)</f>
        <v>0</v>
      </c>
      <c r="RA28" s="39"/>
      <c r="RB28" s="39"/>
      <c r="RC28" s="39"/>
      <c r="RD28" s="39"/>
      <c r="RE28" s="39"/>
      <c r="RF28" s="39"/>
      <c r="RG28" s="18">
        <f>SUM(RA28:RF28)</f>
        <v>0</v>
      </c>
      <c r="RH28" s="39"/>
      <c r="RI28" s="39"/>
      <c r="RJ28" s="39"/>
      <c r="RK28" s="39"/>
      <c r="RL28" s="39"/>
      <c r="RM28" s="39"/>
      <c r="RN28" s="18">
        <f>SUM(RH28:RM28)</f>
        <v>0</v>
      </c>
      <c r="RO28" s="39"/>
      <c r="RP28" s="39"/>
      <c r="RQ28" s="39"/>
      <c r="RR28" s="39"/>
      <c r="RS28" s="39"/>
      <c r="RT28" s="39"/>
      <c r="RU28" s="18">
        <f>SUM(RO28:RT28)</f>
        <v>0</v>
      </c>
      <c r="RV28" s="39"/>
      <c r="RW28" s="39"/>
      <c r="RX28" s="39"/>
      <c r="RY28" s="39"/>
      <c r="RZ28" s="39"/>
      <c r="SA28" s="39"/>
      <c r="SB28" s="39"/>
      <c r="SC28" s="18">
        <f t="shared" ref="SC28" si="721">SUM(RZ28:SB28)</f>
        <v>0</v>
      </c>
      <c r="SD28" s="39"/>
      <c r="SE28" s="39"/>
      <c r="SF28" s="39"/>
      <c r="SG28" s="18">
        <f t="shared" ref="SG28" si="722">SUM(SE28:SF28)</f>
        <v>0</v>
      </c>
      <c r="SH28" s="39"/>
      <c r="SI28" s="39"/>
      <c r="SJ28" s="39"/>
      <c r="SK28" s="39"/>
      <c r="SL28" s="39"/>
      <c r="SM28" s="39"/>
      <c r="SN28" s="18">
        <f t="shared" ref="SN28" si="723">SUM(SK28:SM28)</f>
        <v>0</v>
      </c>
      <c r="SO28" s="39"/>
      <c r="SP28" s="39"/>
      <c r="SQ28" s="39"/>
      <c r="SR28" s="18">
        <f t="shared" ref="SR28" si="724">SUM(SP28:SQ28)</f>
        <v>0</v>
      </c>
      <c r="SS28" s="39"/>
      <c r="ST28" s="39"/>
      <c r="SU28" s="18">
        <f t="shared" ref="SU28" si="725">SUM(SS28:ST28)</f>
        <v>0</v>
      </c>
      <c r="SV28" s="39"/>
      <c r="SW28" s="39"/>
      <c r="SX28" s="18">
        <f t="shared" ref="SX28" si="726">SUM(SV28:SW28)</f>
        <v>0</v>
      </c>
      <c r="SY28" s="39"/>
      <c r="SZ28" s="39"/>
      <c r="TA28" s="18">
        <f t="shared" ref="TA28" si="727">SUM(SY28:SZ28)</f>
        <v>0</v>
      </c>
      <c r="TB28" s="229"/>
      <c r="TC28" s="229"/>
      <c r="TD28" s="229"/>
      <c r="TE28" s="229"/>
      <c r="TF28" s="229"/>
      <c r="TG28" s="229"/>
      <c r="TH28" s="175"/>
      <c r="TI28" s="175"/>
      <c r="TJ28" s="175"/>
      <c r="TK28" s="175"/>
      <c r="TL28" s="175"/>
      <c r="TM28" s="175"/>
      <c r="TN28" s="175"/>
      <c r="TO28" s="175"/>
      <c r="TP28" s="229"/>
      <c r="TQ28" s="229"/>
      <c r="TR28" s="229"/>
      <c r="TS28" s="175"/>
      <c r="TT28" s="175"/>
      <c r="TU28" s="177"/>
      <c r="TV28" s="177"/>
      <c r="TW28" s="177"/>
      <c r="TX28" s="177"/>
      <c r="TY28" s="177"/>
      <c r="TZ28" s="177"/>
      <c r="UA28" s="175"/>
      <c r="UB28" s="175"/>
      <c r="UC28" s="177"/>
    </row>
    <row r="29" spans="1:549" x14ac:dyDescent="0.25">
      <c r="A29" s="154"/>
      <c r="B29" s="238"/>
      <c r="C29" s="156"/>
      <c r="D29" s="157"/>
      <c r="E29" s="239"/>
      <c r="F29" s="239"/>
      <c r="G29" s="239"/>
      <c r="H29" s="240"/>
      <c r="I29" s="239"/>
      <c r="J29" s="239"/>
      <c r="K29" s="239"/>
      <c r="L29" s="240"/>
      <c r="M29" s="239"/>
      <c r="N29" s="239"/>
      <c r="O29" s="240"/>
      <c r="P29" s="239"/>
      <c r="Q29" s="239"/>
      <c r="R29" s="239"/>
      <c r="S29" s="239"/>
      <c r="T29" s="240"/>
      <c r="U29" s="239"/>
      <c r="V29" s="239"/>
      <c r="W29" s="239"/>
      <c r="X29" s="240"/>
      <c r="Y29" s="239"/>
      <c r="Z29" s="239"/>
      <c r="AA29" s="240"/>
      <c r="AB29" s="239"/>
      <c r="AC29" s="239"/>
      <c r="AD29" s="240"/>
      <c r="AE29" s="239"/>
      <c r="AF29" s="239"/>
      <c r="AG29" s="239"/>
      <c r="AH29" s="240"/>
      <c r="AI29" s="239"/>
      <c r="AJ29" s="239"/>
      <c r="AK29" s="239"/>
      <c r="AL29" s="240"/>
      <c r="AM29" s="239"/>
      <c r="AN29" s="239"/>
      <c r="AO29" s="239"/>
      <c r="AP29" s="240"/>
      <c r="AQ29" s="239"/>
      <c r="AR29" s="239"/>
      <c r="AS29" s="239"/>
      <c r="AT29" s="239"/>
      <c r="AU29" s="240"/>
      <c r="AV29" s="239"/>
      <c r="AW29" s="239"/>
      <c r="AX29" s="239"/>
      <c r="AY29" s="239"/>
      <c r="AZ29" s="239"/>
      <c r="BA29" s="239"/>
      <c r="BB29" s="239"/>
      <c r="BC29" s="239"/>
      <c r="BD29" s="240"/>
      <c r="BE29" s="239"/>
      <c r="BF29" s="239"/>
      <c r="BG29" s="239"/>
      <c r="BH29" s="239"/>
      <c r="BI29" s="239"/>
      <c r="BJ29" s="239"/>
      <c r="BK29" s="239"/>
      <c r="BL29" s="240"/>
      <c r="BM29" s="239"/>
      <c r="BN29" s="239"/>
      <c r="BO29" s="239"/>
      <c r="BP29" s="239"/>
      <c r="BQ29" s="239"/>
      <c r="BR29" s="239"/>
      <c r="BS29" s="240"/>
      <c r="BT29" s="239"/>
      <c r="BU29" s="239"/>
      <c r="BV29" s="239"/>
      <c r="BW29" s="240"/>
      <c r="BX29" s="239"/>
      <c r="BY29" s="239"/>
      <c r="BZ29" s="240"/>
      <c r="CA29" s="239"/>
      <c r="CB29" s="239"/>
      <c r="CC29" s="240"/>
      <c r="CD29" s="239"/>
      <c r="CE29" s="239"/>
      <c r="CF29" s="239"/>
      <c r="CG29" s="239"/>
      <c r="CH29" s="239"/>
      <c r="CI29" s="239"/>
      <c r="CJ29" s="239"/>
      <c r="CK29" s="239"/>
      <c r="CL29" s="240"/>
      <c r="CM29" s="239"/>
      <c r="CN29" s="239"/>
      <c r="CO29" s="239"/>
      <c r="CP29" s="239"/>
      <c r="CQ29" s="240"/>
      <c r="CR29" s="239"/>
      <c r="CS29" s="239"/>
      <c r="CT29" s="239"/>
      <c r="CU29" s="239"/>
      <c r="CV29" s="239"/>
      <c r="CW29" s="239"/>
      <c r="CX29" s="240"/>
      <c r="CY29" s="239"/>
      <c r="CZ29" s="239"/>
      <c r="DA29" s="239"/>
      <c r="DB29" s="240"/>
      <c r="DC29" s="239"/>
      <c r="DD29" s="239"/>
      <c r="DE29" s="240"/>
      <c r="DF29" s="239"/>
      <c r="DG29" s="239"/>
      <c r="DH29" s="240"/>
      <c r="DI29" s="239"/>
      <c r="DJ29" s="239"/>
      <c r="DK29" s="240"/>
      <c r="DL29" s="239"/>
      <c r="DM29" s="239"/>
      <c r="DN29" s="239"/>
      <c r="DO29" s="239"/>
      <c r="DP29" s="239"/>
      <c r="DQ29" s="239"/>
      <c r="DR29" s="239"/>
      <c r="DS29" s="239"/>
      <c r="DT29" s="239"/>
      <c r="DU29" s="239"/>
      <c r="DV29" s="239"/>
      <c r="DW29" s="240"/>
      <c r="DX29" s="239"/>
      <c r="DY29" s="239"/>
      <c r="DZ29" s="239"/>
      <c r="EA29" s="240"/>
      <c r="EB29" s="239"/>
      <c r="EC29" s="239"/>
      <c r="ED29" s="239"/>
      <c r="EE29" s="239"/>
      <c r="EF29" s="239"/>
      <c r="EG29" s="239"/>
      <c r="EH29" s="240"/>
      <c r="EI29" s="239"/>
      <c r="EJ29" s="239"/>
      <c r="EK29" s="239"/>
      <c r="EL29" s="240"/>
      <c r="EM29" s="239"/>
      <c r="EN29" s="239"/>
      <c r="EO29" s="240"/>
      <c r="EP29" s="239"/>
      <c r="EQ29" s="239"/>
      <c r="ER29" s="240"/>
      <c r="ES29" s="239"/>
      <c r="ET29" s="239"/>
      <c r="EU29" s="240"/>
      <c r="EV29" s="239"/>
      <c r="EW29" s="239"/>
      <c r="EX29" s="239"/>
      <c r="EY29" s="239"/>
      <c r="EZ29" s="239"/>
      <c r="FA29" s="239"/>
      <c r="FB29" s="239"/>
      <c r="FC29" s="239"/>
      <c r="FD29" s="239"/>
      <c r="FE29" s="239"/>
      <c r="FF29" s="239"/>
      <c r="FG29" s="240"/>
      <c r="FH29" s="239"/>
      <c r="FI29" s="239"/>
      <c r="FJ29" s="239"/>
      <c r="FK29" s="240"/>
      <c r="FL29" s="239"/>
      <c r="FM29" s="239"/>
      <c r="FN29" s="239"/>
      <c r="FO29" s="239"/>
      <c r="FP29" s="239"/>
      <c r="FQ29" s="239"/>
      <c r="FR29" s="240"/>
      <c r="FS29" s="239"/>
      <c r="FT29" s="239"/>
      <c r="FU29" s="239"/>
      <c r="FV29" s="240"/>
      <c r="FW29" s="239"/>
      <c r="FX29" s="239"/>
      <c r="FY29" s="240"/>
      <c r="FZ29" s="239"/>
      <c r="GA29" s="239"/>
      <c r="GB29" s="240"/>
      <c r="GC29" s="239"/>
      <c r="GD29" s="239"/>
      <c r="GE29" s="240"/>
      <c r="GF29" s="239"/>
      <c r="GG29" s="239"/>
      <c r="GH29" s="239"/>
      <c r="GI29" s="239"/>
      <c r="GJ29" s="239"/>
      <c r="GK29" s="241"/>
      <c r="GL29" s="241"/>
      <c r="GM29" s="241"/>
      <c r="GN29" s="242"/>
      <c r="GO29" s="239"/>
      <c r="GP29" s="239"/>
      <c r="GQ29" s="239"/>
      <c r="GR29" s="240"/>
      <c r="GS29" s="239"/>
      <c r="GT29" s="239"/>
      <c r="GU29" s="239"/>
      <c r="GV29" s="239"/>
      <c r="GW29" s="240"/>
      <c r="GX29" s="239"/>
      <c r="GY29" s="239"/>
      <c r="GZ29" s="239"/>
      <c r="HA29" s="239"/>
      <c r="HB29" s="240"/>
      <c r="HC29" s="239"/>
      <c r="HD29" s="239"/>
      <c r="HE29" s="239"/>
      <c r="HF29" s="239"/>
      <c r="HG29" s="240"/>
      <c r="HH29" s="239"/>
      <c r="HI29" s="239"/>
      <c r="HJ29" s="239"/>
      <c r="HK29" s="239"/>
      <c r="HL29" s="240"/>
      <c r="HM29" s="239"/>
      <c r="HN29" s="239"/>
      <c r="HO29" s="239"/>
      <c r="HP29" s="239"/>
      <c r="HQ29" s="240"/>
      <c r="HR29" s="239"/>
      <c r="HS29" s="241"/>
      <c r="HT29" s="241"/>
      <c r="HU29" s="241"/>
      <c r="HV29" s="242"/>
      <c r="HW29" s="239"/>
      <c r="HX29" s="239"/>
      <c r="HY29" s="239"/>
      <c r="HZ29" s="240"/>
      <c r="IA29" s="239"/>
      <c r="IB29" s="239"/>
      <c r="IC29" s="239"/>
      <c r="ID29" s="239"/>
      <c r="IE29" s="240"/>
      <c r="IF29" s="239"/>
      <c r="IG29" s="239"/>
      <c r="IH29" s="239"/>
      <c r="II29" s="239"/>
      <c r="IJ29" s="240"/>
      <c r="IK29" s="239"/>
      <c r="IL29" s="239"/>
      <c r="IM29" s="239"/>
      <c r="IN29" s="239"/>
      <c r="IO29" s="240"/>
      <c r="IP29" s="239"/>
      <c r="IQ29" s="239"/>
      <c r="IR29" s="239"/>
      <c r="IS29" s="239"/>
      <c r="IT29" s="240"/>
      <c r="IU29" s="239"/>
      <c r="IV29" s="239"/>
      <c r="IW29" s="239"/>
      <c r="IX29" s="240"/>
      <c r="IY29" s="239"/>
      <c r="IZ29" s="239"/>
      <c r="JA29" s="239"/>
      <c r="JB29" s="240"/>
      <c r="JC29" s="239"/>
      <c r="JD29" s="239"/>
      <c r="JE29" s="239"/>
      <c r="JF29" s="240"/>
      <c r="JG29" s="239"/>
      <c r="JH29" s="239"/>
      <c r="JI29" s="239"/>
      <c r="JJ29" s="239"/>
      <c r="JK29" s="239"/>
      <c r="JL29" s="239"/>
      <c r="JM29" s="239"/>
      <c r="JN29" s="239"/>
      <c r="JO29" s="239"/>
      <c r="JP29" s="239"/>
      <c r="JQ29" s="239"/>
      <c r="JR29" s="239"/>
      <c r="JS29" s="239"/>
      <c r="JT29" s="239"/>
      <c r="JU29" s="239"/>
      <c r="JV29" s="239"/>
      <c r="JW29" s="239"/>
      <c r="JX29" s="239"/>
      <c r="JY29" s="239"/>
      <c r="JZ29" s="239"/>
      <c r="KA29" s="239"/>
      <c r="KB29" s="239"/>
      <c r="KC29" s="239"/>
      <c r="KD29" s="239"/>
      <c r="KE29" s="239"/>
      <c r="KF29" s="239"/>
      <c r="KG29" s="239"/>
      <c r="KH29" s="239"/>
      <c r="KI29" s="239"/>
      <c r="KJ29" s="239"/>
      <c r="KK29" s="239"/>
      <c r="KL29" s="239"/>
      <c r="KM29" s="239"/>
      <c r="KN29" s="239"/>
      <c r="KO29" s="239"/>
      <c r="KP29" s="239"/>
      <c r="KQ29" s="239"/>
      <c r="KR29" s="239"/>
      <c r="KS29" s="239"/>
      <c r="KT29" s="239"/>
      <c r="KU29" s="239"/>
      <c r="KV29" s="239"/>
      <c r="KW29" s="239"/>
      <c r="KX29" s="239"/>
      <c r="KY29" s="239"/>
      <c r="KZ29" s="240"/>
      <c r="LA29" s="239"/>
      <c r="LB29" s="239"/>
      <c r="LC29" s="239"/>
      <c r="LD29" s="240"/>
      <c r="LE29" s="239"/>
      <c r="LF29" s="239"/>
      <c r="LG29" s="239"/>
      <c r="LH29" s="240"/>
      <c r="LI29" s="239"/>
      <c r="LJ29" s="239"/>
      <c r="LK29" s="239"/>
      <c r="LL29" s="240"/>
      <c r="LM29" s="239"/>
      <c r="LN29" s="239"/>
      <c r="LO29" s="239"/>
      <c r="LP29" s="240"/>
      <c r="LQ29" s="239"/>
      <c r="LR29" s="239"/>
      <c r="LS29" s="239"/>
      <c r="LT29" s="240"/>
      <c r="LU29" s="240"/>
      <c r="LV29" s="240"/>
      <c r="LW29" s="240"/>
      <c r="LX29" s="240"/>
      <c r="LY29" s="239"/>
      <c r="LZ29" s="239"/>
      <c r="MA29" s="239"/>
      <c r="MB29" s="240"/>
      <c r="MC29" s="239"/>
      <c r="MD29" s="240"/>
      <c r="ME29" s="239"/>
      <c r="MF29" s="240"/>
      <c r="MG29" s="239"/>
      <c r="MH29" s="240"/>
      <c r="MI29" s="239"/>
      <c r="MJ29" s="240"/>
      <c r="MK29" s="239"/>
      <c r="ML29" s="240"/>
      <c r="MM29" s="239"/>
      <c r="MN29" s="239"/>
      <c r="MO29" s="239"/>
      <c r="MP29" s="239"/>
      <c r="MQ29" s="239"/>
      <c r="MR29" s="239"/>
      <c r="MS29" s="239"/>
      <c r="MT29" s="239"/>
      <c r="MU29" s="239"/>
      <c r="MV29" s="239"/>
      <c r="MW29" s="240"/>
      <c r="MX29" s="239"/>
      <c r="MY29" s="239"/>
      <c r="MZ29" s="239"/>
      <c r="NA29" s="240"/>
      <c r="NB29" s="239"/>
      <c r="NC29" s="239"/>
      <c r="ND29" s="239"/>
      <c r="NE29" s="240"/>
      <c r="NF29" s="239"/>
      <c r="NG29" s="239"/>
      <c r="NH29" s="239"/>
      <c r="NI29" s="240"/>
      <c r="NJ29" s="239"/>
      <c r="NK29" s="239"/>
      <c r="NL29" s="239"/>
      <c r="NM29" s="240"/>
      <c r="NN29" s="239"/>
      <c r="NO29" s="239"/>
      <c r="NP29" s="239"/>
      <c r="NQ29" s="240"/>
      <c r="NR29" s="239"/>
      <c r="NS29" s="239"/>
      <c r="NT29" s="239"/>
      <c r="NU29" s="240"/>
      <c r="NV29" s="162"/>
      <c r="NW29" s="162"/>
      <c r="NX29" s="162"/>
      <c r="NY29" s="242"/>
      <c r="NZ29" s="162"/>
      <c r="OA29" s="162"/>
      <c r="OB29" s="162"/>
      <c r="OC29" s="242"/>
      <c r="OD29" s="243"/>
      <c r="OE29" s="243"/>
      <c r="OF29" s="243"/>
      <c r="OG29" s="243"/>
      <c r="OH29" s="243"/>
      <c r="OI29" s="243"/>
      <c r="OJ29" s="243"/>
      <c r="OK29" s="243"/>
      <c r="OL29" s="243"/>
      <c r="OM29" s="243"/>
      <c r="ON29" s="243"/>
      <c r="OO29" s="243"/>
      <c r="OP29" s="243"/>
      <c r="OQ29" s="243"/>
      <c r="OR29" s="243"/>
      <c r="OX29" s="243"/>
      <c r="PB29" s="244"/>
      <c r="PF29" s="244"/>
      <c r="PJ29" s="244"/>
      <c r="PN29" s="244"/>
      <c r="PR29" s="244"/>
      <c r="PV29" s="244"/>
      <c r="PZ29" s="244"/>
      <c r="QA29" s="239"/>
      <c r="QB29" s="239"/>
      <c r="QD29" s="243"/>
      <c r="QE29" s="239"/>
      <c r="QF29" s="239"/>
      <c r="QG29" s="239"/>
      <c r="QH29" s="239"/>
      <c r="QI29" s="239"/>
      <c r="QJ29" s="239"/>
      <c r="QK29" s="239"/>
      <c r="QL29" s="240"/>
      <c r="QM29" s="239"/>
      <c r="QN29" s="239"/>
      <c r="QO29" s="239"/>
      <c r="QP29" s="239"/>
      <c r="QQ29" s="239"/>
      <c r="QR29" s="239"/>
      <c r="QS29" s="240"/>
      <c r="QT29" s="239"/>
      <c r="QU29" s="239"/>
      <c r="QV29" s="239"/>
      <c r="QW29" s="239"/>
      <c r="QX29" s="239"/>
      <c r="QY29" s="239"/>
      <c r="QZ29" s="240"/>
      <c r="RA29" s="239"/>
      <c r="RB29" s="239"/>
      <c r="RC29" s="239"/>
      <c r="RD29" s="239"/>
      <c r="RE29" s="239"/>
      <c r="RF29" s="239"/>
      <c r="RG29" s="240"/>
      <c r="RH29" s="239"/>
      <c r="RI29" s="239"/>
      <c r="RJ29" s="239"/>
      <c r="RK29" s="239"/>
      <c r="RL29" s="239"/>
      <c r="RM29" s="239"/>
      <c r="RN29" s="240"/>
      <c r="RO29" s="239"/>
      <c r="RP29" s="239"/>
      <c r="RQ29" s="239"/>
      <c r="RR29" s="239"/>
      <c r="RS29" s="239"/>
      <c r="RT29" s="239"/>
      <c r="RU29" s="240"/>
      <c r="RV29" s="239"/>
      <c r="RW29" s="239"/>
      <c r="RX29" s="239"/>
      <c r="RY29" s="239"/>
      <c r="RZ29" s="239"/>
      <c r="SA29" s="239"/>
      <c r="SB29" s="239"/>
      <c r="SC29" s="240"/>
      <c r="SD29" s="239"/>
      <c r="SE29" s="239"/>
      <c r="SF29" s="239"/>
      <c r="SG29" s="240"/>
      <c r="SH29" s="239"/>
      <c r="SI29" s="239"/>
      <c r="SJ29" s="239"/>
      <c r="SK29" s="239"/>
      <c r="SL29" s="239"/>
      <c r="SM29" s="239"/>
      <c r="SN29" s="240"/>
      <c r="SO29" s="239"/>
      <c r="SP29" s="239"/>
      <c r="SQ29" s="239"/>
      <c r="SR29" s="240"/>
      <c r="SS29" s="239"/>
      <c r="ST29" s="239"/>
      <c r="SU29" s="240"/>
      <c r="SV29" s="239"/>
      <c r="SW29" s="239"/>
      <c r="SX29" s="240"/>
      <c r="SY29" s="239"/>
      <c r="SZ29" s="239"/>
      <c r="TA29" s="240"/>
      <c r="TB29" s="239"/>
      <c r="TC29" s="239"/>
      <c r="TD29" s="239"/>
      <c r="TE29" s="239"/>
      <c r="TF29" s="239"/>
      <c r="TG29" s="239"/>
      <c r="TP29" s="239"/>
      <c r="TQ29" s="239"/>
      <c r="TR29" s="239"/>
      <c r="UC29" s="165"/>
    </row>
    <row r="30" spans="1:549" hidden="1" x14ac:dyDescent="0.25">
      <c r="A30" s="154"/>
      <c r="B30" s="155"/>
      <c r="C30" s="156"/>
      <c r="D30" s="157"/>
      <c r="E30" s="158"/>
      <c r="F30" s="158"/>
      <c r="G30" s="158"/>
      <c r="H30" s="159"/>
      <c r="I30" s="158"/>
      <c r="J30" s="158"/>
      <c r="K30" s="158"/>
      <c r="L30" s="159"/>
      <c r="M30" s="158"/>
      <c r="N30" s="158"/>
      <c r="O30" s="159"/>
      <c r="P30" s="158"/>
      <c r="Q30" s="158"/>
      <c r="R30" s="158"/>
      <c r="S30" s="158"/>
      <c r="T30" s="159"/>
      <c r="U30" s="158"/>
      <c r="V30" s="158"/>
      <c r="W30" s="158"/>
      <c r="X30" s="159"/>
      <c r="Y30" s="158"/>
      <c r="Z30" s="158"/>
      <c r="AA30" s="159"/>
      <c r="AB30" s="158"/>
      <c r="AC30" s="158"/>
      <c r="AD30" s="159"/>
      <c r="AE30" s="158"/>
      <c r="AF30" s="158"/>
      <c r="AG30" s="158"/>
      <c r="AH30" s="159"/>
      <c r="AI30" s="158"/>
      <c r="AJ30" s="158"/>
      <c r="AK30" s="158"/>
      <c r="AL30" s="159"/>
      <c r="AM30" s="158"/>
      <c r="AN30" s="158"/>
      <c r="AO30" s="158"/>
      <c r="AP30" s="159"/>
      <c r="AQ30" s="158"/>
      <c r="AR30" s="158"/>
      <c r="AS30" s="158"/>
      <c r="AT30" s="158"/>
      <c r="AU30" s="159"/>
      <c r="AV30" s="158"/>
      <c r="AW30" s="158"/>
      <c r="AX30" s="158"/>
      <c r="AY30" s="158"/>
      <c r="AZ30" s="158"/>
      <c r="BA30" s="158"/>
      <c r="BB30" s="158"/>
      <c r="BC30" s="158"/>
      <c r="BD30" s="159"/>
      <c r="BE30" s="158"/>
      <c r="BF30" s="158"/>
      <c r="BG30" s="158"/>
      <c r="BH30" s="158"/>
      <c r="BI30" s="158"/>
      <c r="BJ30" s="158"/>
      <c r="BK30" s="158"/>
      <c r="BL30" s="159"/>
      <c r="BM30" s="158"/>
      <c r="BN30" s="158"/>
      <c r="BO30" s="158"/>
      <c r="BP30" s="158"/>
      <c r="BQ30" s="158"/>
      <c r="BR30" s="158"/>
      <c r="BS30" s="159"/>
      <c r="BT30" s="158"/>
      <c r="BU30" s="158"/>
      <c r="BV30" s="158"/>
      <c r="BW30" s="159"/>
      <c r="BX30" s="158"/>
      <c r="BY30" s="158"/>
      <c r="BZ30" s="159"/>
      <c r="CA30" s="158"/>
      <c r="CB30" s="158"/>
      <c r="CC30" s="159"/>
      <c r="CD30" s="158"/>
      <c r="CE30" s="158"/>
      <c r="CF30" s="158"/>
      <c r="CG30" s="158"/>
      <c r="CH30" s="158"/>
      <c r="CI30" s="158"/>
      <c r="CJ30" s="158"/>
      <c r="CK30" s="158"/>
      <c r="CL30" s="159"/>
      <c r="CM30" s="158"/>
      <c r="CN30" s="158"/>
      <c r="CO30" s="158"/>
      <c r="CP30" s="158"/>
      <c r="CQ30" s="159"/>
      <c r="CR30" s="158"/>
      <c r="CS30" s="158"/>
      <c r="CT30" s="158"/>
      <c r="CU30" s="158"/>
      <c r="CV30" s="158"/>
      <c r="CW30" s="158"/>
      <c r="CX30" s="159"/>
      <c r="CY30" s="158"/>
      <c r="CZ30" s="158"/>
      <c r="DA30" s="158"/>
      <c r="DB30" s="159"/>
      <c r="DC30" s="158"/>
      <c r="DD30" s="158"/>
      <c r="DE30" s="159"/>
      <c r="DF30" s="158"/>
      <c r="DG30" s="158"/>
      <c r="DH30" s="159"/>
      <c r="DI30" s="158"/>
      <c r="DJ30" s="158"/>
      <c r="DK30" s="159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9"/>
      <c r="DX30" s="158"/>
      <c r="DY30" s="158"/>
      <c r="DZ30" s="158"/>
      <c r="EA30" s="159"/>
      <c r="EB30" s="158"/>
      <c r="EC30" s="158"/>
      <c r="ED30" s="158"/>
      <c r="EE30" s="158"/>
      <c r="EF30" s="158"/>
      <c r="EG30" s="158"/>
      <c r="EH30" s="159"/>
      <c r="EI30" s="158"/>
      <c r="EJ30" s="158"/>
      <c r="EK30" s="158"/>
      <c r="EL30" s="159"/>
      <c r="EM30" s="158"/>
      <c r="EN30" s="158"/>
      <c r="EO30" s="159"/>
      <c r="EP30" s="158"/>
      <c r="EQ30" s="158"/>
      <c r="ER30" s="159"/>
      <c r="ES30" s="158"/>
      <c r="ET30" s="158"/>
      <c r="EU30" s="159"/>
      <c r="EV30" s="158"/>
      <c r="EW30" s="158"/>
      <c r="EX30" s="158"/>
      <c r="EY30" s="158"/>
      <c r="EZ30" s="158"/>
      <c r="FA30" s="158"/>
      <c r="FB30" s="158"/>
      <c r="FC30" s="158"/>
      <c r="FD30" s="158"/>
      <c r="FE30" s="158"/>
      <c r="FF30" s="158"/>
      <c r="FG30" s="159"/>
      <c r="FH30" s="158"/>
      <c r="FI30" s="158"/>
      <c r="FJ30" s="158"/>
      <c r="FK30" s="159"/>
      <c r="FL30" s="158"/>
      <c r="FM30" s="158"/>
      <c r="FN30" s="158"/>
      <c r="FO30" s="158"/>
      <c r="FP30" s="158"/>
      <c r="FQ30" s="158"/>
      <c r="FR30" s="159"/>
      <c r="FS30" s="158"/>
      <c r="FT30" s="158"/>
      <c r="FU30" s="158"/>
      <c r="FV30" s="159"/>
      <c r="FW30" s="158"/>
      <c r="FX30" s="158"/>
      <c r="FY30" s="159"/>
      <c r="FZ30" s="158"/>
      <c r="GA30" s="158"/>
      <c r="GB30" s="159"/>
      <c r="GC30" s="158"/>
      <c r="GD30" s="158"/>
      <c r="GE30" s="159"/>
      <c r="GF30" s="158"/>
      <c r="GG30" s="158"/>
      <c r="GH30" s="158"/>
      <c r="GI30" s="158"/>
      <c r="GJ30" s="158"/>
      <c r="GK30" s="160"/>
      <c r="GL30" s="160"/>
      <c r="GM30" s="160"/>
      <c r="GN30" s="161"/>
      <c r="GO30" s="158"/>
      <c r="GP30" s="158"/>
      <c r="GQ30" s="158"/>
      <c r="GR30" s="159"/>
      <c r="GS30" s="158"/>
      <c r="GT30" s="158"/>
      <c r="GU30" s="158"/>
      <c r="GV30" s="158"/>
      <c r="GW30" s="159"/>
      <c r="GX30" s="158"/>
      <c r="GY30" s="158"/>
      <c r="GZ30" s="158"/>
      <c r="HA30" s="158"/>
      <c r="HB30" s="159"/>
      <c r="HC30" s="158"/>
      <c r="HD30" s="158"/>
      <c r="HE30" s="158"/>
      <c r="HF30" s="158"/>
      <c r="HG30" s="159"/>
      <c r="HH30" s="158"/>
      <c r="HI30" s="158"/>
      <c r="HJ30" s="158"/>
      <c r="HK30" s="158"/>
      <c r="HL30" s="159"/>
      <c r="HM30" s="158"/>
      <c r="HN30" s="158"/>
      <c r="HO30" s="158"/>
      <c r="HP30" s="158"/>
      <c r="HQ30" s="159"/>
      <c r="HR30" s="158"/>
      <c r="HS30" s="160"/>
      <c r="HT30" s="160"/>
      <c r="HU30" s="160"/>
      <c r="HV30" s="161"/>
      <c r="HW30" s="158"/>
      <c r="HX30" s="158"/>
      <c r="HY30" s="158"/>
      <c r="HZ30" s="159"/>
      <c r="IA30" s="158"/>
      <c r="IB30" s="158"/>
      <c r="IC30" s="158"/>
      <c r="ID30" s="158"/>
      <c r="IE30" s="159"/>
      <c r="IF30" s="158"/>
      <c r="IG30" s="158"/>
      <c r="IH30" s="158"/>
      <c r="II30" s="158"/>
      <c r="IJ30" s="159"/>
      <c r="IK30" s="158"/>
      <c r="IL30" s="158"/>
      <c r="IM30" s="158"/>
      <c r="IN30" s="158"/>
      <c r="IO30" s="159"/>
      <c r="IP30" s="158"/>
      <c r="IQ30" s="158"/>
      <c r="IR30" s="158"/>
      <c r="IS30" s="158"/>
      <c r="IT30" s="159"/>
      <c r="IU30" s="158"/>
      <c r="IV30" s="158"/>
      <c r="IW30" s="158"/>
      <c r="IX30" s="159"/>
      <c r="IY30" s="158"/>
      <c r="IZ30" s="158"/>
      <c r="JA30" s="158"/>
      <c r="JB30" s="159"/>
      <c r="JC30" s="158"/>
      <c r="JD30" s="158"/>
      <c r="JE30" s="158"/>
      <c r="JF30" s="159"/>
      <c r="JG30" s="158"/>
      <c r="JH30" s="158"/>
      <c r="JI30" s="158"/>
      <c r="JJ30" s="158"/>
      <c r="JK30" s="158"/>
      <c r="JL30" s="158"/>
      <c r="JM30" s="158"/>
      <c r="JN30" s="158"/>
      <c r="JO30" s="158"/>
      <c r="JP30" s="158"/>
      <c r="JQ30" s="158"/>
      <c r="JR30" s="158"/>
      <c r="JS30" s="158"/>
      <c r="JT30" s="158"/>
      <c r="JU30" s="158"/>
      <c r="JV30" s="158"/>
      <c r="JW30" s="158"/>
      <c r="JX30" s="158"/>
      <c r="JY30" s="158"/>
      <c r="JZ30" s="158"/>
      <c r="KA30" s="158"/>
      <c r="KB30" s="158"/>
      <c r="KC30" s="158"/>
      <c r="KD30" s="158"/>
      <c r="KE30" s="158"/>
      <c r="KF30" s="158"/>
      <c r="KG30" s="158"/>
      <c r="KH30" s="158"/>
      <c r="KI30" s="158"/>
      <c r="KJ30" s="158"/>
      <c r="KK30" s="158"/>
      <c r="KL30" s="158"/>
      <c r="KM30" s="158"/>
      <c r="KN30" s="158"/>
      <c r="KO30" s="158"/>
      <c r="KP30" s="158"/>
      <c r="KQ30" s="158"/>
      <c r="KR30" s="158"/>
      <c r="KS30" s="158"/>
      <c r="KT30" s="158"/>
      <c r="KU30" s="158"/>
      <c r="KV30" s="158"/>
      <c r="KW30" s="158"/>
      <c r="KX30" s="158"/>
      <c r="KY30" s="158"/>
      <c r="KZ30" s="159"/>
      <c r="LA30" s="158"/>
      <c r="LB30" s="158"/>
      <c r="LC30" s="158"/>
      <c r="LD30" s="159"/>
      <c r="LE30" s="158"/>
      <c r="LF30" s="158"/>
      <c r="LG30" s="158"/>
      <c r="LH30" s="159"/>
      <c r="LI30" s="158"/>
      <c r="LJ30" s="158"/>
      <c r="LK30" s="158"/>
      <c r="LL30" s="159"/>
      <c r="LM30" s="158"/>
      <c r="LN30" s="158"/>
      <c r="LO30" s="158"/>
      <c r="LP30" s="159"/>
      <c r="LQ30" s="158"/>
      <c r="LR30" s="158"/>
      <c r="LS30" s="158"/>
      <c r="LT30" s="159"/>
      <c r="LU30" s="159"/>
      <c r="LV30" s="159"/>
      <c r="LW30" s="159"/>
      <c r="LX30" s="159"/>
      <c r="LY30" s="158"/>
      <c r="LZ30" s="158"/>
      <c r="MA30" s="158"/>
      <c r="MB30" s="159"/>
      <c r="MC30" s="158"/>
      <c r="MD30" s="159"/>
      <c r="ME30" s="158"/>
      <c r="MF30" s="159"/>
      <c r="MG30" s="158"/>
      <c r="MH30" s="159"/>
      <c r="MI30" s="158"/>
      <c r="MJ30" s="159"/>
      <c r="MK30" s="158"/>
      <c r="ML30" s="159"/>
      <c r="MM30" s="158"/>
      <c r="MN30" s="158"/>
      <c r="MO30" s="158"/>
      <c r="MP30" s="158"/>
      <c r="MQ30" s="158"/>
      <c r="MR30" s="158"/>
      <c r="MS30" s="158"/>
      <c r="MT30" s="158"/>
      <c r="MU30" s="158"/>
      <c r="MV30" s="158"/>
      <c r="MW30" s="159"/>
      <c r="MX30" s="158"/>
      <c r="MY30" s="158"/>
      <c r="MZ30" s="158"/>
      <c r="NA30" s="159"/>
      <c r="NB30" s="158"/>
      <c r="NC30" s="158"/>
      <c r="ND30" s="158"/>
      <c r="NE30" s="159"/>
      <c r="NF30" s="158"/>
      <c r="NG30" s="158"/>
      <c r="NH30" s="158"/>
      <c r="NI30" s="159"/>
      <c r="NJ30" s="158"/>
      <c r="NK30" s="158"/>
      <c r="NL30" s="158"/>
      <c r="NM30" s="159"/>
      <c r="NN30" s="158"/>
      <c r="NO30" s="158"/>
      <c r="NP30" s="158"/>
      <c r="NQ30" s="159"/>
      <c r="NR30" s="158"/>
      <c r="NS30" s="158"/>
      <c r="NT30" s="158"/>
      <c r="NU30" s="159"/>
      <c r="NV30" s="162"/>
      <c r="NW30" s="162"/>
      <c r="NX30" s="162"/>
      <c r="NY30" s="161"/>
      <c r="NZ30" s="162"/>
      <c r="OA30" s="162"/>
      <c r="OB30" s="162"/>
      <c r="OC30" s="161"/>
      <c r="OD30" s="163"/>
      <c r="OE30" s="163"/>
      <c r="OF30" s="163"/>
      <c r="OG30" s="163"/>
      <c r="OH30" s="163"/>
      <c r="OI30" s="163"/>
      <c r="OJ30" s="163"/>
      <c r="OK30" s="163"/>
      <c r="OL30" s="163"/>
      <c r="OM30" s="163"/>
      <c r="ON30" s="163"/>
      <c r="OO30" s="163"/>
      <c r="OP30" s="163"/>
      <c r="OQ30" s="163"/>
      <c r="OR30" s="163"/>
      <c r="OX30" s="163"/>
      <c r="PB30" s="164"/>
      <c r="PF30" s="164"/>
      <c r="PJ30" s="164"/>
      <c r="PN30" s="164"/>
      <c r="PR30" s="164"/>
      <c r="PV30" s="164"/>
      <c r="PZ30" s="164"/>
      <c r="QA30" s="158"/>
      <c r="QB30" s="158"/>
      <c r="QD30" s="163"/>
      <c r="QE30" s="158"/>
      <c r="QF30" s="158"/>
      <c r="QG30" s="158"/>
      <c r="QH30" s="158"/>
      <c r="QI30" s="158"/>
      <c r="QJ30" s="158"/>
      <c r="QK30" s="158"/>
      <c r="QL30" s="159"/>
      <c r="QM30" s="158"/>
      <c r="QN30" s="158"/>
      <c r="QO30" s="158"/>
      <c r="QP30" s="158"/>
      <c r="QQ30" s="158"/>
      <c r="QR30" s="158"/>
      <c r="QS30" s="159"/>
      <c r="QT30" s="158"/>
      <c r="QU30" s="158"/>
      <c r="QV30" s="158"/>
      <c r="QW30" s="158"/>
      <c r="QX30" s="158"/>
      <c r="QY30" s="158"/>
      <c r="QZ30" s="159"/>
      <c r="RA30" s="158"/>
      <c r="RB30" s="158"/>
      <c r="RC30" s="158"/>
      <c r="RD30" s="158"/>
      <c r="RE30" s="158"/>
      <c r="RF30" s="158"/>
      <c r="RG30" s="159"/>
      <c r="RH30" s="158"/>
      <c r="RI30" s="158"/>
      <c r="RJ30" s="158"/>
      <c r="RK30" s="158"/>
      <c r="RL30" s="158"/>
      <c r="RM30" s="158"/>
      <c r="RN30" s="159"/>
      <c r="RO30" s="158"/>
      <c r="RP30" s="158"/>
      <c r="RQ30" s="158"/>
      <c r="RR30" s="158"/>
      <c r="RS30" s="158"/>
      <c r="RT30" s="158"/>
      <c r="RU30" s="159"/>
      <c r="RV30" s="158"/>
      <c r="RW30" s="158"/>
      <c r="RX30" s="158"/>
      <c r="RY30" s="158"/>
      <c r="RZ30" s="158"/>
      <c r="SA30" s="158"/>
      <c r="SB30" s="158"/>
      <c r="SC30" s="159"/>
      <c r="SD30" s="158"/>
      <c r="SE30" s="158"/>
      <c r="SF30" s="158"/>
      <c r="SG30" s="159"/>
      <c r="SH30" s="158"/>
      <c r="SI30" s="158"/>
      <c r="SJ30" s="158"/>
      <c r="SK30" s="158"/>
      <c r="SL30" s="158"/>
      <c r="SM30" s="158"/>
      <c r="SN30" s="159"/>
      <c r="SO30" s="158"/>
      <c r="SP30" s="158"/>
      <c r="SQ30" s="158"/>
      <c r="SR30" s="159"/>
      <c r="SS30" s="158"/>
      <c r="ST30" s="158"/>
      <c r="SU30" s="159"/>
      <c r="SV30" s="158"/>
      <c r="SW30" s="158"/>
      <c r="SX30" s="159"/>
      <c r="SY30" s="158"/>
      <c r="SZ30" s="158"/>
      <c r="TA30" s="159"/>
      <c r="TB30" s="158"/>
      <c r="TC30" s="158"/>
      <c r="TD30" s="158"/>
      <c r="TE30" s="158"/>
      <c r="TF30" s="158"/>
      <c r="TG30" s="158"/>
      <c r="TP30" s="158"/>
      <c r="TQ30" s="158"/>
      <c r="TR30" s="158"/>
      <c r="UC30" s="165"/>
    </row>
    <row r="31" spans="1:549" hidden="1" x14ac:dyDescent="0.25">
      <c r="A31" s="154"/>
      <c r="B31" s="155"/>
      <c r="C31" s="156"/>
      <c r="D31" s="157"/>
      <c r="E31" s="158"/>
      <c r="F31" s="158"/>
      <c r="G31" s="158"/>
      <c r="H31" s="159"/>
      <c r="I31" s="158"/>
      <c r="J31" s="158"/>
      <c r="K31" s="158"/>
      <c r="L31" s="159"/>
      <c r="M31" s="158"/>
      <c r="N31" s="158"/>
      <c r="O31" s="159"/>
      <c r="P31" s="158"/>
      <c r="Q31" s="158"/>
      <c r="R31" s="158"/>
      <c r="S31" s="158"/>
      <c r="T31" s="159"/>
      <c r="U31" s="158"/>
      <c r="V31" s="158"/>
      <c r="W31" s="158"/>
      <c r="X31" s="159"/>
      <c r="Y31" s="158"/>
      <c r="Z31" s="158"/>
      <c r="AA31" s="159"/>
      <c r="AB31" s="158"/>
      <c r="AC31" s="158"/>
      <c r="AD31" s="159"/>
      <c r="AE31" s="158"/>
      <c r="AF31" s="158"/>
      <c r="AG31" s="158"/>
      <c r="AH31" s="159"/>
      <c r="AI31" s="158"/>
      <c r="AJ31" s="158"/>
      <c r="AK31" s="158"/>
      <c r="AL31" s="159"/>
      <c r="AM31" s="158"/>
      <c r="AN31" s="158"/>
      <c r="AO31" s="158"/>
      <c r="AP31" s="159"/>
      <c r="AQ31" s="158"/>
      <c r="AR31" s="158"/>
      <c r="AS31" s="158"/>
      <c r="AT31" s="158"/>
      <c r="AU31" s="159"/>
      <c r="AV31" s="158"/>
      <c r="AW31" s="158"/>
      <c r="AX31" s="158"/>
      <c r="AY31" s="158"/>
      <c r="AZ31" s="158"/>
      <c r="BA31" s="158"/>
      <c r="BB31" s="158"/>
      <c r="BC31" s="158"/>
      <c r="BD31" s="159"/>
      <c r="BE31" s="158"/>
      <c r="BF31" s="158"/>
      <c r="BG31" s="158"/>
      <c r="BH31" s="158"/>
      <c r="BI31" s="158"/>
      <c r="BJ31" s="158"/>
      <c r="BK31" s="158"/>
      <c r="BL31" s="159"/>
      <c r="BM31" s="158"/>
      <c r="BN31" s="158"/>
      <c r="BO31" s="158"/>
      <c r="BP31" s="158"/>
      <c r="BQ31" s="158"/>
      <c r="BR31" s="158"/>
      <c r="BS31" s="159"/>
      <c r="BT31" s="158"/>
      <c r="BU31" s="158"/>
      <c r="BV31" s="158"/>
      <c r="BW31" s="159"/>
      <c r="BX31" s="158"/>
      <c r="BY31" s="158"/>
      <c r="BZ31" s="159"/>
      <c r="CA31" s="158"/>
      <c r="CB31" s="158"/>
      <c r="CC31" s="159"/>
      <c r="CD31" s="158"/>
      <c r="CE31" s="158"/>
      <c r="CF31" s="158"/>
      <c r="CG31" s="158"/>
      <c r="CH31" s="158"/>
      <c r="CI31" s="158"/>
      <c r="CJ31" s="158"/>
      <c r="CK31" s="158"/>
      <c r="CL31" s="159"/>
      <c r="CM31" s="158"/>
      <c r="CN31" s="158"/>
      <c r="CO31" s="158"/>
      <c r="CP31" s="158"/>
      <c r="CQ31" s="159"/>
      <c r="CR31" s="158"/>
      <c r="CS31" s="158"/>
      <c r="CT31" s="158"/>
      <c r="CU31" s="158"/>
      <c r="CV31" s="158"/>
      <c r="CW31" s="158"/>
      <c r="CX31" s="159"/>
      <c r="CY31" s="158"/>
      <c r="CZ31" s="158"/>
      <c r="DA31" s="158"/>
      <c r="DB31" s="159"/>
      <c r="DC31" s="158"/>
      <c r="DD31" s="158"/>
      <c r="DE31" s="159"/>
      <c r="DF31" s="158"/>
      <c r="DG31" s="158"/>
      <c r="DH31" s="159"/>
      <c r="DI31" s="158"/>
      <c r="DJ31" s="158"/>
      <c r="DK31" s="159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9"/>
      <c r="DX31" s="158"/>
      <c r="DY31" s="158"/>
      <c r="DZ31" s="158"/>
      <c r="EA31" s="159"/>
      <c r="EB31" s="158"/>
      <c r="EC31" s="158"/>
      <c r="ED31" s="158"/>
      <c r="EE31" s="158"/>
      <c r="EF31" s="158"/>
      <c r="EG31" s="158"/>
      <c r="EH31" s="159"/>
      <c r="EI31" s="158"/>
      <c r="EJ31" s="158"/>
      <c r="EK31" s="158"/>
      <c r="EL31" s="159"/>
      <c r="EM31" s="158"/>
      <c r="EN31" s="158"/>
      <c r="EO31" s="159"/>
      <c r="EP31" s="158"/>
      <c r="EQ31" s="158"/>
      <c r="ER31" s="159"/>
      <c r="ES31" s="158"/>
      <c r="ET31" s="158"/>
      <c r="EU31" s="159"/>
      <c r="EV31" s="158"/>
      <c r="EW31" s="158"/>
      <c r="EX31" s="158"/>
      <c r="EY31" s="158"/>
      <c r="EZ31" s="158"/>
      <c r="FA31" s="158"/>
      <c r="FB31" s="158"/>
      <c r="FC31" s="158"/>
      <c r="FD31" s="158"/>
      <c r="FE31" s="158"/>
      <c r="FF31" s="158"/>
      <c r="FG31" s="159"/>
      <c r="FH31" s="158"/>
      <c r="FI31" s="158"/>
      <c r="FJ31" s="158"/>
      <c r="FK31" s="159"/>
      <c r="FL31" s="158"/>
      <c r="FM31" s="158"/>
      <c r="FN31" s="158"/>
      <c r="FO31" s="158"/>
      <c r="FP31" s="158"/>
      <c r="FQ31" s="158"/>
      <c r="FR31" s="159"/>
      <c r="FS31" s="158"/>
      <c r="FT31" s="158"/>
      <c r="FU31" s="158"/>
      <c r="FV31" s="159"/>
      <c r="FW31" s="158"/>
      <c r="FX31" s="158"/>
      <c r="FY31" s="159"/>
      <c r="FZ31" s="158"/>
      <c r="GA31" s="158"/>
      <c r="GB31" s="159"/>
      <c r="GC31" s="158"/>
      <c r="GD31" s="158"/>
      <c r="GE31" s="159"/>
      <c r="GF31" s="158"/>
      <c r="GG31" s="158"/>
      <c r="GH31" s="158"/>
      <c r="GI31" s="158"/>
      <c r="GJ31" s="158"/>
      <c r="GK31" s="160"/>
      <c r="GL31" s="160"/>
      <c r="GM31" s="160"/>
      <c r="GN31" s="161"/>
      <c r="GO31" s="158"/>
      <c r="GP31" s="158"/>
      <c r="GQ31" s="158"/>
      <c r="GR31" s="159"/>
      <c r="GS31" s="158"/>
      <c r="GT31" s="158"/>
      <c r="GU31" s="158"/>
      <c r="GV31" s="158"/>
      <c r="GW31" s="159"/>
      <c r="GX31" s="158"/>
      <c r="GY31" s="158"/>
      <c r="GZ31" s="158"/>
      <c r="HA31" s="158"/>
      <c r="HB31" s="159"/>
      <c r="HC31" s="158"/>
      <c r="HD31" s="158"/>
      <c r="HE31" s="158"/>
      <c r="HF31" s="158"/>
      <c r="HG31" s="159"/>
      <c r="HH31" s="158"/>
      <c r="HI31" s="158"/>
      <c r="HJ31" s="158"/>
      <c r="HK31" s="158"/>
      <c r="HL31" s="159"/>
      <c r="HM31" s="158"/>
      <c r="HN31" s="158"/>
      <c r="HO31" s="158"/>
      <c r="HP31" s="158"/>
      <c r="HQ31" s="159"/>
      <c r="HR31" s="158"/>
      <c r="HS31" s="160"/>
      <c r="HT31" s="160"/>
      <c r="HU31" s="160"/>
      <c r="HV31" s="161"/>
      <c r="HW31" s="158"/>
      <c r="HX31" s="158"/>
      <c r="HY31" s="158"/>
      <c r="HZ31" s="159"/>
      <c r="IA31" s="158"/>
      <c r="IB31" s="158"/>
      <c r="IC31" s="158"/>
      <c r="ID31" s="158"/>
      <c r="IE31" s="159"/>
      <c r="IF31" s="158"/>
      <c r="IG31" s="158"/>
      <c r="IH31" s="158"/>
      <c r="II31" s="158"/>
      <c r="IJ31" s="159"/>
      <c r="IK31" s="158"/>
      <c r="IL31" s="158"/>
      <c r="IM31" s="158"/>
      <c r="IN31" s="158"/>
      <c r="IO31" s="159"/>
      <c r="IP31" s="158"/>
      <c r="IQ31" s="158"/>
      <c r="IR31" s="158"/>
      <c r="IS31" s="158"/>
      <c r="IT31" s="159"/>
      <c r="IU31" s="158"/>
      <c r="IV31" s="158"/>
      <c r="IW31" s="158"/>
      <c r="IX31" s="159"/>
      <c r="IY31" s="158"/>
      <c r="IZ31" s="158"/>
      <c r="JA31" s="158"/>
      <c r="JB31" s="159"/>
      <c r="JC31" s="158"/>
      <c r="JD31" s="158"/>
      <c r="JE31" s="158"/>
      <c r="JF31" s="159"/>
      <c r="JG31" s="158"/>
      <c r="JH31" s="158"/>
      <c r="JI31" s="158"/>
      <c r="JJ31" s="158"/>
      <c r="JK31" s="158"/>
      <c r="JL31" s="158"/>
      <c r="JM31" s="158"/>
      <c r="JN31" s="158"/>
      <c r="JO31" s="158"/>
      <c r="JP31" s="158"/>
      <c r="JQ31" s="158"/>
      <c r="JR31" s="158"/>
      <c r="JS31" s="158"/>
      <c r="JT31" s="158"/>
      <c r="JU31" s="158"/>
      <c r="JV31" s="158"/>
      <c r="JW31" s="158"/>
      <c r="JX31" s="158"/>
      <c r="JY31" s="158"/>
      <c r="JZ31" s="158"/>
      <c r="KA31" s="158"/>
      <c r="KB31" s="158"/>
      <c r="KC31" s="158"/>
      <c r="KD31" s="158"/>
      <c r="KE31" s="158"/>
      <c r="KF31" s="158"/>
      <c r="KG31" s="158"/>
      <c r="KH31" s="158"/>
      <c r="KI31" s="158"/>
      <c r="KJ31" s="158"/>
      <c r="KK31" s="158"/>
      <c r="KL31" s="158"/>
      <c r="KM31" s="158"/>
      <c r="KN31" s="158"/>
      <c r="KO31" s="158"/>
      <c r="KP31" s="158"/>
      <c r="KQ31" s="158"/>
      <c r="KR31" s="158"/>
      <c r="KS31" s="158"/>
      <c r="KT31" s="158"/>
      <c r="KU31" s="158"/>
      <c r="KV31" s="158"/>
      <c r="KW31" s="158"/>
      <c r="KX31" s="158"/>
      <c r="KY31" s="158"/>
      <c r="KZ31" s="159"/>
      <c r="LA31" s="158"/>
      <c r="LB31" s="158"/>
      <c r="LC31" s="158"/>
      <c r="LD31" s="159"/>
      <c r="LE31" s="158"/>
      <c r="LF31" s="158"/>
      <c r="LG31" s="158"/>
      <c r="LH31" s="159"/>
      <c r="LI31" s="158"/>
      <c r="LJ31" s="158"/>
      <c r="LK31" s="158"/>
      <c r="LL31" s="159"/>
      <c r="LM31" s="158"/>
      <c r="LN31" s="158"/>
      <c r="LO31" s="158"/>
      <c r="LP31" s="159"/>
      <c r="LQ31" s="158"/>
      <c r="LR31" s="158"/>
      <c r="LS31" s="158"/>
      <c r="LT31" s="159"/>
      <c r="LU31" s="159"/>
      <c r="LV31" s="159"/>
      <c r="LW31" s="159"/>
      <c r="LX31" s="159"/>
      <c r="LY31" s="158"/>
      <c r="LZ31" s="158"/>
      <c r="MA31" s="158"/>
      <c r="MB31" s="159"/>
      <c r="MC31" s="158"/>
      <c r="MD31" s="159"/>
      <c r="ME31" s="158"/>
      <c r="MF31" s="159"/>
      <c r="MG31" s="158"/>
      <c r="MH31" s="159"/>
      <c r="MI31" s="158"/>
      <c r="MJ31" s="159"/>
      <c r="MK31" s="158"/>
      <c r="ML31" s="159"/>
      <c r="MM31" s="158"/>
      <c r="MN31" s="158"/>
      <c r="MO31" s="158"/>
      <c r="MP31" s="158"/>
      <c r="MQ31" s="158"/>
      <c r="MR31" s="158"/>
      <c r="MS31" s="158"/>
      <c r="MT31" s="158"/>
      <c r="MU31" s="158"/>
      <c r="MV31" s="158"/>
      <c r="MW31" s="159"/>
      <c r="MX31" s="158"/>
      <c r="MY31" s="158"/>
      <c r="MZ31" s="158"/>
      <c r="NA31" s="159"/>
      <c r="NB31" s="158"/>
      <c r="NC31" s="158"/>
      <c r="ND31" s="158"/>
      <c r="NE31" s="159"/>
      <c r="NF31" s="158"/>
      <c r="NG31" s="158"/>
      <c r="NH31" s="158"/>
      <c r="NI31" s="159"/>
      <c r="NJ31" s="158"/>
      <c r="NK31" s="158"/>
      <c r="NL31" s="158"/>
      <c r="NM31" s="159"/>
      <c r="NN31" s="158"/>
      <c r="NO31" s="158"/>
      <c r="NP31" s="158"/>
      <c r="NQ31" s="159"/>
      <c r="NR31" s="158"/>
      <c r="NS31" s="158"/>
      <c r="NT31" s="158"/>
      <c r="NU31" s="159"/>
      <c r="NV31" s="162"/>
      <c r="NW31" s="162"/>
      <c r="NX31" s="162"/>
      <c r="NY31" s="161"/>
      <c r="NZ31" s="162"/>
      <c r="OA31" s="162"/>
      <c r="OB31" s="162"/>
      <c r="OC31" s="161"/>
      <c r="OD31" s="163"/>
      <c r="OE31" s="163"/>
      <c r="OF31" s="163"/>
      <c r="OG31" s="163"/>
      <c r="OH31" s="163"/>
      <c r="OI31" s="163"/>
      <c r="OJ31" s="163"/>
      <c r="OK31" s="163"/>
      <c r="OL31" s="163"/>
      <c r="OM31" s="163"/>
      <c r="ON31" s="163"/>
      <c r="OO31" s="163"/>
      <c r="OP31" s="163"/>
      <c r="OQ31" s="163"/>
      <c r="OR31" s="163"/>
      <c r="OX31" s="163"/>
      <c r="PB31" s="164"/>
      <c r="PF31" s="164"/>
      <c r="PJ31" s="164"/>
      <c r="PN31" s="164"/>
      <c r="PR31" s="164"/>
      <c r="PV31" s="164"/>
      <c r="PZ31" s="164"/>
      <c r="QA31" s="158"/>
      <c r="QB31" s="158"/>
      <c r="QD31" s="163"/>
      <c r="QE31" s="158"/>
      <c r="QF31" s="158"/>
      <c r="QG31" s="158"/>
      <c r="QH31" s="158"/>
      <c r="QI31" s="158"/>
      <c r="QJ31" s="158"/>
      <c r="QK31" s="158"/>
      <c r="QL31" s="159"/>
      <c r="QM31" s="158"/>
      <c r="QN31" s="158"/>
      <c r="QO31" s="158"/>
      <c r="QP31" s="158"/>
      <c r="QQ31" s="158"/>
      <c r="QR31" s="158"/>
      <c r="QS31" s="159"/>
      <c r="QT31" s="158"/>
      <c r="QU31" s="158"/>
      <c r="QV31" s="158"/>
      <c r="QW31" s="158"/>
      <c r="QX31" s="158"/>
      <c r="QY31" s="158"/>
      <c r="QZ31" s="159"/>
      <c r="RA31" s="158"/>
      <c r="RB31" s="158"/>
      <c r="RC31" s="158"/>
      <c r="RD31" s="158"/>
      <c r="RE31" s="158"/>
      <c r="RF31" s="158"/>
      <c r="RG31" s="159"/>
      <c r="RH31" s="158"/>
      <c r="RI31" s="158"/>
      <c r="RJ31" s="158"/>
      <c r="RK31" s="158"/>
      <c r="RL31" s="158"/>
      <c r="RM31" s="158"/>
      <c r="RN31" s="159"/>
      <c r="RO31" s="158"/>
      <c r="RP31" s="158"/>
      <c r="RQ31" s="158"/>
      <c r="RR31" s="158"/>
      <c r="RS31" s="158"/>
      <c r="RT31" s="158"/>
      <c r="RU31" s="159"/>
      <c r="RV31" s="158"/>
      <c r="RW31" s="158"/>
      <c r="RX31" s="158"/>
      <c r="RY31" s="158"/>
      <c r="RZ31" s="158"/>
      <c r="SA31" s="158"/>
      <c r="SB31" s="158"/>
      <c r="SC31" s="159"/>
      <c r="SD31" s="158"/>
      <c r="SE31" s="158"/>
      <c r="SF31" s="158"/>
      <c r="SG31" s="159"/>
      <c r="SH31" s="158"/>
      <c r="SI31" s="158"/>
      <c r="SJ31" s="158"/>
      <c r="SK31" s="158"/>
      <c r="SL31" s="158"/>
      <c r="SM31" s="158"/>
      <c r="SN31" s="159"/>
      <c r="SO31" s="158"/>
      <c r="SP31" s="158"/>
      <c r="SQ31" s="158"/>
      <c r="SR31" s="159"/>
      <c r="SS31" s="158"/>
      <c r="ST31" s="158"/>
      <c r="SU31" s="159"/>
      <c r="SV31" s="158"/>
      <c r="SW31" s="158"/>
      <c r="SX31" s="159"/>
      <c r="SY31" s="158"/>
      <c r="SZ31" s="158"/>
      <c r="TA31" s="159"/>
      <c r="TB31" s="158"/>
      <c r="TC31" s="158"/>
      <c r="TD31" s="158"/>
      <c r="TE31" s="158"/>
      <c r="TF31" s="158"/>
      <c r="TG31" s="158"/>
      <c r="TP31" s="158"/>
      <c r="TQ31" s="158"/>
      <c r="TR31" s="158"/>
      <c r="UC31" s="165"/>
    </row>
    <row r="32" spans="1:549" x14ac:dyDescent="0.25">
      <c r="A32" s="154"/>
      <c r="B32" s="155"/>
      <c r="C32" s="156"/>
      <c r="D32" s="157"/>
      <c r="E32" s="158"/>
      <c r="F32" s="158"/>
      <c r="G32" s="158"/>
      <c r="H32" s="159"/>
      <c r="I32" s="158"/>
      <c r="J32" s="158"/>
      <c r="K32" s="158"/>
      <c r="L32" s="159"/>
      <c r="M32" s="158"/>
      <c r="N32" s="158"/>
      <c r="O32" s="159"/>
      <c r="P32" s="158"/>
      <c r="Q32" s="158"/>
      <c r="R32" s="158"/>
      <c r="S32" s="158"/>
      <c r="T32" s="159"/>
      <c r="U32" s="158"/>
      <c r="V32" s="158"/>
      <c r="W32" s="158"/>
      <c r="X32" s="159"/>
      <c r="Y32" s="158"/>
      <c r="Z32" s="158"/>
      <c r="AA32" s="159"/>
      <c r="AB32" s="158"/>
      <c r="AC32" s="158"/>
      <c r="AD32" s="159"/>
      <c r="AE32" s="158"/>
      <c r="AF32" s="158"/>
      <c r="AG32" s="158"/>
      <c r="AH32" s="159"/>
      <c r="AI32" s="158"/>
      <c r="AJ32" s="158"/>
      <c r="AK32" s="158"/>
      <c r="AL32" s="159"/>
      <c r="AM32" s="158"/>
      <c r="AN32" s="158"/>
      <c r="AO32" s="158"/>
      <c r="AP32" s="159"/>
      <c r="AQ32" s="158"/>
      <c r="AR32" s="158"/>
      <c r="AS32" s="158"/>
      <c r="AT32" s="158"/>
      <c r="AU32" s="159"/>
      <c r="AV32" s="158"/>
      <c r="AW32" s="158"/>
      <c r="AX32" s="158"/>
      <c r="AY32" s="158"/>
      <c r="AZ32" s="158"/>
      <c r="BA32" s="158"/>
      <c r="BB32" s="158"/>
      <c r="BC32" s="158"/>
      <c r="BD32" s="159"/>
      <c r="BE32" s="158"/>
      <c r="BF32" s="158"/>
      <c r="BG32" s="158"/>
      <c r="BH32" s="158"/>
      <c r="BI32" s="158"/>
      <c r="BJ32" s="158"/>
      <c r="BK32" s="158"/>
      <c r="BL32" s="159"/>
      <c r="BM32" s="158"/>
      <c r="BN32" s="158"/>
      <c r="BO32" s="158"/>
      <c r="BP32" s="158"/>
      <c r="BQ32" s="158"/>
      <c r="BR32" s="158"/>
      <c r="BS32" s="159"/>
      <c r="BT32" s="158"/>
      <c r="BU32" s="158"/>
      <c r="BV32" s="158"/>
      <c r="BW32" s="159"/>
      <c r="BX32" s="158"/>
      <c r="BY32" s="158"/>
      <c r="BZ32" s="159"/>
      <c r="CA32" s="158"/>
      <c r="CB32" s="158"/>
      <c r="CC32" s="159"/>
      <c r="CD32" s="158"/>
      <c r="CE32" s="158"/>
      <c r="CF32" s="158"/>
      <c r="CG32" s="158"/>
      <c r="CH32" s="158"/>
      <c r="CI32" s="158"/>
      <c r="CJ32" s="158"/>
      <c r="CK32" s="158"/>
      <c r="CL32" s="159"/>
      <c r="CM32" s="158"/>
      <c r="CN32" s="158"/>
      <c r="CO32" s="158"/>
      <c r="CP32" s="158"/>
      <c r="CQ32" s="159"/>
      <c r="CR32" s="158"/>
      <c r="CS32" s="158"/>
      <c r="CT32" s="158"/>
      <c r="CU32" s="158"/>
      <c r="CV32" s="158"/>
      <c r="CW32" s="158"/>
      <c r="CX32" s="159"/>
      <c r="CY32" s="158"/>
      <c r="CZ32" s="158"/>
      <c r="DA32" s="158"/>
      <c r="DB32" s="159"/>
      <c r="DC32" s="158"/>
      <c r="DD32" s="158"/>
      <c r="DE32" s="159"/>
      <c r="DF32" s="158"/>
      <c r="DG32" s="158"/>
      <c r="DH32" s="159"/>
      <c r="DI32" s="158"/>
      <c r="DJ32" s="158"/>
      <c r="DK32" s="159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9"/>
      <c r="DX32" s="158"/>
      <c r="DY32" s="158"/>
      <c r="DZ32" s="158"/>
      <c r="EA32" s="159"/>
      <c r="EB32" s="158"/>
      <c r="EC32" s="158"/>
      <c r="ED32" s="158"/>
      <c r="EE32" s="158"/>
      <c r="EF32" s="158"/>
      <c r="EG32" s="158"/>
      <c r="EH32" s="159"/>
      <c r="EI32" s="158"/>
      <c r="EJ32" s="158"/>
      <c r="EK32" s="158"/>
      <c r="EL32" s="159"/>
      <c r="EM32" s="158"/>
      <c r="EN32" s="158"/>
      <c r="EO32" s="159"/>
      <c r="EP32" s="158"/>
      <c r="EQ32" s="158"/>
      <c r="ER32" s="159"/>
      <c r="ES32" s="158"/>
      <c r="ET32" s="158"/>
      <c r="EU32" s="159"/>
      <c r="EV32" s="158"/>
      <c r="EW32" s="158"/>
      <c r="EX32" s="158"/>
      <c r="EY32" s="158"/>
      <c r="EZ32" s="158"/>
      <c r="FA32" s="158"/>
      <c r="FB32" s="158"/>
      <c r="FC32" s="158"/>
      <c r="FD32" s="158"/>
      <c r="FE32" s="158"/>
      <c r="FF32" s="158"/>
      <c r="FG32" s="159"/>
      <c r="FH32" s="158"/>
      <c r="FI32" s="158"/>
      <c r="FJ32" s="158"/>
      <c r="FK32" s="159"/>
      <c r="FL32" s="158"/>
      <c r="FM32" s="158"/>
      <c r="FN32" s="158"/>
      <c r="FO32" s="158"/>
      <c r="FP32" s="158"/>
      <c r="FQ32" s="158"/>
      <c r="FR32" s="159"/>
      <c r="FS32" s="158"/>
      <c r="FT32" s="158"/>
      <c r="FU32" s="158"/>
      <c r="FV32" s="159"/>
      <c r="FW32" s="158"/>
      <c r="FX32" s="158"/>
      <c r="FY32" s="159"/>
      <c r="FZ32" s="158"/>
      <c r="GA32" s="158"/>
      <c r="GB32" s="159"/>
      <c r="GC32" s="158"/>
      <c r="GD32" s="158"/>
      <c r="GE32" s="159"/>
      <c r="GF32" s="158"/>
      <c r="GG32" s="158"/>
      <c r="GH32" s="158"/>
      <c r="GI32" s="158"/>
      <c r="GJ32" s="158"/>
      <c r="GK32" s="160"/>
      <c r="GL32" s="160"/>
      <c r="GM32" s="160"/>
      <c r="GN32" s="161"/>
      <c r="GO32" s="158"/>
      <c r="GP32" s="158"/>
      <c r="GQ32" s="158"/>
      <c r="GR32" s="159"/>
      <c r="GS32" s="158"/>
      <c r="GT32" s="158"/>
      <c r="GU32" s="158"/>
      <c r="GV32" s="158"/>
      <c r="GW32" s="159"/>
      <c r="GX32" s="158"/>
      <c r="GY32" s="158"/>
      <c r="GZ32" s="158"/>
      <c r="HA32" s="158"/>
      <c r="HB32" s="159"/>
      <c r="HC32" s="158"/>
      <c r="HD32" s="158"/>
      <c r="HE32" s="158"/>
      <c r="HF32" s="158"/>
      <c r="HG32" s="159"/>
      <c r="HH32" s="158"/>
      <c r="HI32" s="158"/>
      <c r="HJ32" s="158"/>
      <c r="HK32" s="158"/>
      <c r="HL32" s="159"/>
      <c r="HM32" s="158"/>
      <c r="HN32" s="158"/>
      <c r="HO32" s="158"/>
      <c r="HP32" s="158"/>
      <c r="HQ32" s="159"/>
      <c r="HR32" s="158"/>
      <c r="HS32" s="160"/>
      <c r="HT32" s="160"/>
      <c r="HU32" s="160"/>
      <c r="HV32" s="161"/>
      <c r="HW32" s="158"/>
      <c r="HX32" s="158"/>
      <c r="HY32" s="158"/>
      <c r="HZ32" s="159"/>
      <c r="IA32" s="158"/>
      <c r="IB32" s="158"/>
      <c r="IC32" s="158"/>
      <c r="ID32" s="158"/>
      <c r="IE32" s="159"/>
      <c r="IF32" s="158"/>
      <c r="IG32" s="158"/>
      <c r="IH32" s="158"/>
      <c r="II32" s="158"/>
      <c r="IJ32" s="159"/>
      <c r="IK32" s="158"/>
      <c r="IL32" s="158"/>
      <c r="IM32" s="158"/>
      <c r="IN32" s="158"/>
      <c r="IO32" s="159"/>
      <c r="IP32" s="158"/>
      <c r="IQ32" s="158"/>
      <c r="IR32" s="158"/>
      <c r="IS32" s="158"/>
      <c r="IT32" s="159"/>
      <c r="IU32" s="158"/>
      <c r="IV32" s="158"/>
      <c r="IW32" s="158"/>
      <c r="IX32" s="159"/>
      <c r="IY32" s="158"/>
      <c r="IZ32" s="158"/>
      <c r="JA32" s="158"/>
      <c r="JB32" s="159"/>
      <c r="JC32" s="158"/>
      <c r="JD32" s="158"/>
      <c r="JE32" s="158"/>
      <c r="JF32" s="159"/>
      <c r="JG32" s="158"/>
      <c r="JH32" s="158"/>
      <c r="JI32" s="158"/>
      <c r="JJ32" s="158"/>
      <c r="JK32" s="158"/>
      <c r="JL32" s="158"/>
      <c r="JM32" s="158"/>
      <c r="JN32" s="158"/>
      <c r="JO32" s="158"/>
      <c r="JP32" s="158"/>
      <c r="JQ32" s="158"/>
      <c r="JR32" s="158"/>
      <c r="JS32" s="158"/>
      <c r="JT32" s="158"/>
      <c r="JU32" s="158"/>
      <c r="JV32" s="158"/>
      <c r="JW32" s="158"/>
      <c r="JX32" s="158"/>
      <c r="JY32" s="158"/>
      <c r="JZ32" s="158"/>
      <c r="KA32" s="158"/>
      <c r="KB32" s="158"/>
      <c r="KC32" s="158"/>
      <c r="KD32" s="158"/>
      <c r="KE32" s="158"/>
      <c r="KF32" s="158"/>
      <c r="KG32" s="158"/>
      <c r="KH32" s="158"/>
      <c r="KI32" s="158"/>
      <c r="KJ32" s="158"/>
      <c r="KK32" s="158"/>
      <c r="KL32" s="158"/>
      <c r="KM32" s="158"/>
      <c r="KN32" s="158"/>
      <c r="KO32" s="158"/>
      <c r="KP32" s="158"/>
      <c r="KQ32" s="158"/>
      <c r="KR32" s="158"/>
      <c r="KS32" s="158"/>
      <c r="KT32" s="158"/>
      <c r="KU32" s="158"/>
      <c r="KV32" s="158"/>
      <c r="KW32" s="158"/>
      <c r="KX32" s="158"/>
      <c r="KY32" s="158"/>
      <c r="KZ32" s="159"/>
      <c r="LA32" s="158"/>
      <c r="LB32" s="158"/>
      <c r="LC32" s="158"/>
      <c r="LD32" s="159"/>
      <c r="LE32" s="158"/>
      <c r="LF32" s="158"/>
      <c r="LG32" s="158"/>
      <c r="LH32" s="159"/>
      <c r="LI32" s="158"/>
      <c r="LJ32" s="158"/>
      <c r="LK32" s="158"/>
      <c r="LL32" s="159"/>
      <c r="LM32" s="158"/>
      <c r="LN32" s="158"/>
      <c r="LO32" s="158"/>
      <c r="LP32" s="159"/>
      <c r="LQ32" s="158"/>
      <c r="LR32" s="158"/>
      <c r="LS32" s="158"/>
      <c r="LT32" s="159"/>
      <c r="LU32" s="159"/>
      <c r="LV32" s="159"/>
      <c r="LW32" s="159"/>
      <c r="LX32" s="159"/>
      <c r="LY32" s="158"/>
      <c r="LZ32" s="158"/>
      <c r="MA32" s="158"/>
      <c r="MB32" s="159"/>
      <c r="MC32" s="158"/>
      <c r="MD32" s="159"/>
      <c r="ME32" s="158"/>
      <c r="MF32" s="159"/>
      <c r="MG32" s="158"/>
      <c r="MH32" s="159"/>
      <c r="MI32" s="158"/>
      <c r="MJ32" s="159"/>
      <c r="MK32" s="158"/>
      <c r="ML32" s="159"/>
      <c r="MM32" s="158"/>
      <c r="MN32" s="158"/>
      <c r="MO32" s="158"/>
      <c r="MP32" s="158"/>
      <c r="MQ32" s="158"/>
      <c r="MR32" s="158"/>
      <c r="MS32" s="158"/>
      <c r="MT32" s="158"/>
      <c r="MU32" s="158"/>
      <c r="MV32" s="158"/>
      <c r="MW32" s="159"/>
      <c r="MX32" s="158"/>
      <c r="MY32" s="158"/>
      <c r="MZ32" s="158"/>
      <c r="NA32" s="159"/>
      <c r="NB32" s="158"/>
      <c r="NC32" s="158"/>
      <c r="ND32" s="158"/>
      <c r="NE32" s="159"/>
      <c r="NF32" s="158"/>
      <c r="NG32" s="158"/>
      <c r="NH32" s="158"/>
      <c r="NI32" s="159"/>
      <c r="NJ32" s="158"/>
      <c r="NK32" s="158"/>
      <c r="NL32" s="158"/>
      <c r="NM32" s="159"/>
      <c r="NN32" s="158"/>
      <c r="NO32" s="158"/>
      <c r="NP32" s="158"/>
      <c r="NQ32" s="159"/>
      <c r="NR32" s="158"/>
      <c r="NS32" s="158"/>
      <c r="NT32" s="158"/>
      <c r="NU32" s="159"/>
      <c r="NV32" s="162"/>
      <c r="NW32" s="162"/>
      <c r="NX32" s="162"/>
      <c r="NY32" s="161"/>
      <c r="NZ32" s="162"/>
      <c r="OA32" s="162"/>
      <c r="OB32" s="162"/>
      <c r="OC32" s="161"/>
      <c r="OD32" s="163"/>
      <c r="OE32" s="163"/>
      <c r="OF32" s="163"/>
      <c r="OG32" s="163"/>
      <c r="OH32" s="163"/>
      <c r="OI32" s="163"/>
      <c r="OJ32" s="163"/>
      <c r="OK32" s="163"/>
      <c r="OL32" s="163"/>
      <c r="OM32" s="163"/>
      <c r="ON32" s="163"/>
      <c r="OO32" s="163"/>
      <c r="OP32" s="163"/>
      <c r="OQ32" s="163"/>
      <c r="OR32" s="163"/>
      <c r="OX32" s="163"/>
      <c r="PB32" s="164"/>
      <c r="PF32" s="164"/>
      <c r="PJ32" s="164"/>
      <c r="PN32" s="164"/>
      <c r="PR32" s="164"/>
      <c r="PV32" s="164"/>
      <c r="PZ32" s="164"/>
      <c r="QA32" s="158"/>
      <c r="QB32" s="158"/>
      <c r="QD32" s="163"/>
      <c r="QE32" s="158"/>
      <c r="QF32" s="158"/>
      <c r="QG32" s="158"/>
      <c r="QH32" s="158"/>
      <c r="QI32" s="158"/>
      <c r="QJ32" s="158"/>
      <c r="QK32" s="158"/>
      <c r="QL32" s="159"/>
      <c r="QM32" s="158"/>
      <c r="QN32" s="158"/>
      <c r="QO32" s="158"/>
      <c r="QP32" s="158"/>
      <c r="QQ32" s="158"/>
      <c r="QR32" s="158"/>
      <c r="QS32" s="159"/>
      <c r="QT32" s="158"/>
      <c r="QU32" s="158"/>
      <c r="QV32" s="158"/>
      <c r="QW32" s="158"/>
      <c r="QX32" s="158"/>
      <c r="QY32" s="158"/>
      <c r="QZ32" s="159"/>
      <c r="RA32" s="158"/>
      <c r="RB32" s="158"/>
      <c r="RC32" s="158"/>
      <c r="RD32" s="158"/>
      <c r="RE32" s="158"/>
      <c r="RF32" s="158"/>
      <c r="RG32" s="159"/>
      <c r="RH32" s="158"/>
      <c r="RI32" s="158"/>
      <c r="RJ32" s="158"/>
      <c r="RK32" s="158"/>
      <c r="RL32" s="158"/>
      <c r="RM32" s="158"/>
      <c r="RN32" s="159"/>
      <c r="RO32" s="158"/>
      <c r="RP32" s="158"/>
      <c r="RQ32" s="158"/>
      <c r="RR32" s="158"/>
      <c r="RS32" s="158"/>
      <c r="RT32" s="158"/>
      <c r="RU32" s="159"/>
      <c r="RV32" s="158"/>
      <c r="RW32" s="158"/>
      <c r="RX32" s="158"/>
      <c r="RY32" s="158"/>
      <c r="RZ32" s="158"/>
      <c r="SA32" s="158"/>
      <c r="SB32" s="158"/>
      <c r="SC32" s="159"/>
      <c r="SD32" s="158"/>
      <c r="SE32" s="158"/>
      <c r="SF32" s="158"/>
      <c r="SG32" s="159"/>
      <c r="SH32" s="158"/>
      <c r="SI32" s="158"/>
      <c r="SJ32" s="158"/>
      <c r="SK32" s="158"/>
      <c r="SL32" s="158"/>
      <c r="SM32" s="158"/>
      <c r="SN32" s="159"/>
      <c r="SO32" s="158"/>
      <c r="SP32" s="158"/>
      <c r="SQ32" s="158"/>
      <c r="SR32" s="159"/>
      <c r="SS32" s="158"/>
      <c r="ST32" s="158"/>
      <c r="SU32" s="159"/>
      <c r="SV32" s="158"/>
      <c r="SW32" s="158"/>
      <c r="SX32" s="159"/>
      <c r="SY32" s="158"/>
      <c r="SZ32" s="158"/>
      <c r="TA32" s="159"/>
      <c r="TB32" s="158"/>
      <c r="TC32" s="158"/>
      <c r="TD32" s="158"/>
      <c r="TE32" s="158"/>
      <c r="TF32" s="158"/>
      <c r="TG32" s="158"/>
      <c r="TP32" s="158"/>
      <c r="TQ32" s="158"/>
      <c r="TR32" s="158"/>
      <c r="UC32" s="165"/>
    </row>
    <row r="33" spans="1:549" hidden="1" x14ac:dyDescent="0.25">
      <c r="A33" s="154"/>
      <c r="B33" s="155"/>
      <c r="C33" s="156"/>
      <c r="D33" s="157"/>
      <c r="E33" s="158"/>
      <c r="F33" s="158"/>
      <c r="G33" s="158"/>
      <c r="H33" s="159"/>
      <c r="I33" s="158"/>
      <c r="J33" s="158"/>
      <c r="K33" s="158"/>
      <c r="L33" s="159"/>
      <c r="M33" s="158"/>
      <c r="N33" s="158"/>
      <c r="O33" s="159"/>
      <c r="P33" s="158"/>
      <c r="Q33" s="158"/>
      <c r="R33" s="158"/>
      <c r="S33" s="158"/>
      <c r="T33" s="159"/>
      <c r="U33" s="158"/>
      <c r="V33" s="158"/>
      <c r="W33" s="158"/>
      <c r="X33" s="159"/>
      <c r="Y33" s="158"/>
      <c r="Z33" s="158"/>
      <c r="AA33" s="159"/>
      <c r="AB33" s="158"/>
      <c r="AC33" s="158"/>
      <c r="AD33" s="159"/>
      <c r="AE33" s="158"/>
      <c r="AF33" s="158"/>
      <c r="AG33" s="158"/>
      <c r="AH33" s="159"/>
      <c r="AI33" s="158"/>
      <c r="AJ33" s="158"/>
      <c r="AK33" s="158"/>
      <c r="AL33" s="159"/>
      <c r="AM33" s="158"/>
      <c r="AN33" s="158"/>
      <c r="AO33" s="158"/>
      <c r="AP33" s="159"/>
      <c r="AQ33" s="158"/>
      <c r="AR33" s="158"/>
      <c r="AS33" s="158"/>
      <c r="AT33" s="158"/>
      <c r="AU33" s="159"/>
      <c r="AV33" s="158"/>
      <c r="AW33" s="158"/>
      <c r="AX33" s="158"/>
      <c r="AY33" s="158"/>
      <c r="AZ33" s="158"/>
      <c r="BA33" s="158"/>
      <c r="BB33" s="158"/>
      <c r="BC33" s="158"/>
      <c r="BD33" s="159"/>
      <c r="BE33" s="158"/>
      <c r="BF33" s="158"/>
      <c r="BG33" s="158"/>
      <c r="BH33" s="158"/>
      <c r="BI33" s="158"/>
      <c r="BJ33" s="158"/>
      <c r="BK33" s="158"/>
      <c r="BL33" s="159"/>
      <c r="BM33" s="158"/>
      <c r="BN33" s="158"/>
      <c r="BO33" s="158"/>
      <c r="BP33" s="158"/>
      <c r="BQ33" s="158"/>
      <c r="BR33" s="158"/>
      <c r="BS33" s="159"/>
      <c r="BT33" s="158"/>
      <c r="BU33" s="158"/>
      <c r="BV33" s="158"/>
      <c r="BW33" s="159"/>
      <c r="BX33" s="158"/>
      <c r="BY33" s="158"/>
      <c r="BZ33" s="159"/>
      <c r="CA33" s="158"/>
      <c r="CB33" s="158"/>
      <c r="CC33" s="159"/>
      <c r="CD33" s="158"/>
      <c r="CE33" s="158"/>
      <c r="CF33" s="158"/>
      <c r="CG33" s="158"/>
      <c r="CH33" s="158"/>
      <c r="CI33" s="158"/>
      <c r="CJ33" s="158"/>
      <c r="CK33" s="158"/>
      <c r="CL33" s="159"/>
      <c r="CM33" s="158"/>
      <c r="CN33" s="158"/>
      <c r="CO33" s="158"/>
      <c r="CP33" s="158"/>
      <c r="CQ33" s="159"/>
      <c r="CR33" s="158"/>
      <c r="CS33" s="158"/>
      <c r="CT33" s="158"/>
      <c r="CU33" s="158"/>
      <c r="CV33" s="158"/>
      <c r="CW33" s="158"/>
      <c r="CX33" s="159"/>
      <c r="CY33" s="158"/>
      <c r="CZ33" s="158"/>
      <c r="DA33" s="158"/>
      <c r="DB33" s="159"/>
      <c r="DC33" s="158"/>
      <c r="DD33" s="158"/>
      <c r="DE33" s="159"/>
      <c r="DF33" s="158"/>
      <c r="DG33" s="158"/>
      <c r="DH33" s="159"/>
      <c r="DI33" s="158"/>
      <c r="DJ33" s="158"/>
      <c r="DK33" s="159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9"/>
      <c r="DX33" s="158"/>
      <c r="DY33" s="158"/>
      <c r="DZ33" s="158"/>
      <c r="EA33" s="159"/>
      <c r="EB33" s="158"/>
      <c r="EC33" s="158"/>
      <c r="ED33" s="158"/>
      <c r="EE33" s="158"/>
      <c r="EF33" s="158"/>
      <c r="EG33" s="158"/>
      <c r="EH33" s="159"/>
      <c r="EI33" s="158"/>
      <c r="EJ33" s="158"/>
      <c r="EK33" s="158"/>
      <c r="EL33" s="159"/>
      <c r="EM33" s="158"/>
      <c r="EN33" s="158"/>
      <c r="EO33" s="159"/>
      <c r="EP33" s="158"/>
      <c r="EQ33" s="158"/>
      <c r="ER33" s="159"/>
      <c r="ES33" s="158"/>
      <c r="ET33" s="158"/>
      <c r="EU33" s="159"/>
      <c r="EV33" s="158"/>
      <c r="EW33" s="158"/>
      <c r="EX33" s="158"/>
      <c r="EY33" s="158"/>
      <c r="EZ33" s="158"/>
      <c r="FA33" s="158"/>
      <c r="FB33" s="158"/>
      <c r="FC33" s="158"/>
      <c r="FD33" s="158"/>
      <c r="FE33" s="158"/>
      <c r="FF33" s="158"/>
      <c r="FG33" s="159"/>
      <c r="FH33" s="158"/>
      <c r="FI33" s="158"/>
      <c r="FJ33" s="158"/>
      <c r="FK33" s="159"/>
      <c r="FL33" s="158"/>
      <c r="FM33" s="158"/>
      <c r="FN33" s="158"/>
      <c r="FO33" s="158"/>
      <c r="FP33" s="158"/>
      <c r="FQ33" s="158"/>
      <c r="FR33" s="159"/>
      <c r="FS33" s="158"/>
      <c r="FT33" s="158"/>
      <c r="FU33" s="158"/>
      <c r="FV33" s="159"/>
      <c r="FW33" s="158"/>
      <c r="FX33" s="158"/>
      <c r="FY33" s="159"/>
      <c r="FZ33" s="158"/>
      <c r="GA33" s="158"/>
      <c r="GB33" s="159"/>
      <c r="GC33" s="158"/>
      <c r="GD33" s="158"/>
      <c r="GE33" s="159"/>
      <c r="GF33" s="158"/>
      <c r="GG33" s="158"/>
      <c r="GH33" s="158"/>
      <c r="GI33" s="158"/>
      <c r="GJ33" s="158"/>
      <c r="GK33" s="160"/>
      <c r="GL33" s="160"/>
      <c r="GM33" s="160"/>
      <c r="GN33" s="161"/>
      <c r="GO33" s="158"/>
      <c r="GP33" s="158"/>
      <c r="GQ33" s="158"/>
      <c r="GR33" s="159"/>
      <c r="GS33" s="158"/>
      <c r="GT33" s="158"/>
      <c r="GU33" s="158"/>
      <c r="GV33" s="158"/>
      <c r="GW33" s="159"/>
      <c r="GX33" s="158"/>
      <c r="GY33" s="158"/>
      <c r="GZ33" s="158"/>
      <c r="HA33" s="158"/>
      <c r="HB33" s="159"/>
      <c r="HC33" s="158"/>
      <c r="HD33" s="158"/>
      <c r="HE33" s="158"/>
      <c r="HF33" s="158"/>
      <c r="HG33" s="159"/>
      <c r="HH33" s="158"/>
      <c r="HI33" s="158"/>
      <c r="HJ33" s="158"/>
      <c r="HK33" s="158"/>
      <c r="HL33" s="159"/>
      <c r="HM33" s="158"/>
      <c r="HN33" s="158"/>
      <c r="HO33" s="158"/>
      <c r="HP33" s="158"/>
      <c r="HQ33" s="159"/>
      <c r="HR33" s="158"/>
      <c r="HS33" s="160"/>
      <c r="HT33" s="160"/>
      <c r="HU33" s="160"/>
      <c r="HV33" s="161"/>
      <c r="HW33" s="158"/>
      <c r="HX33" s="158"/>
      <c r="HY33" s="158"/>
      <c r="HZ33" s="159"/>
      <c r="IA33" s="158"/>
      <c r="IB33" s="158"/>
      <c r="IC33" s="158"/>
      <c r="ID33" s="158"/>
      <c r="IE33" s="159"/>
      <c r="IF33" s="158"/>
      <c r="IG33" s="158"/>
      <c r="IH33" s="158"/>
      <c r="II33" s="158"/>
      <c r="IJ33" s="159"/>
      <c r="IK33" s="158"/>
      <c r="IL33" s="158"/>
      <c r="IM33" s="158"/>
      <c r="IN33" s="158"/>
      <c r="IO33" s="159"/>
      <c r="IP33" s="158"/>
      <c r="IQ33" s="158"/>
      <c r="IR33" s="158"/>
      <c r="IS33" s="158"/>
      <c r="IT33" s="159"/>
      <c r="IU33" s="158"/>
      <c r="IV33" s="158"/>
      <c r="IW33" s="158"/>
      <c r="IX33" s="159"/>
      <c r="IY33" s="158"/>
      <c r="IZ33" s="158"/>
      <c r="JA33" s="158"/>
      <c r="JB33" s="159"/>
      <c r="JC33" s="158"/>
      <c r="JD33" s="158"/>
      <c r="JE33" s="158"/>
      <c r="JF33" s="159"/>
      <c r="JG33" s="158"/>
      <c r="JH33" s="158"/>
      <c r="JI33" s="158"/>
      <c r="JJ33" s="158"/>
      <c r="JK33" s="158"/>
      <c r="JL33" s="158"/>
      <c r="JM33" s="158"/>
      <c r="JN33" s="158"/>
      <c r="JO33" s="158"/>
      <c r="JP33" s="158"/>
      <c r="JQ33" s="158"/>
      <c r="JR33" s="158"/>
      <c r="JS33" s="158"/>
      <c r="JT33" s="158"/>
      <c r="JU33" s="158"/>
      <c r="JV33" s="158"/>
      <c r="JW33" s="158"/>
      <c r="JX33" s="158"/>
      <c r="JY33" s="158"/>
      <c r="JZ33" s="158"/>
      <c r="KA33" s="158"/>
      <c r="KB33" s="158"/>
      <c r="KC33" s="158"/>
      <c r="KD33" s="158"/>
      <c r="KE33" s="158"/>
      <c r="KF33" s="158"/>
      <c r="KG33" s="158"/>
      <c r="KH33" s="158"/>
      <c r="KI33" s="158"/>
      <c r="KJ33" s="158"/>
      <c r="KK33" s="158"/>
      <c r="KL33" s="158"/>
      <c r="KM33" s="158"/>
      <c r="KN33" s="158"/>
      <c r="KO33" s="158"/>
      <c r="KP33" s="158"/>
      <c r="KQ33" s="158"/>
      <c r="KR33" s="158"/>
      <c r="KS33" s="158"/>
      <c r="KT33" s="158"/>
      <c r="KU33" s="158"/>
      <c r="KV33" s="158"/>
      <c r="KW33" s="158"/>
      <c r="KX33" s="158"/>
      <c r="KY33" s="158"/>
      <c r="KZ33" s="159"/>
      <c r="LA33" s="158"/>
      <c r="LB33" s="158"/>
      <c r="LC33" s="158"/>
      <c r="LD33" s="159"/>
      <c r="LE33" s="158"/>
      <c r="LF33" s="158"/>
      <c r="LG33" s="158"/>
      <c r="LH33" s="159"/>
      <c r="LI33" s="158"/>
      <c r="LJ33" s="158"/>
      <c r="LK33" s="158"/>
      <c r="LL33" s="159"/>
      <c r="LM33" s="158"/>
      <c r="LN33" s="158"/>
      <c r="LO33" s="158"/>
      <c r="LP33" s="159"/>
      <c r="LQ33" s="158"/>
      <c r="LR33" s="158"/>
      <c r="LS33" s="158"/>
      <c r="LT33" s="159"/>
      <c r="LU33" s="159"/>
      <c r="LV33" s="159"/>
      <c r="LW33" s="159"/>
      <c r="LX33" s="159"/>
      <c r="LY33" s="158"/>
      <c r="LZ33" s="158"/>
      <c r="MA33" s="158"/>
      <c r="MB33" s="159"/>
      <c r="MC33" s="158"/>
      <c r="MD33" s="159"/>
      <c r="ME33" s="158"/>
      <c r="MF33" s="159"/>
      <c r="MG33" s="158"/>
      <c r="MH33" s="159"/>
      <c r="MI33" s="158"/>
      <c r="MJ33" s="159"/>
      <c r="MK33" s="158"/>
      <c r="ML33" s="159"/>
      <c r="MM33" s="158"/>
      <c r="MN33" s="158"/>
      <c r="MO33" s="158"/>
      <c r="MP33" s="158"/>
      <c r="MQ33" s="158"/>
      <c r="MR33" s="158"/>
      <c r="MS33" s="158"/>
      <c r="MT33" s="158"/>
      <c r="MU33" s="158"/>
      <c r="MV33" s="158"/>
      <c r="MW33" s="159"/>
      <c r="MX33" s="158"/>
      <c r="MY33" s="158"/>
      <c r="MZ33" s="158"/>
      <c r="NA33" s="159"/>
      <c r="NB33" s="158"/>
      <c r="NC33" s="158"/>
      <c r="ND33" s="158"/>
      <c r="NE33" s="159"/>
      <c r="NF33" s="158"/>
      <c r="NG33" s="158"/>
      <c r="NH33" s="158"/>
      <c r="NI33" s="159"/>
      <c r="NJ33" s="158"/>
      <c r="NK33" s="158"/>
      <c r="NL33" s="158"/>
      <c r="NM33" s="159"/>
      <c r="NN33" s="158"/>
      <c r="NO33" s="158"/>
      <c r="NP33" s="158"/>
      <c r="NQ33" s="159"/>
      <c r="NR33" s="158"/>
      <c r="NS33" s="158"/>
      <c r="NT33" s="158"/>
      <c r="NU33" s="159"/>
      <c r="NV33" s="162"/>
      <c r="NW33" s="162"/>
      <c r="NX33" s="162"/>
      <c r="NY33" s="161"/>
      <c r="NZ33" s="162"/>
      <c r="OA33" s="162"/>
      <c r="OB33" s="162"/>
      <c r="OC33" s="161"/>
      <c r="OD33" s="163"/>
      <c r="OE33" s="163"/>
      <c r="OF33" s="163"/>
      <c r="OG33" s="163"/>
      <c r="OH33" s="163"/>
      <c r="OI33" s="163"/>
      <c r="OJ33" s="163"/>
      <c r="OK33" s="163"/>
      <c r="OL33" s="163"/>
      <c r="OM33" s="163"/>
      <c r="ON33" s="163"/>
      <c r="OO33" s="163"/>
      <c r="OP33" s="163"/>
      <c r="OQ33" s="163"/>
      <c r="OR33" s="163"/>
      <c r="OX33" s="163"/>
      <c r="PB33" s="164"/>
      <c r="PF33" s="164"/>
      <c r="PJ33" s="164"/>
      <c r="PN33" s="164"/>
      <c r="PR33" s="164"/>
      <c r="PV33" s="164"/>
      <c r="PZ33" s="164"/>
      <c r="QA33" s="158"/>
      <c r="QB33" s="158"/>
      <c r="QD33" s="163"/>
      <c r="QE33" s="158"/>
      <c r="QF33" s="158"/>
      <c r="QG33" s="158"/>
      <c r="QH33" s="158"/>
      <c r="QI33" s="158"/>
      <c r="QJ33" s="158"/>
      <c r="QK33" s="158"/>
      <c r="QL33" s="159"/>
      <c r="QM33" s="158"/>
      <c r="QN33" s="158"/>
      <c r="QO33" s="158"/>
      <c r="QP33" s="158"/>
      <c r="QQ33" s="158"/>
      <c r="QR33" s="158"/>
      <c r="QS33" s="159"/>
      <c r="QT33" s="158"/>
      <c r="QU33" s="158"/>
      <c r="QV33" s="158"/>
      <c r="QW33" s="158"/>
      <c r="QX33" s="158"/>
      <c r="QY33" s="158"/>
      <c r="QZ33" s="159"/>
      <c r="RA33" s="158"/>
      <c r="RB33" s="158"/>
      <c r="RC33" s="158"/>
      <c r="RD33" s="158"/>
      <c r="RE33" s="158"/>
      <c r="RF33" s="158"/>
      <c r="RG33" s="159"/>
      <c r="RH33" s="158"/>
      <c r="RI33" s="158"/>
      <c r="RJ33" s="158"/>
      <c r="RK33" s="158"/>
      <c r="RL33" s="158"/>
      <c r="RM33" s="158"/>
      <c r="RN33" s="159"/>
      <c r="RO33" s="158"/>
      <c r="RP33" s="158"/>
      <c r="RQ33" s="158"/>
      <c r="RR33" s="158"/>
      <c r="RS33" s="158"/>
      <c r="RT33" s="158"/>
      <c r="RU33" s="159"/>
      <c r="RV33" s="158"/>
      <c r="RW33" s="158"/>
      <c r="RX33" s="158"/>
      <c r="RY33" s="158"/>
      <c r="RZ33" s="158"/>
      <c r="SA33" s="158"/>
      <c r="SB33" s="158"/>
      <c r="SC33" s="159"/>
      <c r="SD33" s="158"/>
      <c r="SE33" s="158"/>
      <c r="SF33" s="158"/>
      <c r="SG33" s="159"/>
      <c r="SH33" s="158"/>
      <c r="SI33" s="158"/>
      <c r="SJ33" s="158"/>
      <c r="SK33" s="158"/>
      <c r="SL33" s="158"/>
      <c r="SM33" s="158"/>
      <c r="SN33" s="159"/>
      <c r="SO33" s="158"/>
      <c r="SP33" s="158"/>
      <c r="SQ33" s="158"/>
      <c r="SR33" s="159"/>
      <c r="SS33" s="158"/>
      <c r="ST33" s="158"/>
      <c r="SU33" s="159"/>
      <c r="SV33" s="158"/>
      <c r="SW33" s="158"/>
      <c r="SX33" s="159"/>
      <c r="SY33" s="158"/>
      <c r="SZ33" s="158"/>
      <c r="TA33" s="159"/>
      <c r="TB33" s="158"/>
      <c r="TC33" s="158"/>
      <c r="TD33" s="158"/>
      <c r="TE33" s="158"/>
      <c r="TF33" s="158"/>
      <c r="TG33" s="158"/>
      <c r="TP33" s="158"/>
      <c r="TQ33" s="158"/>
      <c r="TR33" s="158"/>
      <c r="UC33" s="165"/>
    </row>
    <row r="34" spans="1:549" hidden="1" x14ac:dyDescent="0.25">
      <c r="A34" s="154"/>
      <c r="B34" s="155"/>
      <c r="C34" s="156"/>
      <c r="D34" s="157"/>
      <c r="E34" s="158"/>
      <c r="F34" s="158"/>
      <c r="G34" s="158"/>
      <c r="H34" s="159"/>
      <c r="I34" s="158"/>
      <c r="J34" s="158"/>
      <c r="K34" s="158"/>
      <c r="L34" s="159"/>
      <c r="M34" s="158"/>
      <c r="N34" s="158"/>
      <c r="O34" s="159"/>
      <c r="P34" s="158"/>
      <c r="Q34" s="158"/>
      <c r="R34" s="158"/>
      <c r="S34" s="158"/>
      <c r="T34" s="159"/>
      <c r="U34" s="158"/>
      <c r="V34" s="158"/>
      <c r="W34" s="158"/>
      <c r="X34" s="159"/>
      <c r="Y34" s="158"/>
      <c r="Z34" s="158"/>
      <c r="AA34" s="159"/>
      <c r="AB34" s="158"/>
      <c r="AC34" s="158"/>
      <c r="AD34" s="159"/>
      <c r="AE34" s="158"/>
      <c r="AF34" s="158"/>
      <c r="AG34" s="158"/>
      <c r="AH34" s="159"/>
      <c r="AI34" s="158"/>
      <c r="AJ34" s="158"/>
      <c r="AK34" s="158"/>
      <c r="AL34" s="159"/>
      <c r="AM34" s="158"/>
      <c r="AN34" s="158"/>
      <c r="AO34" s="158"/>
      <c r="AP34" s="159"/>
      <c r="AQ34" s="158"/>
      <c r="AR34" s="158"/>
      <c r="AS34" s="158"/>
      <c r="AT34" s="158"/>
      <c r="AU34" s="159"/>
      <c r="AV34" s="158"/>
      <c r="AW34" s="158"/>
      <c r="AX34" s="158"/>
      <c r="AY34" s="158"/>
      <c r="AZ34" s="158"/>
      <c r="BA34" s="158"/>
      <c r="BB34" s="158"/>
      <c r="BC34" s="158"/>
      <c r="BD34" s="159"/>
      <c r="BE34" s="158"/>
      <c r="BF34" s="158"/>
      <c r="BG34" s="158"/>
      <c r="BH34" s="158"/>
      <c r="BI34" s="158"/>
      <c r="BJ34" s="158"/>
      <c r="BK34" s="158"/>
      <c r="BL34" s="159"/>
      <c r="BM34" s="158"/>
      <c r="BN34" s="158"/>
      <c r="BO34" s="158"/>
      <c r="BP34" s="158"/>
      <c r="BQ34" s="158"/>
      <c r="BR34" s="158"/>
      <c r="BS34" s="159"/>
      <c r="BT34" s="158"/>
      <c r="BU34" s="158"/>
      <c r="BV34" s="158"/>
      <c r="BW34" s="159"/>
      <c r="BX34" s="158"/>
      <c r="BY34" s="158"/>
      <c r="BZ34" s="159"/>
      <c r="CA34" s="158"/>
      <c r="CB34" s="158"/>
      <c r="CC34" s="159"/>
      <c r="CD34" s="158"/>
      <c r="CE34" s="158"/>
      <c r="CF34" s="158"/>
      <c r="CG34" s="158"/>
      <c r="CH34" s="158"/>
      <c r="CI34" s="158"/>
      <c r="CJ34" s="158"/>
      <c r="CK34" s="158"/>
      <c r="CL34" s="159"/>
      <c r="CM34" s="158"/>
      <c r="CN34" s="158"/>
      <c r="CO34" s="158"/>
      <c r="CP34" s="158"/>
      <c r="CQ34" s="159"/>
      <c r="CR34" s="158"/>
      <c r="CS34" s="158"/>
      <c r="CT34" s="158"/>
      <c r="CU34" s="158"/>
      <c r="CV34" s="158"/>
      <c r="CW34" s="158"/>
      <c r="CX34" s="159"/>
      <c r="CY34" s="158"/>
      <c r="CZ34" s="158"/>
      <c r="DA34" s="158"/>
      <c r="DB34" s="159"/>
      <c r="DC34" s="158"/>
      <c r="DD34" s="158"/>
      <c r="DE34" s="159"/>
      <c r="DF34" s="158"/>
      <c r="DG34" s="158"/>
      <c r="DH34" s="159"/>
      <c r="DI34" s="158"/>
      <c r="DJ34" s="158"/>
      <c r="DK34" s="159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9"/>
      <c r="DX34" s="158"/>
      <c r="DY34" s="158"/>
      <c r="DZ34" s="158"/>
      <c r="EA34" s="159"/>
      <c r="EB34" s="158"/>
      <c r="EC34" s="158"/>
      <c r="ED34" s="158"/>
      <c r="EE34" s="158"/>
      <c r="EF34" s="158"/>
      <c r="EG34" s="158"/>
      <c r="EH34" s="159"/>
      <c r="EI34" s="158"/>
      <c r="EJ34" s="158"/>
      <c r="EK34" s="158"/>
      <c r="EL34" s="159"/>
      <c r="EM34" s="158"/>
      <c r="EN34" s="158"/>
      <c r="EO34" s="159"/>
      <c r="EP34" s="158"/>
      <c r="EQ34" s="158"/>
      <c r="ER34" s="159"/>
      <c r="ES34" s="158"/>
      <c r="ET34" s="158"/>
      <c r="EU34" s="159"/>
      <c r="EV34" s="158"/>
      <c r="EW34" s="158"/>
      <c r="EX34" s="158"/>
      <c r="EY34" s="158"/>
      <c r="EZ34" s="158"/>
      <c r="FA34" s="158"/>
      <c r="FB34" s="158"/>
      <c r="FC34" s="158"/>
      <c r="FD34" s="158"/>
      <c r="FE34" s="158"/>
      <c r="FF34" s="158"/>
      <c r="FG34" s="159"/>
      <c r="FH34" s="158"/>
      <c r="FI34" s="158"/>
      <c r="FJ34" s="158"/>
      <c r="FK34" s="159"/>
      <c r="FL34" s="158"/>
      <c r="FM34" s="158"/>
      <c r="FN34" s="158"/>
      <c r="FO34" s="158"/>
      <c r="FP34" s="158"/>
      <c r="FQ34" s="158"/>
      <c r="FR34" s="159"/>
      <c r="FS34" s="158"/>
      <c r="FT34" s="158"/>
      <c r="FU34" s="158"/>
      <c r="FV34" s="159"/>
      <c r="FW34" s="158"/>
      <c r="FX34" s="158"/>
      <c r="FY34" s="159"/>
      <c r="FZ34" s="158"/>
      <c r="GA34" s="158"/>
      <c r="GB34" s="159"/>
      <c r="GC34" s="158"/>
      <c r="GD34" s="158"/>
      <c r="GE34" s="159"/>
      <c r="GF34" s="158"/>
      <c r="GG34" s="158"/>
      <c r="GH34" s="158"/>
      <c r="GI34" s="158"/>
      <c r="GJ34" s="158"/>
      <c r="GK34" s="160"/>
      <c r="GL34" s="160"/>
      <c r="GM34" s="160"/>
      <c r="GN34" s="161"/>
      <c r="GO34" s="158"/>
      <c r="GP34" s="158"/>
      <c r="GQ34" s="158"/>
      <c r="GR34" s="159"/>
      <c r="GS34" s="158"/>
      <c r="GT34" s="158"/>
      <c r="GU34" s="158"/>
      <c r="GV34" s="158"/>
      <c r="GW34" s="159"/>
      <c r="GX34" s="158"/>
      <c r="GY34" s="158"/>
      <c r="GZ34" s="158"/>
      <c r="HA34" s="158"/>
      <c r="HB34" s="159"/>
      <c r="HC34" s="158"/>
      <c r="HD34" s="158"/>
      <c r="HE34" s="158"/>
      <c r="HF34" s="158"/>
      <c r="HG34" s="159"/>
      <c r="HH34" s="158"/>
      <c r="HI34" s="158"/>
      <c r="HJ34" s="158"/>
      <c r="HK34" s="158"/>
      <c r="HL34" s="159"/>
      <c r="HM34" s="158"/>
      <c r="HN34" s="158"/>
      <c r="HO34" s="158"/>
      <c r="HP34" s="158"/>
      <c r="HQ34" s="159"/>
      <c r="HR34" s="158"/>
      <c r="HS34" s="160"/>
      <c r="HT34" s="160"/>
      <c r="HU34" s="160"/>
      <c r="HV34" s="161"/>
      <c r="HW34" s="158"/>
      <c r="HX34" s="158"/>
      <c r="HY34" s="158"/>
      <c r="HZ34" s="159"/>
      <c r="IA34" s="158"/>
      <c r="IB34" s="158"/>
      <c r="IC34" s="158"/>
      <c r="ID34" s="158"/>
      <c r="IE34" s="159"/>
      <c r="IF34" s="158"/>
      <c r="IG34" s="158"/>
      <c r="IH34" s="158"/>
      <c r="II34" s="158"/>
      <c r="IJ34" s="159"/>
      <c r="IK34" s="158"/>
      <c r="IL34" s="158"/>
      <c r="IM34" s="158"/>
      <c r="IN34" s="158"/>
      <c r="IO34" s="159"/>
      <c r="IP34" s="158"/>
      <c r="IQ34" s="158"/>
      <c r="IR34" s="158"/>
      <c r="IS34" s="158"/>
      <c r="IT34" s="159"/>
      <c r="IU34" s="158"/>
      <c r="IV34" s="158"/>
      <c r="IW34" s="158"/>
      <c r="IX34" s="159"/>
      <c r="IY34" s="158"/>
      <c r="IZ34" s="158"/>
      <c r="JA34" s="158"/>
      <c r="JB34" s="159"/>
      <c r="JC34" s="158"/>
      <c r="JD34" s="158"/>
      <c r="JE34" s="158"/>
      <c r="JF34" s="159"/>
      <c r="JG34" s="158"/>
      <c r="JH34" s="158"/>
      <c r="JI34" s="158"/>
      <c r="JJ34" s="158"/>
      <c r="JK34" s="158"/>
      <c r="JL34" s="158"/>
      <c r="JM34" s="158"/>
      <c r="JN34" s="158"/>
      <c r="JO34" s="158"/>
      <c r="JP34" s="158"/>
      <c r="JQ34" s="158"/>
      <c r="JR34" s="158"/>
      <c r="JS34" s="158"/>
      <c r="JT34" s="158"/>
      <c r="JU34" s="158"/>
      <c r="JV34" s="158"/>
      <c r="JW34" s="158"/>
      <c r="JX34" s="158"/>
      <c r="JY34" s="158"/>
      <c r="JZ34" s="158"/>
      <c r="KA34" s="158"/>
      <c r="KB34" s="158"/>
      <c r="KC34" s="158"/>
      <c r="KD34" s="158"/>
      <c r="KE34" s="158"/>
      <c r="KF34" s="158"/>
      <c r="KG34" s="158"/>
      <c r="KH34" s="158"/>
      <c r="KI34" s="158"/>
      <c r="KJ34" s="158"/>
      <c r="KK34" s="158"/>
      <c r="KL34" s="158"/>
      <c r="KM34" s="158"/>
      <c r="KN34" s="158"/>
      <c r="KO34" s="158"/>
      <c r="KP34" s="158"/>
      <c r="KQ34" s="158"/>
      <c r="KR34" s="158"/>
      <c r="KS34" s="158"/>
      <c r="KT34" s="158"/>
      <c r="KU34" s="158"/>
      <c r="KV34" s="158"/>
      <c r="KW34" s="158"/>
      <c r="KX34" s="158"/>
      <c r="KY34" s="158"/>
      <c r="KZ34" s="159"/>
      <c r="LA34" s="158"/>
      <c r="LB34" s="158"/>
      <c r="LC34" s="158"/>
      <c r="LD34" s="159"/>
      <c r="LE34" s="158"/>
      <c r="LF34" s="158"/>
      <c r="LG34" s="158"/>
      <c r="LH34" s="159"/>
      <c r="LI34" s="158"/>
      <c r="LJ34" s="158"/>
      <c r="LK34" s="158"/>
      <c r="LL34" s="159"/>
      <c r="LM34" s="158"/>
      <c r="LN34" s="158"/>
      <c r="LO34" s="158"/>
      <c r="LP34" s="159"/>
      <c r="LQ34" s="158"/>
      <c r="LR34" s="158"/>
      <c r="LS34" s="158"/>
      <c r="LT34" s="159"/>
      <c r="LU34" s="159"/>
      <c r="LV34" s="159"/>
      <c r="LW34" s="159"/>
      <c r="LX34" s="159"/>
      <c r="LY34" s="158"/>
      <c r="LZ34" s="158"/>
      <c r="MA34" s="158"/>
      <c r="MB34" s="159"/>
      <c r="MC34" s="158"/>
      <c r="MD34" s="159"/>
      <c r="ME34" s="158"/>
      <c r="MF34" s="159"/>
      <c r="MG34" s="158"/>
      <c r="MH34" s="159"/>
      <c r="MI34" s="158"/>
      <c r="MJ34" s="159"/>
      <c r="MK34" s="158"/>
      <c r="ML34" s="159"/>
      <c r="MM34" s="158"/>
      <c r="MN34" s="158"/>
      <c r="MO34" s="158"/>
      <c r="MP34" s="158"/>
      <c r="MQ34" s="158"/>
      <c r="MR34" s="158"/>
      <c r="MS34" s="158"/>
      <c r="MT34" s="158"/>
      <c r="MU34" s="158"/>
      <c r="MV34" s="158"/>
      <c r="MW34" s="159"/>
      <c r="MX34" s="158"/>
      <c r="MY34" s="158"/>
      <c r="MZ34" s="158"/>
      <c r="NA34" s="159"/>
      <c r="NB34" s="158"/>
      <c r="NC34" s="158"/>
      <c r="ND34" s="158"/>
      <c r="NE34" s="159"/>
      <c r="NF34" s="158"/>
      <c r="NG34" s="158"/>
      <c r="NH34" s="158"/>
      <c r="NI34" s="159"/>
      <c r="NJ34" s="158"/>
      <c r="NK34" s="158"/>
      <c r="NL34" s="158"/>
      <c r="NM34" s="159"/>
      <c r="NN34" s="158"/>
      <c r="NO34" s="158"/>
      <c r="NP34" s="158"/>
      <c r="NQ34" s="159"/>
      <c r="NR34" s="158"/>
      <c r="NS34" s="158"/>
      <c r="NT34" s="158"/>
      <c r="NU34" s="159"/>
      <c r="NV34" s="162"/>
      <c r="NW34" s="162"/>
      <c r="NX34" s="162"/>
      <c r="NY34" s="161"/>
      <c r="NZ34" s="162"/>
      <c r="OA34" s="162"/>
      <c r="OB34" s="162"/>
      <c r="OC34" s="161"/>
      <c r="OD34" s="163"/>
      <c r="OE34" s="163"/>
      <c r="OF34" s="163"/>
      <c r="OG34" s="163"/>
      <c r="OH34" s="163"/>
      <c r="OI34" s="163"/>
      <c r="OJ34" s="163"/>
      <c r="OK34" s="163"/>
      <c r="OL34" s="163"/>
      <c r="OM34" s="163"/>
      <c r="ON34" s="163"/>
      <c r="OO34" s="163"/>
      <c r="OP34" s="163"/>
      <c r="OQ34" s="163"/>
      <c r="OR34" s="163"/>
      <c r="OX34" s="163"/>
      <c r="PB34" s="164"/>
      <c r="PF34" s="164"/>
      <c r="PJ34" s="164"/>
      <c r="PN34" s="164"/>
      <c r="PR34" s="164"/>
      <c r="PV34" s="164"/>
      <c r="PZ34" s="164"/>
      <c r="QA34" s="158"/>
      <c r="QB34" s="158"/>
      <c r="QD34" s="163"/>
      <c r="QE34" s="158"/>
      <c r="QF34" s="158"/>
      <c r="QG34" s="158"/>
      <c r="QH34" s="158"/>
      <c r="QI34" s="158"/>
      <c r="QJ34" s="158"/>
      <c r="QK34" s="158"/>
      <c r="QL34" s="159"/>
      <c r="QM34" s="158"/>
      <c r="QN34" s="158"/>
      <c r="QO34" s="158"/>
      <c r="QP34" s="158"/>
      <c r="QQ34" s="158"/>
      <c r="QR34" s="158"/>
      <c r="QS34" s="159"/>
      <c r="QT34" s="158"/>
      <c r="QU34" s="158"/>
      <c r="QV34" s="158"/>
      <c r="QW34" s="158"/>
      <c r="QX34" s="158"/>
      <c r="QY34" s="158"/>
      <c r="QZ34" s="159"/>
      <c r="RA34" s="158"/>
      <c r="RB34" s="158"/>
      <c r="RC34" s="158"/>
      <c r="RD34" s="158"/>
      <c r="RE34" s="158"/>
      <c r="RF34" s="158"/>
      <c r="RG34" s="159"/>
      <c r="RH34" s="158"/>
      <c r="RI34" s="158"/>
      <c r="RJ34" s="158"/>
      <c r="RK34" s="158"/>
      <c r="RL34" s="158"/>
      <c r="RM34" s="158"/>
      <c r="RN34" s="159"/>
      <c r="RO34" s="158"/>
      <c r="RP34" s="158"/>
      <c r="RQ34" s="158"/>
      <c r="RR34" s="158"/>
      <c r="RS34" s="158"/>
      <c r="RT34" s="158"/>
      <c r="RU34" s="159"/>
      <c r="RV34" s="158"/>
      <c r="RW34" s="158"/>
      <c r="RX34" s="158"/>
      <c r="RY34" s="158"/>
      <c r="RZ34" s="158"/>
      <c r="SA34" s="158"/>
      <c r="SB34" s="158"/>
      <c r="SC34" s="159"/>
      <c r="SD34" s="158"/>
      <c r="SE34" s="158"/>
      <c r="SF34" s="158"/>
      <c r="SG34" s="159"/>
      <c r="SH34" s="158"/>
      <c r="SI34" s="158"/>
      <c r="SJ34" s="158"/>
      <c r="SK34" s="158"/>
      <c r="SL34" s="158"/>
      <c r="SM34" s="158"/>
      <c r="SN34" s="159"/>
      <c r="SO34" s="158"/>
      <c r="SP34" s="158"/>
      <c r="SQ34" s="158"/>
      <c r="SR34" s="159"/>
      <c r="SS34" s="158"/>
      <c r="ST34" s="158"/>
      <c r="SU34" s="159"/>
      <c r="SV34" s="158"/>
      <c r="SW34" s="158"/>
      <c r="SX34" s="159"/>
      <c r="SY34" s="158"/>
      <c r="SZ34" s="158"/>
      <c r="TA34" s="159"/>
      <c r="TB34" s="158"/>
      <c r="TC34" s="158"/>
      <c r="TD34" s="158"/>
      <c r="TE34" s="158"/>
      <c r="TF34" s="158"/>
      <c r="TG34" s="158"/>
      <c r="TP34" s="158"/>
      <c r="TQ34" s="158"/>
      <c r="TR34" s="158"/>
      <c r="UC34" s="165"/>
    </row>
    <row r="35" spans="1:549" ht="15.75" hidden="1" customHeight="1" x14ac:dyDescent="0.25">
      <c r="A35" s="154"/>
      <c r="B35" s="155"/>
      <c r="C35" s="156"/>
      <c r="D35" s="157"/>
      <c r="E35" s="158"/>
      <c r="F35" s="158"/>
      <c r="G35" s="158"/>
      <c r="H35" s="159"/>
      <c r="I35" s="158"/>
      <c r="J35" s="158"/>
      <c r="K35" s="158"/>
      <c r="L35" s="159"/>
      <c r="M35" s="158"/>
      <c r="N35" s="158"/>
      <c r="O35" s="159"/>
      <c r="P35" s="158"/>
      <c r="Q35" s="158"/>
      <c r="R35" s="158"/>
      <c r="S35" s="158"/>
      <c r="T35" s="159"/>
      <c r="U35" s="158"/>
      <c r="V35" s="158"/>
      <c r="W35" s="158"/>
      <c r="X35" s="159"/>
      <c r="Y35" s="158"/>
      <c r="Z35" s="158"/>
      <c r="AA35" s="159"/>
      <c r="AB35" s="158"/>
      <c r="AC35" s="158"/>
      <c r="AD35" s="159"/>
      <c r="AE35" s="158"/>
      <c r="AF35" s="158"/>
      <c r="AG35" s="158"/>
      <c r="AH35" s="159"/>
      <c r="AI35" s="158"/>
      <c r="AJ35" s="158"/>
      <c r="AK35" s="158"/>
      <c r="AL35" s="159"/>
      <c r="AM35" s="158"/>
      <c r="AN35" s="158"/>
      <c r="AO35" s="158"/>
      <c r="AP35" s="159"/>
      <c r="AQ35" s="158"/>
      <c r="AR35" s="158"/>
      <c r="AS35" s="158"/>
      <c r="AT35" s="158"/>
      <c r="AU35" s="159"/>
      <c r="AV35" s="158"/>
      <c r="AW35" s="158"/>
      <c r="AX35" s="158"/>
      <c r="AY35" s="158"/>
      <c r="AZ35" s="158"/>
      <c r="BA35" s="158"/>
      <c r="BB35" s="158"/>
      <c r="BC35" s="158"/>
      <c r="BD35" s="159"/>
      <c r="BE35" s="158"/>
      <c r="BF35" s="158"/>
      <c r="BG35" s="158"/>
      <c r="BH35" s="158"/>
      <c r="BI35" s="158"/>
      <c r="BJ35" s="158"/>
      <c r="BK35" s="158"/>
      <c r="BL35" s="159"/>
      <c r="BM35" s="158"/>
      <c r="BN35" s="158"/>
      <c r="BO35" s="158"/>
      <c r="BP35" s="158"/>
      <c r="BQ35" s="158"/>
      <c r="BR35" s="158"/>
      <c r="BS35" s="159"/>
      <c r="BT35" s="158"/>
      <c r="BU35" s="158"/>
      <c r="BV35" s="158"/>
      <c r="BW35" s="159"/>
      <c r="BX35" s="158"/>
      <c r="BY35" s="158"/>
      <c r="BZ35" s="159"/>
      <c r="CA35" s="158"/>
      <c r="CB35" s="158"/>
      <c r="CC35" s="159"/>
      <c r="CD35" s="158"/>
      <c r="CE35" s="158"/>
      <c r="CF35" s="158"/>
      <c r="CG35" s="158"/>
      <c r="CH35" s="158"/>
      <c r="CI35" s="158"/>
      <c r="CJ35" s="158"/>
      <c r="CK35" s="158"/>
      <c r="CL35" s="159"/>
      <c r="CM35" s="158"/>
      <c r="CN35" s="158"/>
      <c r="CO35" s="158"/>
      <c r="CP35" s="158"/>
      <c r="CQ35" s="159"/>
      <c r="CR35" s="158"/>
      <c r="CS35" s="158"/>
      <c r="CT35" s="158"/>
      <c r="CU35" s="158"/>
      <c r="CV35" s="158"/>
      <c r="CW35" s="158"/>
      <c r="CX35" s="159"/>
      <c r="CY35" s="158"/>
      <c r="CZ35" s="158"/>
      <c r="DA35" s="158"/>
      <c r="DB35" s="159"/>
      <c r="DC35" s="158"/>
      <c r="DD35" s="158"/>
      <c r="DE35" s="159"/>
      <c r="DF35" s="158"/>
      <c r="DG35" s="158"/>
      <c r="DH35" s="159"/>
      <c r="DI35" s="158"/>
      <c r="DJ35" s="158"/>
      <c r="DK35" s="159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9"/>
      <c r="DX35" s="158"/>
      <c r="DY35" s="158"/>
      <c r="DZ35" s="158"/>
      <c r="EA35" s="159"/>
      <c r="EB35" s="158"/>
      <c r="EC35" s="158"/>
      <c r="ED35" s="158"/>
      <c r="EE35" s="158"/>
      <c r="EF35" s="158"/>
      <c r="EG35" s="158"/>
      <c r="EH35" s="159"/>
      <c r="EI35" s="158"/>
      <c r="EJ35" s="158"/>
      <c r="EK35" s="158"/>
      <c r="EL35" s="159"/>
      <c r="EM35" s="158"/>
      <c r="EN35" s="158"/>
      <c r="EO35" s="159"/>
      <c r="EP35" s="158"/>
      <c r="EQ35" s="158"/>
      <c r="ER35" s="159"/>
      <c r="ES35" s="158"/>
      <c r="ET35" s="158"/>
      <c r="EU35" s="159"/>
      <c r="EV35" s="158"/>
      <c r="EW35" s="158"/>
      <c r="EX35" s="158"/>
      <c r="EY35" s="158"/>
      <c r="EZ35" s="158"/>
      <c r="FA35" s="158"/>
      <c r="FB35" s="158"/>
      <c r="FC35" s="158"/>
      <c r="FD35" s="158"/>
      <c r="FE35" s="158"/>
      <c r="FF35" s="158"/>
      <c r="FG35" s="159"/>
      <c r="FH35" s="158"/>
      <c r="FI35" s="158"/>
      <c r="FJ35" s="158"/>
      <c r="FK35" s="159"/>
      <c r="FL35" s="158"/>
      <c r="FM35" s="158"/>
      <c r="FN35" s="158"/>
      <c r="FO35" s="158"/>
      <c r="FP35" s="158"/>
      <c r="FQ35" s="158"/>
      <c r="FR35" s="159"/>
      <c r="FS35" s="158"/>
      <c r="FT35" s="158"/>
      <c r="FU35" s="158"/>
      <c r="FV35" s="159"/>
      <c r="FW35" s="158"/>
      <c r="FX35" s="158"/>
      <c r="FY35" s="159"/>
      <c r="FZ35" s="158"/>
      <c r="GA35" s="158"/>
      <c r="GB35" s="159"/>
      <c r="GC35" s="158"/>
      <c r="GD35" s="158"/>
      <c r="GE35" s="159"/>
      <c r="GF35" s="158"/>
      <c r="GG35" s="158"/>
      <c r="GH35" s="158"/>
      <c r="GI35" s="158"/>
      <c r="GJ35" s="158"/>
      <c r="GK35" s="160"/>
      <c r="GL35" s="160"/>
      <c r="GM35" s="160"/>
      <c r="GN35" s="161"/>
      <c r="GO35" s="158"/>
      <c r="GP35" s="158"/>
      <c r="GQ35" s="158"/>
      <c r="GR35" s="159"/>
      <c r="GS35" s="158"/>
      <c r="GT35" s="158"/>
      <c r="GU35" s="158"/>
      <c r="GV35" s="158"/>
      <c r="GW35" s="159"/>
      <c r="GX35" s="158"/>
      <c r="GY35" s="158"/>
      <c r="GZ35" s="158"/>
      <c r="HA35" s="158"/>
      <c r="HB35" s="159"/>
      <c r="HC35" s="158"/>
      <c r="HD35" s="158"/>
      <c r="HE35" s="158"/>
      <c r="HF35" s="158"/>
      <c r="HG35" s="159"/>
      <c r="HH35" s="158"/>
      <c r="HI35" s="158"/>
      <c r="HJ35" s="158"/>
      <c r="HK35" s="158"/>
      <c r="HL35" s="159"/>
      <c r="HM35" s="158"/>
      <c r="HN35" s="158"/>
      <c r="HO35" s="158"/>
      <c r="HP35" s="158"/>
      <c r="HQ35" s="159"/>
      <c r="HR35" s="158"/>
      <c r="HS35" s="160"/>
      <c r="HT35" s="160"/>
      <c r="HU35" s="160"/>
      <c r="HV35" s="161"/>
      <c r="HW35" s="158"/>
      <c r="HX35" s="158"/>
      <c r="HY35" s="158"/>
      <c r="HZ35" s="159"/>
      <c r="IA35" s="158"/>
      <c r="IB35" s="158"/>
      <c r="IC35" s="158"/>
      <c r="ID35" s="158"/>
      <c r="IE35" s="159"/>
      <c r="IF35" s="158"/>
      <c r="IG35" s="158"/>
      <c r="IH35" s="158"/>
      <c r="II35" s="158"/>
      <c r="IJ35" s="159"/>
      <c r="IK35" s="158"/>
      <c r="IL35" s="158"/>
      <c r="IM35" s="158"/>
      <c r="IN35" s="158"/>
      <c r="IO35" s="159"/>
      <c r="IP35" s="158"/>
      <c r="IQ35" s="158"/>
      <c r="IR35" s="158"/>
      <c r="IS35" s="158"/>
      <c r="IT35" s="159"/>
      <c r="IU35" s="158"/>
      <c r="IV35" s="158"/>
      <c r="IW35" s="158"/>
      <c r="IX35" s="159"/>
      <c r="IY35" s="158"/>
      <c r="IZ35" s="158"/>
      <c r="JA35" s="158"/>
      <c r="JB35" s="159"/>
      <c r="JC35" s="158"/>
      <c r="JD35" s="158"/>
      <c r="JE35" s="158"/>
      <c r="JF35" s="159"/>
      <c r="JG35" s="158"/>
      <c r="JH35" s="158"/>
      <c r="JI35" s="158"/>
      <c r="JJ35" s="158"/>
      <c r="JK35" s="158"/>
      <c r="JL35" s="158"/>
      <c r="JM35" s="158"/>
      <c r="JN35" s="158"/>
      <c r="JO35" s="158"/>
      <c r="JP35" s="158"/>
      <c r="JQ35" s="158"/>
      <c r="JR35" s="158"/>
      <c r="JS35" s="158"/>
      <c r="JT35" s="158"/>
      <c r="JU35" s="158"/>
      <c r="JV35" s="158"/>
      <c r="JW35" s="158"/>
      <c r="JX35" s="158"/>
      <c r="JY35" s="158"/>
      <c r="JZ35" s="158"/>
      <c r="KA35" s="158"/>
      <c r="KB35" s="158"/>
      <c r="KC35" s="158"/>
      <c r="KD35" s="158"/>
      <c r="KE35" s="158"/>
      <c r="KF35" s="158"/>
      <c r="KG35" s="158"/>
      <c r="KH35" s="158"/>
      <c r="KI35" s="158"/>
      <c r="KJ35" s="158"/>
      <c r="KK35" s="158"/>
      <c r="KL35" s="158"/>
      <c r="KM35" s="158"/>
      <c r="KN35" s="158"/>
      <c r="KO35" s="158"/>
      <c r="KP35" s="158"/>
      <c r="KQ35" s="158"/>
      <c r="KR35" s="158"/>
      <c r="KS35" s="158"/>
      <c r="KT35" s="158"/>
      <c r="KU35" s="158"/>
      <c r="KV35" s="158"/>
      <c r="KW35" s="158"/>
      <c r="KX35" s="158"/>
      <c r="KY35" s="158"/>
      <c r="KZ35" s="159"/>
      <c r="LA35" s="158"/>
      <c r="LB35" s="158"/>
      <c r="LC35" s="158"/>
      <c r="LD35" s="159"/>
      <c r="LE35" s="158"/>
      <c r="LF35" s="158"/>
      <c r="LG35" s="158"/>
      <c r="LH35" s="159"/>
      <c r="LI35" s="158"/>
      <c r="LJ35" s="158"/>
      <c r="LK35" s="158"/>
      <c r="LL35" s="159"/>
      <c r="LM35" s="158"/>
      <c r="LN35" s="158"/>
      <c r="LO35" s="158"/>
      <c r="LP35" s="159"/>
      <c r="LQ35" s="158"/>
      <c r="LR35" s="158"/>
      <c r="LS35" s="158"/>
      <c r="LT35" s="159"/>
      <c r="LU35" s="159"/>
      <c r="LV35" s="159"/>
      <c r="LW35" s="159"/>
      <c r="LX35" s="159"/>
      <c r="LY35" s="158"/>
      <c r="LZ35" s="158"/>
      <c r="MA35" s="158"/>
      <c r="MB35" s="159"/>
      <c r="MC35" s="158"/>
      <c r="MD35" s="159"/>
      <c r="ME35" s="158"/>
      <c r="MF35" s="159"/>
      <c r="MG35" s="158"/>
      <c r="MH35" s="159"/>
      <c r="MI35" s="158"/>
      <c r="MJ35" s="159"/>
      <c r="MK35" s="158"/>
      <c r="ML35" s="159"/>
      <c r="MM35" s="158"/>
      <c r="MN35" s="158"/>
      <c r="MO35" s="158"/>
      <c r="MP35" s="158"/>
      <c r="MQ35" s="158"/>
      <c r="MR35" s="158"/>
      <c r="MS35" s="158"/>
      <c r="MT35" s="158"/>
      <c r="MU35" s="158"/>
      <c r="MV35" s="158"/>
      <c r="MW35" s="159"/>
      <c r="MX35" s="158"/>
      <c r="MY35" s="158"/>
      <c r="MZ35" s="158"/>
      <c r="NA35" s="159"/>
      <c r="NB35" s="158"/>
      <c r="NC35" s="158"/>
      <c r="ND35" s="158"/>
      <c r="NE35" s="159"/>
      <c r="NF35" s="158"/>
      <c r="NG35" s="158"/>
      <c r="NH35" s="158"/>
      <c r="NI35" s="159"/>
      <c r="NJ35" s="158"/>
      <c r="NK35" s="158"/>
      <c r="NL35" s="158"/>
      <c r="NM35" s="159"/>
      <c r="NN35" s="158"/>
      <c r="NO35" s="158"/>
      <c r="NP35" s="158"/>
      <c r="NQ35" s="159"/>
      <c r="NR35" s="158"/>
      <c r="NS35" s="158"/>
      <c r="NT35" s="158"/>
      <c r="NU35" s="159"/>
      <c r="NV35" s="162"/>
      <c r="NW35" s="162"/>
      <c r="NX35" s="162"/>
      <c r="NY35" s="161"/>
      <c r="NZ35" s="162"/>
      <c r="OA35" s="162"/>
      <c r="OB35" s="162"/>
      <c r="OC35" s="161"/>
      <c r="OD35" s="163"/>
      <c r="OE35" s="163"/>
      <c r="OF35" s="163"/>
      <c r="OG35" s="163"/>
      <c r="OH35" s="163"/>
      <c r="OI35" s="163"/>
      <c r="OJ35" s="163"/>
      <c r="OK35" s="163"/>
      <c r="OL35" s="163"/>
      <c r="OM35" s="163"/>
      <c r="ON35" s="163"/>
      <c r="OO35" s="163"/>
      <c r="OP35" s="163"/>
      <c r="OQ35" s="163"/>
      <c r="OR35" s="163"/>
      <c r="OX35" s="163"/>
      <c r="PB35" s="164"/>
      <c r="PF35" s="164"/>
      <c r="PJ35" s="164"/>
      <c r="PN35" s="164"/>
      <c r="PR35" s="164"/>
      <c r="PV35" s="164"/>
      <c r="PZ35" s="164"/>
      <c r="QA35" s="158"/>
      <c r="QB35" s="158"/>
      <c r="QD35" s="163"/>
      <c r="QE35" s="158"/>
      <c r="QF35" s="158"/>
      <c r="QG35" s="158"/>
      <c r="QH35" s="158"/>
      <c r="QI35" s="158"/>
      <c r="QJ35" s="158"/>
      <c r="QK35" s="158"/>
      <c r="QL35" s="159"/>
      <c r="QM35" s="158"/>
      <c r="QN35" s="158"/>
      <c r="QO35" s="158"/>
      <c r="QP35" s="158"/>
      <c r="QQ35" s="158"/>
      <c r="QR35" s="158"/>
      <c r="QS35" s="159"/>
      <c r="QT35" s="158"/>
      <c r="QU35" s="158"/>
      <c r="QV35" s="158"/>
      <c r="QW35" s="158"/>
      <c r="QX35" s="158"/>
      <c r="QY35" s="158"/>
      <c r="QZ35" s="159"/>
      <c r="RA35" s="158"/>
      <c r="RB35" s="158"/>
      <c r="RC35" s="158"/>
      <c r="RD35" s="158"/>
      <c r="RE35" s="158"/>
      <c r="RF35" s="158"/>
      <c r="RG35" s="159"/>
      <c r="RH35" s="158"/>
      <c r="RI35" s="158"/>
      <c r="RJ35" s="158"/>
      <c r="RK35" s="158"/>
      <c r="RL35" s="158"/>
      <c r="RM35" s="158"/>
      <c r="RN35" s="159"/>
      <c r="RO35" s="158"/>
      <c r="RP35" s="158"/>
      <c r="RQ35" s="158"/>
      <c r="RR35" s="158"/>
      <c r="RS35" s="158"/>
      <c r="RT35" s="158"/>
      <c r="RU35" s="159"/>
      <c r="RV35" s="158"/>
      <c r="RW35" s="158"/>
      <c r="RX35" s="158"/>
      <c r="RY35" s="158"/>
      <c r="RZ35" s="158"/>
      <c r="SA35" s="158"/>
      <c r="SB35" s="158"/>
      <c r="SC35" s="159"/>
      <c r="SD35" s="158"/>
      <c r="SE35" s="158"/>
      <c r="SF35" s="158"/>
      <c r="SG35" s="159"/>
      <c r="SH35" s="158"/>
      <c r="SI35" s="158"/>
      <c r="SJ35" s="158"/>
      <c r="SK35" s="158"/>
      <c r="SL35" s="158"/>
      <c r="SM35" s="158"/>
      <c r="SN35" s="159"/>
      <c r="SO35" s="158"/>
      <c r="SP35" s="158"/>
      <c r="SQ35" s="158"/>
      <c r="SR35" s="159"/>
      <c r="SS35" s="158"/>
      <c r="ST35" s="158"/>
      <c r="SU35" s="159"/>
      <c r="SV35" s="158"/>
      <c r="SW35" s="158"/>
      <c r="SX35" s="159"/>
      <c r="SY35" s="158"/>
      <c r="SZ35" s="158"/>
      <c r="TA35" s="159"/>
      <c r="TB35" s="158"/>
      <c r="TC35" s="158"/>
      <c r="TD35" s="158"/>
      <c r="TE35" s="158"/>
      <c r="TF35" s="158"/>
      <c r="TG35" s="158"/>
      <c r="TP35" s="158"/>
      <c r="TQ35" s="158"/>
      <c r="TR35" s="158"/>
      <c r="UC35" s="165"/>
    </row>
    <row r="36" spans="1:549" hidden="1" x14ac:dyDescent="0.25">
      <c r="A36" s="154"/>
      <c r="B36" s="155"/>
      <c r="C36" s="156"/>
      <c r="D36" s="157"/>
      <c r="E36" s="158"/>
      <c r="F36" s="158"/>
      <c r="G36" s="158"/>
      <c r="H36" s="159"/>
      <c r="I36" s="158"/>
      <c r="J36" s="158"/>
      <c r="K36" s="158"/>
      <c r="L36" s="159"/>
      <c r="M36" s="158"/>
      <c r="N36" s="158"/>
      <c r="O36" s="159"/>
      <c r="P36" s="158"/>
      <c r="Q36" s="158"/>
      <c r="R36" s="158"/>
      <c r="S36" s="158"/>
      <c r="T36" s="159"/>
      <c r="U36" s="158"/>
      <c r="V36" s="158"/>
      <c r="W36" s="158"/>
      <c r="X36" s="159"/>
      <c r="Y36" s="158"/>
      <c r="Z36" s="158"/>
      <c r="AA36" s="159"/>
      <c r="AB36" s="158"/>
      <c r="AC36" s="158"/>
      <c r="AD36" s="159"/>
      <c r="AE36" s="158"/>
      <c r="AF36" s="158"/>
      <c r="AG36" s="158"/>
      <c r="AH36" s="159"/>
      <c r="AI36" s="158"/>
      <c r="AJ36" s="158"/>
      <c r="AK36" s="158"/>
      <c r="AL36" s="159"/>
      <c r="AM36" s="158"/>
      <c r="AN36" s="158"/>
      <c r="AO36" s="158"/>
      <c r="AP36" s="159"/>
      <c r="AQ36" s="158"/>
      <c r="AR36" s="158"/>
      <c r="AS36" s="158"/>
      <c r="AT36" s="158"/>
      <c r="AU36" s="159"/>
      <c r="AV36" s="158"/>
      <c r="AW36" s="158"/>
      <c r="AX36" s="158"/>
      <c r="AY36" s="158"/>
      <c r="AZ36" s="158"/>
      <c r="BA36" s="158"/>
      <c r="BB36" s="158"/>
      <c r="BC36" s="158"/>
      <c r="BD36" s="159"/>
      <c r="BE36" s="158"/>
      <c r="BF36" s="158"/>
      <c r="BG36" s="158"/>
      <c r="BH36" s="158"/>
      <c r="BI36" s="158"/>
      <c r="BJ36" s="158"/>
      <c r="BK36" s="158"/>
      <c r="BL36" s="159"/>
      <c r="BM36" s="158"/>
      <c r="BN36" s="158"/>
      <c r="BO36" s="158"/>
      <c r="BP36" s="158"/>
      <c r="BQ36" s="158"/>
      <c r="BR36" s="158"/>
      <c r="BS36" s="159"/>
      <c r="BT36" s="158"/>
      <c r="BU36" s="158"/>
      <c r="BV36" s="158"/>
      <c r="BW36" s="159"/>
      <c r="BX36" s="158"/>
      <c r="BY36" s="158"/>
      <c r="BZ36" s="159"/>
      <c r="CA36" s="158"/>
      <c r="CB36" s="158"/>
      <c r="CC36" s="159"/>
      <c r="CD36" s="158"/>
      <c r="CE36" s="158"/>
      <c r="CF36" s="158"/>
      <c r="CG36" s="158"/>
      <c r="CH36" s="158"/>
      <c r="CI36" s="158"/>
      <c r="CJ36" s="158"/>
      <c r="CK36" s="158"/>
      <c r="CL36" s="159"/>
      <c r="CM36" s="158"/>
      <c r="CN36" s="158"/>
      <c r="CO36" s="158"/>
      <c r="CP36" s="158"/>
      <c r="CQ36" s="159"/>
      <c r="CR36" s="158"/>
      <c r="CS36" s="158"/>
      <c r="CT36" s="158"/>
      <c r="CU36" s="158"/>
      <c r="CV36" s="158"/>
      <c r="CW36" s="158"/>
      <c r="CX36" s="159"/>
      <c r="CY36" s="158"/>
      <c r="CZ36" s="158"/>
      <c r="DA36" s="158"/>
      <c r="DB36" s="159"/>
      <c r="DC36" s="158"/>
      <c r="DD36" s="158"/>
      <c r="DE36" s="159"/>
      <c r="DF36" s="158"/>
      <c r="DG36" s="158"/>
      <c r="DH36" s="159"/>
      <c r="DI36" s="158"/>
      <c r="DJ36" s="158"/>
      <c r="DK36" s="159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9"/>
      <c r="DX36" s="158"/>
      <c r="DY36" s="158"/>
      <c r="DZ36" s="158"/>
      <c r="EA36" s="159"/>
      <c r="EB36" s="158"/>
      <c r="EC36" s="158"/>
      <c r="ED36" s="158"/>
      <c r="EE36" s="158"/>
      <c r="EF36" s="158"/>
      <c r="EG36" s="158"/>
      <c r="EH36" s="159"/>
      <c r="EI36" s="158"/>
      <c r="EJ36" s="158"/>
      <c r="EK36" s="158"/>
      <c r="EL36" s="159"/>
      <c r="EM36" s="158"/>
      <c r="EN36" s="158"/>
      <c r="EO36" s="159"/>
      <c r="EP36" s="158"/>
      <c r="EQ36" s="158"/>
      <c r="ER36" s="159"/>
      <c r="ES36" s="158"/>
      <c r="ET36" s="158"/>
      <c r="EU36" s="159"/>
      <c r="EV36" s="158"/>
      <c r="EW36" s="158"/>
      <c r="EX36" s="158"/>
      <c r="EY36" s="158"/>
      <c r="EZ36" s="158"/>
      <c r="FA36" s="158"/>
      <c r="FB36" s="158"/>
      <c r="FC36" s="158"/>
      <c r="FD36" s="158"/>
      <c r="FE36" s="158"/>
      <c r="FF36" s="158"/>
      <c r="FG36" s="159"/>
      <c r="FH36" s="158"/>
      <c r="FI36" s="158"/>
      <c r="FJ36" s="158"/>
      <c r="FK36" s="159"/>
      <c r="FL36" s="158"/>
      <c r="FM36" s="158"/>
      <c r="FN36" s="158"/>
      <c r="FO36" s="158"/>
      <c r="FP36" s="158"/>
      <c r="FQ36" s="158"/>
      <c r="FR36" s="159"/>
      <c r="FS36" s="158"/>
      <c r="FT36" s="158"/>
      <c r="FU36" s="158"/>
      <c r="FV36" s="159"/>
      <c r="FW36" s="158"/>
      <c r="FX36" s="158"/>
      <c r="FY36" s="159"/>
      <c r="FZ36" s="158"/>
      <c r="GA36" s="158"/>
      <c r="GB36" s="159"/>
      <c r="GC36" s="158"/>
      <c r="GD36" s="158"/>
      <c r="GE36" s="159"/>
      <c r="GF36" s="158"/>
      <c r="GG36" s="158"/>
      <c r="GH36" s="158"/>
      <c r="GI36" s="158"/>
      <c r="GJ36" s="158"/>
      <c r="GK36" s="160"/>
      <c r="GL36" s="160"/>
      <c r="GM36" s="160"/>
      <c r="GN36" s="161"/>
      <c r="GO36" s="158"/>
      <c r="GP36" s="158"/>
      <c r="GQ36" s="158"/>
      <c r="GR36" s="159"/>
      <c r="GS36" s="158"/>
      <c r="GT36" s="158"/>
      <c r="GU36" s="158"/>
      <c r="GV36" s="158"/>
      <c r="GW36" s="159"/>
      <c r="GX36" s="158"/>
      <c r="GY36" s="158"/>
      <c r="GZ36" s="158"/>
      <c r="HA36" s="158"/>
      <c r="HB36" s="159"/>
      <c r="HC36" s="158"/>
      <c r="HD36" s="158"/>
      <c r="HE36" s="158"/>
      <c r="HF36" s="158"/>
      <c r="HG36" s="159"/>
      <c r="HH36" s="158"/>
      <c r="HI36" s="158"/>
      <c r="HJ36" s="158"/>
      <c r="HK36" s="158"/>
      <c r="HL36" s="159"/>
      <c r="HM36" s="158"/>
      <c r="HN36" s="158"/>
      <c r="HO36" s="158"/>
      <c r="HP36" s="158"/>
      <c r="HQ36" s="159"/>
      <c r="HR36" s="158"/>
      <c r="HS36" s="160"/>
      <c r="HT36" s="160"/>
      <c r="HU36" s="160"/>
      <c r="HV36" s="161"/>
      <c r="HW36" s="158"/>
      <c r="HX36" s="158"/>
      <c r="HY36" s="158"/>
      <c r="HZ36" s="159"/>
      <c r="IA36" s="158"/>
      <c r="IB36" s="158"/>
      <c r="IC36" s="158"/>
      <c r="ID36" s="158"/>
      <c r="IE36" s="159"/>
      <c r="IF36" s="158"/>
      <c r="IG36" s="158"/>
      <c r="IH36" s="158"/>
      <c r="II36" s="158"/>
      <c r="IJ36" s="159"/>
      <c r="IK36" s="158"/>
      <c r="IL36" s="158"/>
      <c r="IM36" s="158"/>
      <c r="IN36" s="158"/>
      <c r="IO36" s="159"/>
      <c r="IP36" s="158"/>
      <c r="IQ36" s="158"/>
      <c r="IR36" s="158"/>
      <c r="IS36" s="158"/>
      <c r="IT36" s="159"/>
      <c r="IU36" s="158"/>
      <c r="IV36" s="158"/>
      <c r="IW36" s="158"/>
      <c r="IX36" s="159"/>
      <c r="IY36" s="158"/>
      <c r="IZ36" s="158"/>
      <c r="JA36" s="158"/>
      <c r="JB36" s="159"/>
      <c r="JC36" s="158"/>
      <c r="JD36" s="158"/>
      <c r="JE36" s="158"/>
      <c r="JF36" s="159"/>
      <c r="JG36" s="158"/>
      <c r="JH36" s="158"/>
      <c r="JI36" s="158"/>
      <c r="JJ36" s="158"/>
      <c r="JK36" s="158"/>
      <c r="JL36" s="158"/>
      <c r="JM36" s="158"/>
      <c r="JN36" s="158"/>
      <c r="JO36" s="158"/>
      <c r="JP36" s="158"/>
      <c r="JQ36" s="158"/>
      <c r="JR36" s="158"/>
      <c r="JS36" s="158"/>
      <c r="JT36" s="158"/>
      <c r="JU36" s="158"/>
      <c r="JV36" s="158"/>
      <c r="JW36" s="158"/>
      <c r="JX36" s="158"/>
      <c r="JY36" s="158"/>
      <c r="JZ36" s="158"/>
      <c r="KA36" s="158"/>
      <c r="KB36" s="158"/>
      <c r="KC36" s="158"/>
      <c r="KD36" s="158"/>
      <c r="KE36" s="158"/>
      <c r="KF36" s="158"/>
      <c r="KG36" s="158"/>
      <c r="KH36" s="158"/>
      <c r="KI36" s="158"/>
      <c r="KJ36" s="158"/>
      <c r="KK36" s="158"/>
      <c r="KL36" s="158"/>
      <c r="KM36" s="158"/>
      <c r="KN36" s="158"/>
      <c r="KO36" s="158"/>
      <c r="KP36" s="158"/>
      <c r="KQ36" s="158"/>
      <c r="KR36" s="158"/>
      <c r="KS36" s="158"/>
      <c r="KT36" s="158"/>
      <c r="KU36" s="158"/>
      <c r="KV36" s="158"/>
      <c r="KW36" s="158"/>
      <c r="KX36" s="158"/>
      <c r="KY36" s="158"/>
      <c r="KZ36" s="159"/>
      <c r="LA36" s="158"/>
      <c r="LB36" s="158"/>
      <c r="LC36" s="158"/>
      <c r="LD36" s="159"/>
      <c r="LE36" s="158"/>
      <c r="LF36" s="158"/>
      <c r="LG36" s="158"/>
      <c r="LH36" s="159"/>
      <c r="LI36" s="158"/>
      <c r="LJ36" s="158"/>
      <c r="LK36" s="158"/>
      <c r="LL36" s="159"/>
      <c r="LM36" s="158"/>
      <c r="LN36" s="158"/>
      <c r="LO36" s="158"/>
      <c r="LP36" s="159"/>
      <c r="LQ36" s="158"/>
      <c r="LR36" s="158"/>
      <c r="LS36" s="158"/>
      <c r="LT36" s="159"/>
      <c r="LU36" s="159"/>
      <c r="LV36" s="159"/>
      <c r="LW36" s="159"/>
      <c r="LX36" s="159"/>
      <c r="LY36" s="158"/>
      <c r="LZ36" s="158"/>
      <c r="MA36" s="158"/>
      <c r="MB36" s="159"/>
      <c r="MC36" s="158"/>
      <c r="MD36" s="159"/>
      <c r="ME36" s="158"/>
      <c r="MF36" s="159"/>
      <c r="MG36" s="158"/>
      <c r="MH36" s="159"/>
      <c r="MI36" s="158"/>
      <c r="MJ36" s="159"/>
      <c r="MK36" s="158"/>
      <c r="ML36" s="159"/>
      <c r="MM36" s="158"/>
      <c r="MN36" s="158"/>
      <c r="MO36" s="158"/>
      <c r="MP36" s="158"/>
      <c r="MQ36" s="158"/>
      <c r="MR36" s="158"/>
      <c r="MS36" s="158"/>
      <c r="MT36" s="158"/>
      <c r="MU36" s="158"/>
      <c r="MV36" s="158"/>
      <c r="MW36" s="159"/>
      <c r="MX36" s="158"/>
      <c r="MY36" s="158"/>
      <c r="MZ36" s="158"/>
      <c r="NA36" s="159"/>
      <c r="NB36" s="158"/>
      <c r="NC36" s="158"/>
      <c r="ND36" s="158"/>
      <c r="NE36" s="159"/>
      <c r="NF36" s="158"/>
      <c r="NG36" s="158"/>
      <c r="NH36" s="158"/>
      <c r="NI36" s="159"/>
      <c r="NJ36" s="158"/>
      <c r="NK36" s="158"/>
      <c r="NL36" s="158"/>
      <c r="NM36" s="159"/>
      <c r="NN36" s="158"/>
      <c r="NO36" s="158"/>
      <c r="NP36" s="158"/>
      <c r="NQ36" s="159"/>
      <c r="NR36" s="158"/>
      <c r="NS36" s="158"/>
      <c r="NT36" s="158"/>
      <c r="NU36" s="159"/>
      <c r="NV36" s="162"/>
      <c r="NW36" s="162"/>
      <c r="NX36" s="162"/>
      <c r="NY36" s="161"/>
      <c r="NZ36" s="162"/>
      <c r="OA36" s="162"/>
      <c r="OB36" s="162"/>
      <c r="OC36" s="161"/>
      <c r="OD36" s="163"/>
      <c r="OE36" s="163"/>
      <c r="OF36" s="163"/>
      <c r="OG36" s="163"/>
      <c r="OH36" s="163"/>
      <c r="OI36" s="163"/>
      <c r="OJ36" s="163"/>
      <c r="OK36" s="163"/>
      <c r="OL36" s="163"/>
      <c r="OM36" s="163"/>
      <c r="ON36" s="163"/>
      <c r="OO36" s="163"/>
      <c r="OP36" s="163"/>
      <c r="OQ36" s="163"/>
      <c r="OR36" s="163"/>
      <c r="OX36" s="163"/>
      <c r="PB36" s="164"/>
      <c r="PF36" s="164"/>
      <c r="PJ36" s="164"/>
      <c r="PN36" s="164"/>
      <c r="PR36" s="164"/>
      <c r="PV36" s="164"/>
      <c r="PZ36" s="164"/>
      <c r="QA36" s="158"/>
      <c r="QB36" s="158"/>
      <c r="QD36" s="163"/>
      <c r="QE36" s="158"/>
      <c r="QF36" s="158"/>
      <c r="QG36" s="158"/>
      <c r="QH36" s="158"/>
      <c r="QI36" s="158"/>
      <c r="QJ36" s="158"/>
      <c r="QK36" s="158"/>
      <c r="QL36" s="159"/>
      <c r="QM36" s="158"/>
      <c r="QN36" s="158"/>
      <c r="QO36" s="158"/>
      <c r="QP36" s="158"/>
      <c r="QQ36" s="158"/>
      <c r="QR36" s="158"/>
      <c r="QS36" s="159"/>
      <c r="QT36" s="158"/>
      <c r="QU36" s="158"/>
      <c r="QV36" s="158"/>
      <c r="QW36" s="158"/>
      <c r="QX36" s="158"/>
      <c r="QY36" s="158"/>
      <c r="QZ36" s="159"/>
      <c r="RA36" s="158"/>
      <c r="RB36" s="158"/>
      <c r="RC36" s="158"/>
      <c r="RD36" s="158"/>
      <c r="RE36" s="158"/>
      <c r="RF36" s="158"/>
      <c r="RG36" s="159"/>
      <c r="RH36" s="158"/>
      <c r="RI36" s="158"/>
      <c r="RJ36" s="158"/>
      <c r="RK36" s="158"/>
      <c r="RL36" s="158"/>
      <c r="RM36" s="158"/>
      <c r="RN36" s="159"/>
      <c r="RO36" s="158"/>
      <c r="RP36" s="158"/>
      <c r="RQ36" s="158"/>
      <c r="RR36" s="158"/>
      <c r="RS36" s="158"/>
      <c r="RT36" s="158"/>
      <c r="RU36" s="159"/>
      <c r="RV36" s="158"/>
      <c r="RW36" s="158"/>
      <c r="RX36" s="158"/>
      <c r="RY36" s="158"/>
      <c r="RZ36" s="158"/>
      <c r="SA36" s="158"/>
      <c r="SB36" s="158"/>
      <c r="SC36" s="159"/>
      <c r="SD36" s="158"/>
      <c r="SE36" s="158"/>
      <c r="SF36" s="158"/>
      <c r="SG36" s="159"/>
      <c r="SH36" s="158"/>
      <c r="SI36" s="158"/>
      <c r="SJ36" s="158"/>
      <c r="SK36" s="158"/>
      <c r="SL36" s="158"/>
      <c r="SM36" s="158"/>
      <c r="SN36" s="159"/>
      <c r="SO36" s="158"/>
      <c r="SP36" s="158"/>
      <c r="SQ36" s="158"/>
      <c r="SR36" s="159"/>
      <c r="SS36" s="158"/>
      <c r="ST36" s="158"/>
      <c r="SU36" s="159"/>
      <c r="SV36" s="158"/>
      <c r="SW36" s="158"/>
      <c r="SX36" s="159"/>
      <c r="SY36" s="158"/>
      <c r="SZ36" s="158"/>
      <c r="TA36" s="159"/>
      <c r="TB36" s="158"/>
      <c r="TC36" s="158"/>
      <c r="TD36" s="158"/>
      <c r="TE36" s="158"/>
      <c r="TF36" s="158"/>
      <c r="TG36" s="158"/>
      <c r="TP36" s="158"/>
      <c r="TQ36" s="158"/>
      <c r="TR36" s="158"/>
      <c r="UC36" s="165"/>
    </row>
    <row r="37" spans="1:549" hidden="1" x14ac:dyDescent="0.25">
      <c r="A37" s="154"/>
      <c r="B37" s="155"/>
      <c r="C37" s="156"/>
      <c r="D37" s="157"/>
      <c r="E37" s="158"/>
      <c r="F37" s="158"/>
      <c r="G37" s="158"/>
      <c r="H37" s="159"/>
      <c r="I37" s="158"/>
      <c r="J37" s="158"/>
      <c r="K37" s="158"/>
      <c r="L37" s="159"/>
      <c r="M37" s="158"/>
      <c r="N37" s="158"/>
      <c r="O37" s="159"/>
      <c r="P37" s="158"/>
      <c r="Q37" s="158"/>
      <c r="R37" s="158"/>
      <c r="S37" s="158"/>
      <c r="T37" s="159"/>
      <c r="U37" s="158"/>
      <c r="V37" s="158"/>
      <c r="W37" s="158"/>
      <c r="X37" s="159"/>
      <c r="Y37" s="158"/>
      <c r="Z37" s="158"/>
      <c r="AA37" s="159"/>
      <c r="AB37" s="158"/>
      <c r="AC37" s="158"/>
      <c r="AD37" s="159"/>
      <c r="AE37" s="158"/>
      <c r="AF37" s="158"/>
      <c r="AG37" s="158"/>
      <c r="AH37" s="159"/>
      <c r="AI37" s="158"/>
      <c r="AJ37" s="158"/>
      <c r="AK37" s="158"/>
      <c r="AL37" s="159"/>
      <c r="AM37" s="158"/>
      <c r="AN37" s="158"/>
      <c r="AO37" s="158"/>
      <c r="AP37" s="159"/>
      <c r="AQ37" s="158"/>
      <c r="AR37" s="158"/>
      <c r="AS37" s="158"/>
      <c r="AT37" s="158"/>
      <c r="AU37" s="159"/>
      <c r="AV37" s="158"/>
      <c r="AW37" s="158"/>
      <c r="AX37" s="158"/>
      <c r="AY37" s="158"/>
      <c r="AZ37" s="158"/>
      <c r="BA37" s="158"/>
      <c r="BB37" s="158"/>
      <c r="BC37" s="158"/>
      <c r="BD37" s="159"/>
      <c r="BE37" s="158"/>
      <c r="BF37" s="158"/>
      <c r="BG37" s="158"/>
      <c r="BH37" s="158"/>
      <c r="BI37" s="158"/>
      <c r="BJ37" s="158"/>
      <c r="BK37" s="158"/>
      <c r="BL37" s="159"/>
      <c r="BM37" s="158"/>
      <c r="BN37" s="158"/>
      <c r="BO37" s="158"/>
      <c r="BP37" s="158"/>
      <c r="BQ37" s="158"/>
      <c r="BR37" s="158"/>
      <c r="BS37" s="159"/>
      <c r="BT37" s="158"/>
      <c r="BU37" s="158"/>
      <c r="BV37" s="158"/>
      <c r="BW37" s="159"/>
      <c r="BX37" s="158"/>
      <c r="BY37" s="158"/>
      <c r="BZ37" s="159"/>
      <c r="CA37" s="158"/>
      <c r="CB37" s="158"/>
      <c r="CC37" s="159"/>
      <c r="CD37" s="158"/>
      <c r="CE37" s="158"/>
      <c r="CF37" s="158"/>
      <c r="CG37" s="158"/>
      <c r="CH37" s="158"/>
      <c r="CI37" s="158"/>
      <c r="CJ37" s="158"/>
      <c r="CK37" s="158"/>
      <c r="CL37" s="159"/>
      <c r="CM37" s="158"/>
      <c r="CN37" s="158"/>
      <c r="CO37" s="158"/>
      <c r="CP37" s="158"/>
      <c r="CQ37" s="159"/>
      <c r="CR37" s="158"/>
      <c r="CS37" s="158"/>
      <c r="CT37" s="158"/>
      <c r="CU37" s="158"/>
      <c r="CV37" s="158"/>
      <c r="CW37" s="158"/>
      <c r="CX37" s="159"/>
      <c r="CY37" s="158"/>
      <c r="CZ37" s="158"/>
      <c r="DA37" s="158"/>
      <c r="DB37" s="159"/>
      <c r="DC37" s="158"/>
      <c r="DD37" s="158"/>
      <c r="DE37" s="159"/>
      <c r="DF37" s="158"/>
      <c r="DG37" s="158"/>
      <c r="DH37" s="159"/>
      <c r="DI37" s="158"/>
      <c r="DJ37" s="158"/>
      <c r="DK37" s="159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9"/>
      <c r="DX37" s="158"/>
      <c r="DY37" s="158"/>
      <c r="DZ37" s="158"/>
      <c r="EA37" s="159"/>
      <c r="EB37" s="158"/>
      <c r="EC37" s="158"/>
      <c r="ED37" s="158"/>
      <c r="EE37" s="158"/>
      <c r="EF37" s="158"/>
      <c r="EG37" s="158"/>
      <c r="EH37" s="159"/>
      <c r="EI37" s="158"/>
      <c r="EJ37" s="158"/>
      <c r="EK37" s="158"/>
      <c r="EL37" s="159"/>
      <c r="EM37" s="158"/>
      <c r="EN37" s="158"/>
      <c r="EO37" s="159"/>
      <c r="EP37" s="158"/>
      <c r="EQ37" s="158"/>
      <c r="ER37" s="159"/>
      <c r="ES37" s="158"/>
      <c r="ET37" s="158"/>
      <c r="EU37" s="159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9"/>
      <c r="FH37" s="158"/>
      <c r="FI37" s="158"/>
      <c r="FJ37" s="158"/>
      <c r="FK37" s="159"/>
      <c r="FL37" s="158"/>
      <c r="FM37" s="158"/>
      <c r="FN37" s="158"/>
      <c r="FO37" s="158"/>
      <c r="FP37" s="158"/>
      <c r="FQ37" s="158"/>
      <c r="FR37" s="159"/>
      <c r="FS37" s="158"/>
      <c r="FT37" s="158"/>
      <c r="FU37" s="158"/>
      <c r="FV37" s="159"/>
      <c r="FW37" s="158"/>
      <c r="FX37" s="158"/>
      <c r="FY37" s="159"/>
      <c r="FZ37" s="158"/>
      <c r="GA37" s="158"/>
      <c r="GB37" s="159"/>
      <c r="GC37" s="158"/>
      <c r="GD37" s="158"/>
      <c r="GE37" s="159"/>
      <c r="GF37" s="158"/>
      <c r="GG37" s="158"/>
      <c r="GH37" s="158"/>
      <c r="GI37" s="158"/>
      <c r="GJ37" s="158"/>
      <c r="GK37" s="160"/>
      <c r="GL37" s="160"/>
      <c r="GM37" s="160"/>
      <c r="GN37" s="161"/>
      <c r="GO37" s="158"/>
      <c r="GP37" s="158"/>
      <c r="GQ37" s="158"/>
      <c r="GR37" s="159"/>
      <c r="GS37" s="158"/>
      <c r="GT37" s="158"/>
      <c r="GU37" s="158"/>
      <c r="GV37" s="158"/>
      <c r="GW37" s="159"/>
      <c r="GX37" s="158"/>
      <c r="GY37" s="158"/>
      <c r="GZ37" s="158"/>
      <c r="HA37" s="158"/>
      <c r="HB37" s="159"/>
      <c r="HC37" s="158"/>
      <c r="HD37" s="158"/>
      <c r="HE37" s="158"/>
      <c r="HF37" s="158"/>
      <c r="HG37" s="159"/>
      <c r="HH37" s="158"/>
      <c r="HI37" s="158"/>
      <c r="HJ37" s="158"/>
      <c r="HK37" s="158"/>
      <c r="HL37" s="159"/>
      <c r="HM37" s="158"/>
      <c r="HN37" s="158"/>
      <c r="HO37" s="158"/>
      <c r="HP37" s="158"/>
      <c r="HQ37" s="159"/>
      <c r="HR37" s="158"/>
      <c r="HS37" s="160"/>
      <c r="HT37" s="160"/>
      <c r="HU37" s="160"/>
      <c r="HV37" s="161"/>
      <c r="HW37" s="158"/>
      <c r="HX37" s="158"/>
      <c r="HY37" s="158"/>
      <c r="HZ37" s="159"/>
      <c r="IA37" s="158"/>
      <c r="IB37" s="158"/>
      <c r="IC37" s="158"/>
      <c r="ID37" s="158"/>
      <c r="IE37" s="159"/>
      <c r="IF37" s="158"/>
      <c r="IG37" s="158"/>
      <c r="IH37" s="158"/>
      <c r="II37" s="158"/>
      <c r="IJ37" s="159"/>
      <c r="IK37" s="158"/>
      <c r="IL37" s="158"/>
      <c r="IM37" s="158"/>
      <c r="IN37" s="158"/>
      <c r="IO37" s="159"/>
      <c r="IP37" s="158"/>
      <c r="IQ37" s="158"/>
      <c r="IR37" s="158"/>
      <c r="IS37" s="158"/>
      <c r="IT37" s="159"/>
      <c r="IU37" s="158"/>
      <c r="IV37" s="158"/>
      <c r="IW37" s="158"/>
      <c r="IX37" s="159"/>
      <c r="IY37" s="158"/>
      <c r="IZ37" s="158"/>
      <c r="JA37" s="158"/>
      <c r="JB37" s="159"/>
      <c r="JC37" s="158"/>
      <c r="JD37" s="158"/>
      <c r="JE37" s="158"/>
      <c r="JF37" s="159"/>
      <c r="JG37" s="158"/>
      <c r="JH37" s="158"/>
      <c r="JI37" s="158"/>
      <c r="JJ37" s="158"/>
      <c r="JK37" s="158"/>
      <c r="JL37" s="158"/>
      <c r="JM37" s="158"/>
      <c r="JN37" s="158"/>
      <c r="JO37" s="158"/>
      <c r="JP37" s="158"/>
      <c r="JQ37" s="158"/>
      <c r="JR37" s="158"/>
      <c r="JS37" s="158"/>
      <c r="JT37" s="158"/>
      <c r="JU37" s="158"/>
      <c r="JV37" s="158"/>
      <c r="JW37" s="158"/>
      <c r="JX37" s="158"/>
      <c r="JY37" s="158"/>
      <c r="JZ37" s="158"/>
      <c r="KA37" s="158"/>
      <c r="KB37" s="158"/>
      <c r="KC37" s="158"/>
      <c r="KD37" s="158"/>
      <c r="KE37" s="158"/>
      <c r="KF37" s="158"/>
      <c r="KG37" s="158"/>
      <c r="KH37" s="158"/>
      <c r="KI37" s="158"/>
      <c r="KJ37" s="158"/>
      <c r="KK37" s="158"/>
      <c r="KL37" s="158"/>
      <c r="KM37" s="158"/>
      <c r="KN37" s="158"/>
      <c r="KO37" s="158"/>
      <c r="KP37" s="158"/>
      <c r="KQ37" s="158"/>
      <c r="KR37" s="158"/>
      <c r="KS37" s="158"/>
      <c r="KT37" s="158"/>
      <c r="KU37" s="158"/>
      <c r="KV37" s="158"/>
      <c r="KW37" s="158"/>
      <c r="KX37" s="158"/>
      <c r="KY37" s="158"/>
      <c r="KZ37" s="159"/>
      <c r="LA37" s="158"/>
      <c r="LB37" s="158"/>
      <c r="LC37" s="158"/>
      <c r="LD37" s="159"/>
      <c r="LE37" s="158"/>
      <c r="LF37" s="158"/>
      <c r="LG37" s="158"/>
      <c r="LH37" s="159"/>
      <c r="LI37" s="158"/>
      <c r="LJ37" s="158"/>
      <c r="LK37" s="158"/>
      <c r="LL37" s="159"/>
      <c r="LM37" s="158"/>
      <c r="LN37" s="158"/>
      <c r="LO37" s="158"/>
      <c r="LP37" s="159"/>
      <c r="LQ37" s="158"/>
      <c r="LR37" s="158"/>
      <c r="LS37" s="158"/>
      <c r="LT37" s="159"/>
      <c r="LU37" s="159"/>
      <c r="LV37" s="159"/>
      <c r="LW37" s="159"/>
      <c r="LX37" s="159"/>
      <c r="LY37" s="158"/>
      <c r="LZ37" s="158"/>
      <c r="MA37" s="158"/>
      <c r="MB37" s="159"/>
      <c r="MC37" s="158"/>
      <c r="MD37" s="159"/>
      <c r="ME37" s="158"/>
      <c r="MF37" s="159"/>
      <c r="MG37" s="158"/>
      <c r="MH37" s="159"/>
      <c r="MI37" s="158"/>
      <c r="MJ37" s="159"/>
      <c r="MK37" s="158"/>
      <c r="ML37" s="159"/>
      <c r="MM37" s="158"/>
      <c r="MN37" s="158"/>
      <c r="MO37" s="158"/>
      <c r="MP37" s="158"/>
      <c r="MQ37" s="158"/>
      <c r="MR37" s="158"/>
      <c r="MS37" s="158"/>
      <c r="MT37" s="158"/>
      <c r="MU37" s="158"/>
      <c r="MV37" s="158"/>
      <c r="MW37" s="159"/>
      <c r="MX37" s="158"/>
      <c r="MY37" s="158"/>
      <c r="MZ37" s="158"/>
      <c r="NA37" s="159"/>
      <c r="NB37" s="158"/>
      <c r="NC37" s="158"/>
      <c r="ND37" s="158"/>
      <c r="NE37" s="159"/>
      <c r="NF37" s="158"/>
      <c r="NG37" s="158"/>
      <c r="NH37" s="158"/>
      <c r="NI37" s="159"/>
      <c r="NJ37" s="158"/>
      <c r="NK37" s="158"/>
      <c r="NL37" s="158"/>
      <c r="NM37" s="159"/>
      <c r="NN37" s="158"/>
      <c r="NO37" s="158"/>
      <c r="NP37" s="158"/>
      <c r="NQ37" s="159"/>
      <c r="NR37" s="158"/>
      <c r="NS37" s="158"/>
      <c r="NT37" s="158"/>
      <c r="NU37" s="159"/>
      <c r="NV37" s="162"/>
      <c r="NW37" s="162"/>
      <c r="NX37" s="162"/>
      <c r="NY37" s="161"/>
      <c r="NZ37" s="162"/>
      <c r="OA37" s="162"/>
      <c r="OB37" s="162"/>
      <c r="OC37" s="161"/>
      <c r="OD37" s="163"/>
      <c r="OE37" s="163"/>
      <c r="OF37" s="163"/>
      <c r="OG37" s="163"/>
      <c r="OH37" s="163"/>
      <c r="OI37" s="163"/>
      <c r="OJ37" s="163"/>
      <c r="OK37" s="163"/>
      <c r="OL37" s="163"/>
      <c r="OM37" s="163"/>
      <c r="ON37" s="163"/>
      <c r="OO37" s="163"/>
      <c r="OP37" s="163"/>
      <c r="OQ37" s="163"/>
      <c r="OR37" s="163"/>
      <c r="OX37" s="163"/>
      <c r="PB37" s="164"/>
      <c r="PF37" s="164"/>
      <c r="PJ37" s="164"/>
      <c r="PN37" s="164"/>
      <c r="PR37" s="164"/>
      <c r="PV37" s="164"/>
      <c r="PZ37" s="164"/>
      <c r="QA37" s="158"/>
      <c r="QB37" s="158"/>
      <c r="QD37" s="163"/>
      <c r="QE37" s="158"/>
      <c r="QF37" s="158"/>
      <c r="QG37" s="158"/>
      <c r="QH37" s="158"/>
      <c r="QI37" s="158"/>
      <c r="QJ37" s="158"/>
      <c r="QK37" s="158"/>
      <c r="QL37" s="159"/>
      <c r="QM37" s="158"/>
      <c r="QN37" s="158"/>
      <c r="QO37" s="158"/>
      <c r="QP37" s="158"/>
      <c r="QQ37" s="158"/>
      <c r="QR37" s="158"/>
      <c r="QS37" s="159"/>
      <c r="QT37" s="158"/>
      <c r="QU37" s="158"/>
      <c r="QV37" s="158"/>
      <c r="QW37" s="158"/>
      <c r="QX37" s="158"/>
      <c r="QY37" s="158"/>
      <c r="QZ37" s="159"/>
      <c r="RA37" s="158"/>
      <c r="RB37" s="158"/>
      <c r="RC37" s="158"/>
      <c r="RD37" s="158"/>
      <c r="RE37" s="158"/>
      <c r="RF37" s="158"/>
      <c r="RG37" s="159"/>
      <c r="RH37" s="158"/>
      <c r="RI37" s="158"/>
      <c r="RJ37" s="158"/>
      <c r="RK37" s="158"/>
      <c r="RL37" s="158"/>
      <c r="RM37" s="158"/>
      <c r="RN37" s="159"/>
      <c r="RO37" s="158"/>
      <c r="RP37" s="158"/>
      <c r="RQ37" s="158"/>
      <c r="RR37" s="158"/>
      <c r="RS37" s="158"/>
      <c r="RT37" s="158"/>
      <c r="RU37" s="159"/>
      <c r="RV37" s="158"/>
      <c r="RW37" s="158"/>
      <c r="RX37" s="158"/>
      <c r="RY37" s="158"/>
      <c r="RZ37" s="158"/>
      <c r="SA37" s="158"/>
      <c r="SB37" s="158"/>
      <c r="SC37" s="159"/>
      <c r="SD37" s="158"/>
      <c r="SE37" s="158"/>
      <c r="SF37" s="158"/>
      <c r="SG37" s="159"/>
      <c r="SH37" s="158"/>
      <c r="SI37" s="158"/>
      <c r="SJ37" s="158"/>
      <c r="SK37" s="158"/>
      <c r="SL37" s="158"/>
      <c r="SM37" s="158"/>
      <c r="SN37" s="159"/>
      <c r="SO37" s="158"/>
      <c r="SP37" s="158"/>
      <c r="SQ37" s="158"/>
      <c r="SR37" s="159"/>
      <c r="SS37" s="158"/>
      <c r="ST37" s="158"/>
      <c r="SU37" s="159"/>
      <c r="SV37" s="158"/>
      <c r="SW37" s="158"/>
      <c r="SX37" s="159"/>
      <c r="SY37" s="158"/>
      <c r="SZ37" s="158"/>
      <c r="TA37" s="159"/>
      <c r="TB37" s="158"/>
      <c r="TC37" s="158"/>
      <c r="TD37" s="158"/>
      <c r="TE37" s="158"/>
      <c r="TF37" s="158"/>
      <c r="TG37" s="158"/>
      <c r="TP37" s="158"/>
      <c r="TQ37" s="158"/>
      <c r="TR37" s="158"/>
      <c r="UC37" s="165"/>
    </row>
    <row r="38" spans="1:549" hidden="1" x14ac:dyDescent="0.25">
      <c r="A38" s="154"/>
      <c r="B38" s="155"/>
      <c r="C38" s="156"/>
      <c r="D38" s="157"/>
      <c r="E38" s="158"/>
      <c r="F38" s="158"/>
      <c r="G38" s="158"/>
      <c r="H38" s="159"/>
      <c r="I38" s="158"/>
      <c r="J38" s="158"/>
      <c r="K38" s="158"/>
      <c r="L38" s="159"/>
      <c r="M38" s="158"/>
      <c r="N38" s="158"/>
      <c r="O38" s="159"/>
      <c r="P38" s="158"/>
      <c r="Q38" s="158"/>
      <c r="R38" s="158"/>
      <c r="S38" s="158"/>
      <c r="T38" s="159"/>
      <c r="U38" s="158"/>
      <c r="V38" s="158"/>
      <c r="W38" s="158"/>
      <c r="X38" s="159"/>
      <c r="Y38" s="158"/>
      <c r="Z38" s="158"/>
      <c r="AA38" s="159"/>
      <c r="AB38" s="158"/>
      <c r="AC38" s="158"/>
      <c r="AD38" s="159"/>
      <c r="AE38" s="158"/>
      <c r="AF38" s="158"/>
      <c r="AG38" s="158"/>
      <c r="AH38" s="159"/>
      <c r="AI38" s="158"/>
      <c r="AJ38" s="158"/>
      <c r="AK38" s="158"/>
      <c r="AL38" s="159"/>
      <c r="AM38" s="158"/>
      <c r="AN38" s="158"/>
      <c r="AO38" s="158"/>
      <c r="AP38" s="159"/>
      <c r="AQ38" s="158"/>
      <c r="AR38" s="158"/>
      <c r="AS38" s="158"/>
      <c r="AT38" s="158"/>
      <c r="AU38" s="159"/>
      <c r="AV38" s="158"/>
      <c r="AW38" s="158"/>
      <c r="AX38" s="158"/>
      <c r="AY38" s="158"/>
      <c r="AZ38" s="158"/>
      <c r="BA38" s="158"/>
      <c r="BB38" s="158"/>
      <c r="BC38" s="158"/>
      <c r="BD38" s="159"/>
      <c r="BE38" s="158"/>
      <c r="BF38" s="158"/>
      <c r="BG38" s="158"/>
      <c r="BH38" s="158"/>
      <c r="BI38" s="158"/>
      <c r="BJ38" s="158"/>
      <c r="BK38" s="158"/>
      <c r="BL38" s="159"/>
      <c r="BM38" s="158"/>
      <c r="BN38" s="158"/>
      <c r="BO38" s="158"/>
      <c r="BP38" s="158"/>
      <c r="BQ38" s="158"/>
      <c r="BR38" s="158"/>
      <c r="BS38" s="159"/>
      <c r="BT38" s="158"/>
      <c r="BU38" s="158"/>
      <c r="BV38" s="158"/>
      <c r="BW38" s="159"/>
      <c r="BX38" s="158"/>
      <c r="BY38" s="158"/>
      <c r="BZ38" s="159"/>
      <c r="CA38" s="158"/>
      <c r="CB38" s="158"/>
      <c r="CC38" s="159"/>
      <c r="CD38" s="158"/>
      <c r="CE38" s="158"/>
      <c r="CF38" s="158"/>
      <c r="CG38" s="158"/>
      <c r="CH38" s="158"/>
      <c r="CI38" s="158"/>
      <c r="CJ38" s="158"/>
      <c r="CK38" s="158"/>
      <c r="CL38" s="159"/>
      <c r="CM38" s="158"/>
      <c r="CN38" s="158"/>
      <c r="CO38" s="158"/>
      <c r="CP38" s="158"/>
      <c r="CQ38" s="159"/>
      <c r="CR38" s="158"/>
      <c r="CS38" s="158"/>
      <c r="CT38" s="158"/>
      <c r="CU38" s="158"/>
      <c r="CV38" s="158"/>
      <c r="CW38" s="158"/>
      <c r="CX38" s="159"/>
      <c r="CY38" s="158"/>
      <c r="CZ38" s="158"/>
      <c r="DA38" s="158"/>
      <c r="DB38" s="159"/>
      <c r="DC38" s="158"/>
      <c r="DD38" s="158"/>
      <c r="DE38" s="159"/>
      <c r="DF38" s="158"/>
      <c r="DG38" s="158"/>
      <c r="DH38" s="159"/>
      <c r="DI38" s="158"/>
      <c r="DJ38" s="158"/>
      <c r="DK38" s="159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9"/>
      <c r="DX38" s="158"/>
      <c r="DY38" s="158"/>
      <c r="DZ38" s="158"/>
      <c r="EA38" s="159"/>
      <c r="EB38" s="158"/>
      <c r="EC38" s="158"/>
      <c r="ED38" s="158"/>
      <c r="EE38" s="158"/>
      <c r="EF38" s="158"/>
      <c r="EG38" s="158"/>
      <c r="EH38" s="159"/>
      <c r="EI38" s="158"/>
      <c r="EJ38" s="158"/>
      <c r="EK38" s="158"/>
      <c r="EL38" s="159"/>
      <c r="EM38" s="158"/>
      <c r="EN38" s="158"/>
      <c r="EO38" s="159"/>
      <c r="EP38" s="158"/>
      <c r="EQ38" s="158"/>
      <c r="ER38" s="159"/>
      <c r="ES38" s="158"/>
      <c r="ET38" s="158"/>
      <c r="EU38" s="159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9"/>
      <c r="FH38" s="158"/>
      <c r="FI38" s="158"/>
      <c r="FJ38" s="158"/>
      <c r="FK38" s="159"/>
      <c r="FL38" s="158"/>
      <c r="FM38" s="158"/>
      <c r="FN38" s="158"/>
      <c r="FO38" s="158"/>
      <c r="FP38" s="158"/>
      <c r="FQ38" s="158"/>
      <c r="FR38" s="159"/>
      <c r="FS38" s="158"/>
      <c r="FT38" s="158"/>
      <c r="FU38" s="158"/>
      <c r="FV38" s="159"/>
      <c r="FW38" s="158"/>
      <c r="FX38" s="158"/>
      <c r="FY38" s="159"/>
      <c r="FZ38" s="158"/>
      <c r="GA38" s="158"/>
      <c r="GB38" s="159"/>
      <c r="GC38" s="158"/>
      <c r="GD38" s="158"/>
      <c r="GE38" s="159"/>
      <c r="GF38" s="158"/>
      <c r="GG38" s="158"/>
      <c r="GH38" s="158"/>
      <c r="GI38" s="158"/>
      <c r="GJ38" s="158"/>
      <c r="GK38" s="160"/>
      <c r="GL38" s="160"/>
      <c r="GM38" s="160"/>
      <c r="GN38" s="161"/>
      <c r="GO38" s="158"/>
      <c r="GP38" s="158"/>
      <c r="GQ38" s="158"/>
      <c r="GR38" s="159"/>
      <c r="GS38" s="158"/>
      <c r="GT38" s="158"/>
      <c r="GU38" s="158"/>
      <c r="GV38" s="158"/>
      <c r="GW38" s="159"/>
      <c r="GX38" s="158"/>
      <c r="GY38" s="158"/>
      <c r="GZ38" s="158"/>
      <c r="HA38" s="158"/>
      <c r="HB38" s="159"/>
      <c r="HC38" s="158"/>
      <c r="HD38" s="158"/>
      <c r="HE38" s="158"/>
      <c r="HF38" s="158"/>
      <c r="HG38" s="159"/>
      <c r="HH38" s="158"/>
      <c r="HI38" s="158"/>
      <c r="HJ38" s="158"/>
      <c r="HK38" s="158"/>
      <c r="HL38" s="159"/>
      <c r="HM38" s="158"/>
      <c r="HN38" s="158"/>
      <c r="HO38" s="158"/>
      <c r="HP38" s="158"/>
      <c r="HQ38" s="159"/>
      <c r="HR38" s="158"/>
      <c r="HS38" s="160"/>
      <c r="HT38" s="160"/>
      <c r="HU38" s="160"/>
      <c r="HV38" s="161"/>
      <c r="HW38" s="158"/>
      <c r="HX38" s="158"/>
      <c r="HY38" s="158"/>
      <c r="HZ38" s="159"/>
      <c r="IA38" s="158"/>
      <c r="IB38" s="158"/>
      <c r="IC38" s="158"/>
      <c r="ID38" s="158"/>
      <c r="IE38" s="159"/>
      <c r="IF38" s="158"/>
      <c r="IG38" s="158"/>
      <c r="IH38" s="158"/>
      <c r="II38" s="158"/>
      <c r="IJ38" s="159"/>
      <c r="IK38" s="158"/>
      <c r="IL38" s="158"/>
      <c r="IM38" s="158"/>
      <c r="IN38" s="158"/>
      <c r="IO38" s="159"/>
      <c r="IP38" s="158"/>
      <c r="IQ38" s="158"/>
      <c r="IR38" s="158"/>
      <c r="IS38" s="158"/>
      <c r="IT38" s="159"/>
      <c r="IU38" s="158"/>
      <c r="IV38" s="158"/>
      <c r="IW38" s="158"/>
      <c r="IX38" s="159"/>
      <c r="IY38" s="158"/>
      <c r="IZ38" s="158"/>
      <c r="JA38" s="158"/>
      <c r="JB38" s="159"/>
      <c r="JC38" s="158"/>
      <c r="JD38" s="158"/>
      <c r="JE38" s="158"/>
      <c r="JF38" s="159"/>
      <c r="JG38" s="158"/>
      <c r="JH38" s="158"/>
      <c r="JI38" s="158"/>
      <c r="JJ38" s="158"/>
      <c r="JK38" s="158"/>
      <c r="JL38" s="158"/>
      <c r="JM38" s="158"/>
      <c r="JN38" s="158"/>
      <c r="JO38" s="158"/>
      <c r="JP38" s="158"/>
      <c r="JQ38" s="158"/>
      <c r="JR38" s="158"/>
      <c r="JS38" s="158"/>
      <c r="JT38" s="158"/>
      <c r="JU38" s="158"/>
      <c r="JV38" s="158"/>
      <c r="JW38" s="158"/>
      <c r="JX38" s="158"/>
      <c r="JY38" s="158"/>
      <c r="JZ38" s="158"/>
      <c r="KA38" s="158"/>
      <c r="KB38" s="158"/>
      <c r="KC38" s="158"/>
      <c r="KD38" s="158"/>
      <c r="KE38" s="158"/>
      <c r="KF38" s="158"/>
      <c r="KG38" s="158"/>
      <c r="KH38" s="158"/>
      <c r="KI38" s="158"/>
      <c r="KJ38" s="158"/>
      <c r="KK38" s="158"/>
      <c r="KL38" s="158"/>
      <c r="KM38" s="158"/>
      <c r="KN38" s="158"/>
      <c r="KO38" s="158"/>
      <c r="KP38" s="158"/>
      <c r="KQ38" s="158"/>
      <c r="KR38" s="158"/>
      <c r="KS38" s="158"/>
      <c r="KT38" s="158"/>
      <c r="KU38" s="158"/>
      <c r="KV38" s="158"/>
      <c r="KW38" s="158"/>
      <c r="KX38" s="158"/>
      <c r="KY38" s="158"/>
      <c r="KZ38" s="159"/>
      <c r="LA38" s="158"/>
      <c r="LB38" s="158"/>
      <c r="LC38" s="158"/>
      <c r="LD38" s="159"/>
      <c r="LE38" s="158"/>
      <c r="LF38" s="158"/>
      <c r="LG38" s="158"/>
      <c r="LH38" s="159"/>
      <c r="LI38" s="158"/>
      <c r="LJ38" s="158"/>
      <c r="LK38" s="158"/>
      <c r="LL38" s="159"/>
      <c r="LM38" s="158"/>
      <c r="LN38" s="158"/>
      <c r="LO38" s="158"/>
      <c r="LP38" s="159"/>
      <c r="LQ38" s="158"/>
      <c r="LR38" s="158"/>
      <c r="LS38" s="158"/>
      <c r="LT38" s="159"/>
      <c r="LU38" s="159"/>
      <c r="LV38" s="159"/>
      <c r="LW38" s="159"/>
      <c r="LX38" s="159"/>
      <c r="LY38" s="158"/>
      <c r="LZ38" s="158"/>
      <c r="MA38" s="158"/>
      <c r="MB38" s="159"/>
      <c r="MC38" s="158"/>
      <c r="MD38" s="159"/>
      <c r="ME38" s="158"/>
      <c r="MF38" s="159"/>
      <c r="MG38" s="158"/>
      <c r="MH38" s="159"/>
      <c r="MI38" s="158"/>
      <c r="MJ38" s="159"/>
      <c r="MK38" s="158"/>
      <c r="ML38" s="159"/>
      <c r="MM38" s="158"/>
      <c r="MN38" s="158"/>
      <c r="MO38" s="158"/>
      <c r="MP38" s="158"/>
      <c r="MQ38" s="158"/>
      <c r="MR38" s="158"/>
      <c r="MS38" s="158"/>
      <c r="MT38" s="158"/>
      <c r="MU38" s="158"/>
      <c r="MV38" s="158"/>
      <c r="MW38" s="159"/>
      <c r="MX38" s="158"/>
      <c r="MY38" s="158"/>
      <c r="MZ38" s="158"/>
      <c r="NA38" s="159"/>
      <c r="NB38" s="158"/>
      <c r="NC38" s="158"/>
      <c r="ND38" s="158"/>
      <c r="NE38" s="159"/>
      <c r="NF38" s="158"/>
      <c r="NG38" s="158"/>
      <c r="NH38" s="158"/>
      <c r="NI38" s="159"/>
      <c r="NJ38" s="158"/>
      <c r="NK38" s="158"/>
      <c r="NL38" s="158"/>
      <c r="NM38" s="159"/>
      <c r="NN38" s="158"/>
      <c r="NO38" s="158"/>
      <c r="NP38" s="158"/>
      <c r="NQ38" s="159"/>
      <c r="NR38" s="158"/>
      <c r="NS38" s="158"/>
      <c r="NT38" s="158"/>
      <c r="NU38" s="159"/>
      <c r="NV38" s="162"/>
      <c r="NW38" s="162"/>
      <c r="NX38" s="162"/>
      <c r="NY38" s="161"/>
      <c r="NZ38" s="162"/>
      <c r="OA38" s="162"/>
      <c r="OB38" s="162"/>
      <c r="OC38" s="161"/>
      <c r="OD38" s="163"/>
      <c r="OE38" s="163"/>
      <c r="OF38" s="163"/>
      <c r="OG38" s="163"/>
      <c r="OH38" s="163"/>
      <c r="OI38" s="163"/>
      <c r="OJ38" s="163"/>
      <c r="OK38" s="163"/>
      <c r="OL38" s="163"/>
      <c r="OM38" s="163"/>
      <c r="ON38" s="163"/>
      <c r="OO38" s="163"/>
      <c r="OP38" s="163"/>
      <c r="OQ38" s="163"/>
      <c r="OR38" s="163"/>
      <c r="OX38" s="163"/>
      <c r="PB38" s="164"/>
      <c r="PF38" s="164"/>
      <c r="PJ38" s="164"/>
      <c r="PN38" s="164"/>
      <c r="PR38" s="164"/>
      <c r="PV38" s="164"/>
      <c r="PZ38" s="164"/>
      <c r="QA38" s="158"/>
      <c r="QB38" s="158"/>
      <c r="QD38" s="163"/>
      <c r="QE38" s="158"/>
      <c r="QF38" s="158"/>
      <c r="QG38" s="158"/>
      <c r="QH38" s="158"/>
      <c r="QI38" s="158"/>
      <c r="QJ38" s="158"/>
      <c r="QK38" s="158"/>
      <c r="QL38" s="159"/>
      <c r="QM38" s="158"/>
      <c r="QN38" s="158"/>
      <c r="QO38" s="158"/>
      <c r="QP38" s="158"/>
      <c r="QQ38" s="158"/>
      <c r="QR38" s="158"/>
      <c r="QS38" s="159"/>
      <c r="QT38" s="158"/>
      <c r="QU38" s="158"/>
      <c r="QV38" s="158"/>
      <c r="QW38" s="158"/>
      <c r="QX38" s="158"/>
      <c r="QY38" s="158"/>
      <c r="QZ38" s="159"/>
      <c r="RA38" s="158"/>
      <c r="RB38" s="158"/>
      <c r="RC38" s="158"/>
      <c r="RD38" s="158"/>
      <c r="RE38" s="158"/>
      <c r="RF38" s="158"/>
      <c r="RG38" s="159"/>
      <c r="RH38" s="158"/>
      <c r="RI38" s="158"/>
      <c r="RJ38" s="158"/>
      <c r="RK38" s="158"/>
      <c r="RL38" s="158"/>
      <c r="RM38" s="158"/>
      <c r="RN38" s="159"/>
      <c r="RO38" s="158"/>
      <c r="RP38" s="158"/>
      <c r="RQ38" s="158"/>
      <c r="RR38" s="158"/>
      <c r="RS38" s="158"/>
      <c r="RT38" s="158"/>
      <c r="RU38" s="159"/>
      <c r="RV38" s="158"/>
      <c r="RW38" s="158"/>
      <c r="RX38" s="158"/>
      <c r="RY38" s="158"/>
      <c r="RZ38" s="158"/>
      <c r="SA38" s="158"/>
      <c r="SB38" s="158"/>
      <c r="SC38" s="159"/>
      <c r="SD38" s="158"/>
      <c r="SE38" s="158"/>
      <c r="SF38" s="158"/>
      <c r="SG38" s="159"/>
      <c r="SH38" s="158"/>
      <c r="SI38" s="158"/>
      <c r="SJ38" s="158"/>
      <c r="SK38" s="158"/>
      <c r="SL38" s="158"/>
      <c r="SM38" s="158"/>
      <c r="SN38" s="159"/>
      <c r="SO38" s="158"/>
      <c r="SP38" s="158"/>
      <c r="SQ38" s="158"/>
      <c r="SR38" s="159"/>
      <c r="SS38" s="158"/>
      <c r="ST38" s="158"/>
      <c r="SU38" s="159"/>
      <c r="SV38" s="158"/>
      <c r="SW38" s="158"/>
      <c r="SX38" s="159"/>
      <c r="SY38" s="158"/>
      <c r="SZ38" s="158"/>
      <c r="TA38" s="159"/>
      <c r="TB38" s="158"/>
      <c r="TC38" s="158"/>
      <c r="TD38" s="158"/>
      <c r="TE38" s="158"/>
      <c r="TF38" s="158"/>
      <c r="TG38" s="158"/>
      <c r="TP38" s="158"/>
      <c r="TQ38" s="158"/>
      <c r="TR38" s="158"/>
      <c r="UC38" s="165"/>
    </row>
    <row r="39" spans="1:549" hidden="1" x14ac:dyDescent="0.25">
      <c r="A39" s="154"/>
      <c r="B39" s="155"/>
      <c r="C39" s="156"/>
      <c r="D39" s="157"/>
      <c r="E39" s="158"/>
      <c r="F39" s="158"/>
      <c r="G39" s="158"/>
      <c r="H39" s="159"/>
      <c r="I39" s="158"/>
      <c r="J39" s="158"/>
      <c r="K39" s="158"/>
      <c r="L39" s="159"/>
      <c r="M39" s="158"/>
      <c r="N39" s="158"/>
      <c r="O39" s="159"/>
      <c r="P39" s="158"/>
      <c r="Q39" s="158"/>
      <c r="R39" s="158"/>
      <c r="S39" s="158"/>
      <c r="T39" s="159"/>
      <c r="U39" s="158"/>
      <c r="V39" s="158"/>
      <c r="W39" s="158"/>
      <c r="X39" s="159"/>
      <c r="Y39" s="158"/>
      <c r="Z39" s="158"/>
      <c r="AA39" s="159"/>
      <c r="AB39" s="158"/>
      <c r="AC39" s="158"/>
      <c r="AD39" s="159"/>
      <c r="AE39" s="158"/>
      <c r="AF39" s="158"/>
      <c r="AG39" s="158"/>
      <c r="AH39" s="159"/>
      <c r="AI39" s="158"/>
      <c r="AJ39" s="158"/>
      <c r="AK39" s="158"/>
      <c r="AL39" s="159"/>
      <c r="AM39" s="158"/>
      <c r="AN39" s="158"/>
      <c r="AO39" s="158"/>
      <c r="AP39" s="159"/>
      <c r="AQ39" s="158"/>
      <c r="AR39" s="158"/>
      <c r="AS39" s="158"/>
      <c r="AT39" s="158"/>
      <c r="AU39" s="159"/>
      <c r="AV39" s="158"/>
      <c r="AW39" s="158"/>
      <c r="AX39" s="158"/>
      <c r="AY39" s="158"/>
      <c r="AZ39" s="158"/>
      <c r="BA39" s="158"/>
      <c r="BB39" s="158"/>
      <c r="BC39" s="158"/>
      <c r="BD39" s="159"/>
      <c r="BE39" s="158"/>
      <c r="BF39" s="158"/>
      <c r="BG39" s="158"/>
      <c r="BH39" s="158"/>
      <c r="BI39" s="158"/>
      <c r="BJ39" s="158"/>
      <c r="BK39" s="158"/>
      <c r="BL39" s="159"/>
      <c r="BM39" s="158"/>
      <c r="BN39" s="158"/>
      <c r="BO39" s="158"/>
      <c r="BP39" s="158"/>
      <c r="BQ39" s="158"/>
      <c r="BR39" s="158"/>
      <c r="BS39" s="159"/>
      <c r="BT39" s="158"/>
      <c r="BU39" s="158"/>
      <c r="BV39" s="158"/>
      <c r="BW39" s="159"/>
      <c r="BX39" s="158"/>
      <c r="BY39" s="158"/>
      <c r="BZ39" s="159"/>
      <c r="CA39" s="158"/>
      <c r="CB39" s="158"/>
      <c r="CC39" s="159"/>
      <c r="CD39" s="158"/>
      <c r="CE39" s="158"/>
      <c r="CF39" s="158"/>
      <c r="CG39" s="158"/>
      <c r="CH39" s="158"/>
      <c r="CI39" s="158"/>
      <c r="CJ39" s="158"/>
      <c r="CK39" s="158"/>
      <c r="CL39" s="159"/>
      <c r="CM39" s="158"/>
      <c r="CN39" s="158"/>
      <c r="CO39" s="158"/>
      <c r="CP39" s="158"/>
      <c r="CQ39" s="159"/>
      <c r="CR39" s="158"/>
      <c r="CS39" s="158"/>
      <c r="CT39" s="158"/>
      <c r="CU39" s="158"/>
      <c r="CV39" s="158"/>
      <c r="CW39" s="158"/>
      <c r="CX39" s="159"/>
      <c r="CY39" s="158"/>
      <c r="CZ39" s="158"/>
      <c r="DA39" s="158"/>
      <c r="DB39" s="159"/>
      <c r="DC39" s="158"/>
      <c r="DD39" s="158"/>
      <c r="DE39" s="159"/>
      <c r="DF39" s="158"/>
      <c r="DG39" s="158"/>
      <c r="DH39" s="159"/>
      <c r="DI39" s="158"/>
      <c r="DJ39" s="158"/>
      <c r="DK39" s="159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9"/>
      <c r="DX39" s="158"/>
      <c r="DY39" s="158"/>
      <c r="DZ39" s="158"/>
      <c r="EA39" s="159"/>
      <c r="EB39" s="158"/>
      <c r="EC39" s="158"/>
      <c r="ED39" s="158"/>
      <c r="EE39" s="158"/>
      <c r="EF39" s="158"/>
      <c r="EG39" s="158"/>
      <c r="EH39" s="159"/>
      <c r="EI39" s="158"/>
      <c r="EJ39" s="158"/>
      <c r="EK39" s="158"/>
      <c r="EL39" s="159"/>
      <c r="EM39" s="158"/>
      <c r="EN39" s="158"/>
      <c r="EO39" s="159"/>
      <c r="EP39" s="158"/>
      <c r="EQ39" s="158"/>
      <c r="ER39" s="159"/>
      <c r="ES39" s="158"/>
      <c r="ET39" s="158"/>
      <c r="EU39" s="159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9"/>
      <c r="FH39" s="158"/>
      <c r="FI39" s="158"/>
      <c r="FJ39" s="158"/>
      <c r="FK39" s="159"/>
      <c r="FL39" s="158"/>
      <c r="FM39" s="158"/>
      <c r="FN39" s="158"/>
      <c r="FO39" s="158"/>
      <c r="FP39" s="158"/>
      <c r="FQ39" s="158"/>
      <c r="FR39" s="159"/>
      <c r="FS39" s="158"/>
      <c r="FT39" s="158"/>
      <c r="FU39" s="158"/>
      <c r="FV39" s="159"/>
      <c r="FW39" s="158"/>
      <c r="FX39" s="158"/>
      <c r="FY39" s="159"/>
      <c r="FZ39" s="158"/>
      <c r="GA39" s="158"/>
      <c r="GB39" s="159"/>
      <c r="GC39" s="158"/>
      <c r="GD39" s="158"/>
      <c r="GE39" s="159"/>
      <c r="GF39" s="158"/>
      <c r="GG39" s="158"/>
      <c r="GH39" s="158"/>
      <c r="GI39" s="158"/>
      <c r="GJ39" s="158"/>
      <c r="GK39" s="160"/>
      <c r="GL39" s="160"/>
      <c r="GM39" s="160"/>
      <c r="GN39" s="161"/>
      <c r="GO39" s="158"/>
      <c r="GP39" s="158"/>
      <c r="GQ39" s="158"/>
      <c r="GR39" s="159"/>
      <c r="GS39" s="158"/>
      <c r="GT39" s="158"/>
      <c r="GU39" s="158"/>
      <c r="GV39" s="158"/>
      <c r="GW39" s="159"/>
      <c r="GX39" s="158"/>
      <c r="GY39" s="158"/>
      <c r="GZ39" s="158"/>
      <c r="HA39" s="158"/>
      <c r="HB39" s="159"/>
      <c r="HC39" s="158"/>
      <c r="HD39" s="158"/>
      <c r="HE39" s="158"/>
      <c r="HF39" s="158"/>
      <c r="HG39" s="159"/>
      <c r="HH39" s="158"/>
      <c r="HI39" s="158"/>
      <c r="HJ39" s="158"/>
      <c r="HK39" s="158"/>
      <c r="HL39" s="159"/>
      <c r="HM39" s="158"/>
      <c r="HN39" s="158"/>
      <c r="HO39" s="158"/>
      <c r="HP39" s="158"/>
      <c r="HQ39" s="159"/>
      <c r="HR39" s="158"/>
      <c r="HS39" s="160"/>
      <c r="HT39" s="160"/>
      <c r="HU39" s="160"/>
      <c r="HV39" s="161"/>
      <c r="HW39" s="158"/>
      <c r="HX39" s="158"/>
      <c r="HY39" s="158"/>
      <c r="HZ39" s="159"/>
      <c r="IA39" s="158"/>
      <c r="IB39" s="158"/>
      <c r="IC39" s="158"/>
      <c r="ID39" s="158"/>
      <c r="IE39" s="159"/>
      <c r="IF39" s="158"/>
      <c r="IG39" s="158"/>
      <c r="IH39" s="158"/>
      <c r="II39" s="158"/>
      <c r="IJ39" s="159"/>
      <c r="IK39" s="158"/>
      <c r="IL39" s="158"/>
      <c r="IM39" s="158"/>
      <c r="IN39" s="158"/>
      <c r="IO39" s="159"/>
      <c r="IP39" s="158"/>
      <c r="IQ39" s="158"/>
      <c r="IR39" s="158"/>
      <c r="IS39" s="158"/>
      <c r="IT39" s="159"/>
      <c r="IU39" s="158"/>
      <c r="IV39" s="158"/>
      <c r="IW39" s="158"/>
      <c r="IX39" s="159"/>
      <c r="IY39" s="158"/>
      <c r="IZ39" s="158"/>
      <c r="JA39" s="158"/>
      <c r="JB39" s="159"/>
      <c r="JC39" s="158"/>
      <c r="JD39" s="158"/>
      <c r="JE39" s="158"/>
      <c r="JF39" s="159"/>
      <c r="JG39" s="158"/>
      <c r="JH39" s="158"/>
      <c r="JI39" s="158"/>
      <c r="JJ39" s="158"/>
      <c r="JK39" s="158"/>
      <c r="JL39" s="158"/>
      <c r="JM39" s="158"/>
      <c r="JN39" s="158"/>
      <c r="JO39" s="158"/>
      <c r="JP39" s="158"/>
      <c r="JQ39" s="158"/>
      <c r="JR39" s="158"/>
      <c r="JS39" s="158"/>
      <c r="JT39" s="158"/>
      <c r="JU39" s="158"/>
      <c r="JV39" s="158"/>
      <c r="JW39" s="158"/>
      <c r="JX39" s="158"/>
      <c r="JY39" s="158"/>
      <c r="JZ39" s="158"/>
      <c r="KA39" s="158"/>
      <c r="KB39" s="158"/>
      <c r="KC39" s="158"/>
      <c r="KD39" s="158"/>
      <c r="KE39" s="158"/>
      <c r="KF39" s="158"/>
      <c r="KG39" s="158"/>
      <c r="KH39" s="158"/>
      <c r="KI39" s="158"/>
      <c r="KJ39" s="158"/>
      <c r="KK39" s="158"/>
      <c r="KL39" s="158"/>
      <c r="KM39" s="158"/>
      <c r="KN39" s="158"/>
      <c r="KO39" s="158"/>
      <c r="KP39" s="158"/>
      <c r="KQ39" s="158"/>
      <c r="KR39" s="158"/>
      <c r="KS39" s="158"/>
      <c r="KT39" s="158"/>
      <c r="KU39" s="158"/>
      <c r="KV39" s="158"/>
      <c r="KW39" s="158"/>
      <c r="KX39" s="158"/>
      <c r="KY39" s="158"/>
      <c r="KZ39" s="159"/>
      <c r="LA39" s="158"/>
      <c r="LB39" s="158"/>
      <c r="LC39" s="158"/>
      <c r="LD39" s="159"/>
      <c r="LE39" s="158"/>
      <c r="LF39" s="158"/>
      <c r="LG39" s="158"/>
      <c r="LH39" s="159"/>
      <c r="LI39" s="158"/>
      <c r="LJ39" s="158"/>
      <c r="LK39" s="158"/>
      <c r="LL39" s="159"/>
      <c r="LM39" s="158"/>
      <c r="LN39" s="158"/>
      <c r="LO39" s="158"/>
      <c r="LP39" s="159"/>
      <c r="LQ39" s="158"/>
      <c r="LR39" s="158"/>
      <c r="LS39" s="158"/>
      <c r="LT39" s="159"/>
      <c r="LU39" s="159"/>
      <c r="LV39" s="159"/>
      <c r="LW39" s="159"/>
      <c r="LX39" s="159"/>
      <c r="LY39" s="158"/>
      <c r="LZ39" s="158"/>
      <c r="MA39" s="158"/>
      <c r="MB39" s="159"/>
      <c r="MC39" s="158"/>
      <c r="MD39" s="159"/>
      <c r="ME39" s="158"/>
      <c r="MF39" s="159"/>
      <c r="MG39" s="158"/>
      <c r="MH39" s="159"/>
      <c r="MI39" s="158"/>
      <c r="MJ39" s="159"/>
      <c r="MK39" s="158"/>
      <c r="ML39" s="159"/>
      <c r="MM39" s="158"/>
      <c r="MN39" s="158"/>
      <c r="MO39" s="158"/>
      <c r="MP39" s="158"/>
      <c r="MQ39" s="158"/>
      <c r="MR39" s="158"/>
      <c r="MS39" s="158"/>
      <c r="MT39" s="158"/>
      <c r="MU39" s="158"/>
      <c r="MV39" s="158"/>
      <c r="MW39" s="159"/>
      <c r="MX39" s="158"/>
      <c r="MY39" s="158"/>
      <c r="MZ39" s="158"/>
      <c r="NA39" s="159"/>
      <c r="NB39" s="158"/>
      <c r="NC39" s="158"/>
      <c r="ND39" s="158"/>
      <c r="NE39" s="159"/>
      <c r="NF39" s="158"/>
      <c r="NG39" s="158"/>
      <c r="NH39" s="158"/>
      <c r="NI39" s="159"/>
      <c r="NJ39" s="158"/>
      <c r="NK39" s="158"/>
      <c r="NL39" s="158"/>
      <c r="NM39" s="159"/>
      <c r="NN39" s="158"/>
      <c r="NO39" s="158"/>
      <c r="NP39" s="158"/>
      <c r="NQ39" s="159"/>
      <c r="NR39" s="158"/>
      <c r="NS39" s="158"/>
      <c r="NT39" s="158"/>
      <c r="NU39" s="159"/>
      <c r="NV39" s="162"/>
      <c r="NW39" s="162"/>
      <c r="NX39" s="162"/>
      <c r="NY39" s="161"/>
      <c r="NZ39" s="162"/>
      <c r="OA39" s="162"/>
      <c r="OB39" s="162"/>
      <c r="OC39" s="161"/>
      <c r="OD39" s="163"/>
      <c r="OE39" s="163"/>
      <c r="OF39" s="163"/>
      <c r="OG39" s="163"/>
      <c r="OH39" s="163"/>
      <c r="OI39" s="163"/>
      <c r="OJ39" s="163"/>
      <c r="OK39" s="163"/>
      <c r="OL39" s="163"/>
      <c r="OM39" s="163"/>
      <c r="ON39" s="163"/>
      <c r="OO39" s="163"/>
      <c r="OP39" s="163"/>
      <c r="OQ39" s="163"/>
      <c r="OR39" s="163"/>
      <c r="OX39" s="163"/>
      <c r="PB39" s="164"/>
      <c r="PF39" s="164"/>
      <c r="PJ39" s="164"/>
      <c r="PN39" s="164"/>
      <c r="PR39" s="164"/>
      <c r="PV39" s="164"/>
      <c r="PZ39" s="164"/>
      <c r="QA39" s="158"/>
      <c r="QB39" s="158"/>
      <c r="QD39" s="163"/>
      <c r="QE39" s="158"/>
      <c r="QF39" s="158"/>
      <c r="QG39" s="158"/>
      <c r="QH39" s="158"/>
      <c r="QI39" s="158"/>
      <c r="QJ39" s="158"/>
      <c r="QK39" s="158"/>
      <c r="QL39" s="159"/>
      <c r="QM39" s="158"/>
      <c r="QN39" s="158"/>
      <c r="QO39" s="158"/>
      <c r="QP39" s="158"/>
      <c r="QQ39" s="158"/>
      <c r="QR39" s="158"/>
      <c r="QS39" s="159"/>
      <c r="QT39" s="158"/>
      <c r="QU39" s="158"/>
      <c r="QV39" s="158"/>
      <c r="QW39" s="158"/>
      <c r="QX39" s="158"/>
      <c r="QY39" s="158"/>
      <c r="QZ39" s="159"/>
      <c r="RA39" s="158"/>
      <c r="RB39" s="158"/>
      <c r="RC39" s="158"/>
      <c r="RD39" s="158"/>
      <c r="RE39" s="158"/>
      <c r="RF39" s="158"/>
      <c r="RG39" s="159"/>
      <c r="RH39" s="158"/>
      <c r="RI39" s="158"/>
      <c r="RJ39" s="158"/>
      <c r="RK39" s="158"/>
      <c r="RL39" s="158"/>
      <c r="RM39" s="158"/>
      <c r="RN39" s="159"/>
      <c r="RO39" s="158"/>
      <c r="RP39" s="158"/>
      <c r="RQ39" s="158"/>
      <c r="RR39" s="158"/>
      <c r="RS39" s="158"/>
      <c r="RT39" s="158"/>
      <c r="RU39" s="159"/>
      <c r="RV39" s="158"/>
      <c r="RW39" s="158"/>
      <c r="RX39" s="158"/>
      <c r="RY39" s="158"/>
      <c r="RZ39" s="158"/>
      <c r="SA39" s="158"/>
      <c r="SB39" s="158"/>
      <c r="SC39" s="159"/>
      <c r="SD39" s="158"/>
      <c r="SE39" s="158"/>
      <c r="SF39" s="158"/>
      <c r="SG39" s="159"/>
      <c r="SH39" s="158"/>
      <c r="SI39" s="158"/>
      <c r="SJ39" s="158"/>
      <c r="SK39" s="158"/>
      <c r="SL39" s="158"/>
      <c r="SM39" s="158"/>
      <c r="SN39" s="159"/>
      <c r="SO39" s="158"/>
      <c r="SP39" s="158"/>
      <c r="SQ39" s="158"/>
      <c r="SR39" s="159"/>
      <c r="SS39" s="158"/>
      <c r="ST39" s="158"/>
      <c r="SU39" s="159"/>
      <c r="SV39" s="158"/>
      <c r="SW39" s="158"/>
      <c r="SX39" s="159"/>
      <c r="SY39" s="158"/>
      <c r="SZ39" s="158"/>
      <c r="TA39" s="159"/>
      <c r="TB39" s="158"/>
      <c r="TC39" s="158"/>
      <c r="TD39" s="158"/>
      <c r="TE39" s="158"/>
      <c r="TF39" s="158"/>
      <c r="TG39" s="158"/>
      <c r="TP39" s="158"/>
      <c r="TQ39" s="158"/>
      <c r="TR39" s="158"/>
      <c r="UC39" s="165"/>
    </row>
    <row r="40" spans="1:549" hidden="1" x14ac:dyDescent="0.25">
      <c r="A40" s="154"/>
      <c r="B40" s="155"/>
      <c r="C40" s="156"/>
      <c r="D40" s="157"/>
      <c r="E40" s="158"/>
      <c r="F40" s="158"/>
      <c r="G40" s="158"/>
      <c r="H40" s="159"/>
      <c r="I40" s="158"/>
      <c r="J40" s="158"/>
      <c r="K40" s="158"/>
      <c r="L40" s="159"/>
      <c r="M40" s="158"/>
      <c r="N40" s="158"/>
      <c r="O40" s="159"/>
      <c r="P40" s="158"/>
      <c r="Q40" s="158"/>
      <c r="R40" s="158"/>
      <c r="S40" s="158"/>
      <c r="T40" s="159"/>
      <c r="U40" s="158"/>
      <c r="V40" s="158"/>
      <c r="W40" s="158"/>
      <c r="X40" s="159"/>
      <c r="Y40" s="158"/>
      <c r="Z40" s="158"/>
      <c r="AA40" s="159"/>
      <c r="AB40" s="158"/>
      <c r="AC40" s="158"/>
      <c r="AD40" s="159"/>
      <c r="AE40" s="158"/>
      <c r="AF40" s="158"/>
      <c r="AG40" s="158"/>
      <c r="AH40" s="159"/>
      <c r="AI40" s="158"/>
      <c r="AJ40" s="158"/>
      <c r="AK40" s="158"/>
      <c r="AL40" s="159"/>
      <c r="AM40" s="158"/>
      <c r="AN40" s="158"/>
      <c r="AO40" s="158"/>
      <c r="AP40" s="159"/>
      <c r="AQ40" s="158"/>
      <c r="AR40" s="158"/>
      <c r="AS40" s="158"/>
      <c r="AT40" s="158"/>
      <c r="AU40" s="159"/>
      <c r="AV40" s="158"/>
      <c r="AW40" s="158"/>
      <c r="AX40" s="158"/>
      <c r="AY40" s="158"/>
      <c r="AZ40" s="158"/>
      <c r="BA40" s="158"/>
      <c r="BB40" s="158"/>
      <c r="BC40" s="158"/>
      <c r="BD40" s="159"/>
      <c r="BE40" s="158"/>
      <c r="BF40" s="158"/>
      <c r="BG40" s="158"/>
      <c r="BH40" s="158"/>
      <c r="BI40" s="158"/>
      <c r="BJ40" s="158"/>
      <c r="BK40" s="158"/>
      <c r="BL40" s="159"/>
      <c r="BM40" s="158"/>
      <c r="BN40" s="158"/>
      <c r="BO40" s="158"/>
      <c r="BP40" s="158"/>
      <c r="BQ40" s="158"/>
      <c r="BR40" s="158"/>
      <c r="BS40" s="159"/>
      <c r="BT40" s="158"/>
      <c r="BU40" s="158"/>
      <c r="BV40" s="158"/>
      <c r="BW40" s="159"/>
      <c r="BX40" s="158"/>
      <c r="BY40" s="158"/>
      <c r="BZ40" s="159"/>
      <c r="CA40" s="158"/>
      <c r="CB40" s="158"/>
      <c r="CC40" s="159"/>
      <c r="CD40" s="158"/>
      <c r="CE40" s="158"/>
      <c r="CF40" s="158"/>
      <c r="CG40" s="158"/>
      <c r="CH40" s="158"/>
      <c r="CI40" s="158"/>
      <c r="CJ40" s="158"/>
      <c r="CK40" s="158"/>
      <c r="CL40" s="159"/>
      <c r="CM40" s="158"/>
      <c r="CN40" s="158"/>
      <c r="CO40" s="158"/>
      <c r="CP40" s="158"/>
      <c r="CQ40" s="159"/>
      <c r="CR40" s="158"/>
      <c r="CS40" s="158"/>
      <c r="CT40" s="158"/>
      <c r="CU40" s="158"/>
      <c r="CV40" s="158"/>
      <c r="CW40" s="158"/>
      <c r="CX40" s="159"/>
      <c r="CY40" s="158"/>
      <c r="CZ40" s="158"/>
      <c r="DA40" s="158"/>
      <c r="DB40" s="159"/>
      <c r="DC40" s="158"/>
      <c r="DD40" s="158"/>
      <c r="DE40" s="159"/>
      <c r="DF40" s="158"/>
      <c r="DG40" s="158"/>
      <c r="DH40" s="159"/>
      <c r="DI40" s="158"/>
      <c r="DJ40" s="158"/>
      <c r="DK40" s="159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9"/>
      <c r="DX40" s="158"/>
      <c r="DY40" s="158"/>
      <c r="DZ40" s="158"/>
      <c r="EA40" s="159"/>
      <c r="EB40" s="158"/>
      <c r="EC40" s="158"/>
      <c r="ED40" s="158"/>
      <c r="EE40" s="158"/>
      <c r="EF40" s="158"/>
      <c r="EG40" s="158"/>
      <c r="EH40" s="159"/>
      <c r="EI40" s="158"/>
      <c r="EJ40" s="158"/>
      <c r="EK40" s="158"/>
      <c r="EL40" s="159"/>
      <c r="EM40" s="158"/>
      <c r="EN40" s="158"/>
      <c r="EO40" s="159"/>
      <c r="EP40" s="158"/>
      <c r="EQ40" s="158"/>
      <c r="ER40" s="159"/>
      <c r="ES40" s="158"/>
      <c r="ET40" s="158"/>
      <c r="EU40" s="159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9"/>
      <c r="FH40" s="158"/>
      <c r="FI40" s="158"/>
      <c r="FJ40" s="158"/>
      <c r="FK40" s="159"/>
      <c r="FL40" s="158"/>
      <c r="FM40" s="158"/>
      <c r="FN40" s="158"/>
      <c r="FO40" s="158"/>
      <c r="FP40" s="158"/>
      <c r="FQ40" s="158"/>
      <c r="FR40" s="159"/>
      <c r="FS40" s="158"/>
      <c r="FT40" s="158"/>
      <c r="FU40" s="158"/>
      <c r="FV40" s="159"/>
      <c r="FW40" s="158"/>
      <c r="FX40" s="158"/>
      <c r="FY40" s="159"/>
      <c r="FZ40" s="158"/>
      <c r="GA40" s="158"/>
      <c r="GB40" s="159"/>
      <c r="GC40" s="158"/>
      <c r="GD40" s="158"/>
      <c r="GE40" s="159"/>
      <c r="GF40" s="158"/>
      <c r="GG40" s="158"/>
      <c r="GH40" s="158"/>
      <c r="GI40" s="158"/>
      <c r="GJ40" s="158"/>
      <c r="GK40" s="160"/>
      <c r="GL40" s="160"/>
      <c r="GM40" s="160"/>
      <c r="GN40" s="161"/>
      <c r="GO40" s="158"/>
      <c r="GP40" s="158"/>
      <c r="GQ40" s="158"/>
      <c r="GR40" s="159"/>
      <c r="GS40" s="158"/>
      <c r="GT40" s="158"/>
      <c r="GU40" s="158"/>
      <c r="GV40" s="158"/>
      <c r="GW40" s="159"/>
      <c r="GX40" s="158"/>
      <c r="GY40" s="158"/>
      <c r="GZ40" s="158"/>
      <c r="HA40" s="158"/>
      <c r="HB40" s="159"/>
      <c r="HC40" s="158"/>
      <c r="HD40" s="158"/>
      <c r="HE40" s="158"/>
      <c r="HF40" s="158"/>
      <c r="HG40" s="159"/>
      <c r="HH40" s="158"/>
      <c r="HI40" s="158"/>
      <c r="HJ40" s="158"/>
      <c r="HK40" s="158"/>
      <c r="HL40" s="159"/>
      <c r="HM40" s="158"/>
      <c r="HN40" s="158"/>
      <c r="HO40" s="158"/>
      <c r="HP40" s="158"/>
      <c r="HQ40" s="159"/>
      <c r="HR40" s="158"/>
      <c r="HS40" s="160"/>
      <c r="HT40" s="160"/>
      <c r="HU40" s="160"/>
      <c r="HV40" s="161"/>
      <c r="HW40" s="158"/>
      <c r="HX40" s="158"/>
      <c r="HY40" s="158"/>
      <c r="HZ40" s="159"/>
      <c r="IA40" s="158"/>
      <c r="IB40" s="158"/>
      <c r="IC40" s="158"/>
      <c r="ID40" s="158"/>
      <c r="IE40" s="159"/>
      <c r="IF40" s="158"/>
      <c r="IG40" s="158"/>
      <c r="IH40" s="158"/>
      <c r="II40" s="158"/>
      <c r="IJ40" s="159"/>
      <c r="IK40" s="158"/>
      <c r="IL40" s="158"/>
      <c r="IM40" s="158"/>
      <c r="IN40" s="158"/>
      <c r="IO40" s="159"/>
      <c r="IP40" s="158"/>
      <c r="IQ40" s="158"/>
      <c r="IR40" s="158"/>
      <c r="IS40" s="158"/>
      <c r="IT40" s="159"/>
      <c r="IU40" s="158"/>
      <c r="IV40" s="158"/>
      <c r="IW40" s="158"/>
      <c r="IX40" s="159"/>
      <c r="IY40" s="158"/>
      <c r="IZ40" s="158"/>
      <c r="JA40" s="158"/>
      <c r="JB40" s="159"/>
      <c r="JC40" s="158"/>
      <c r="JD40" s="158"/>
      <c r="JE40" s="158"/>
      <c r="JF40" s="159"/>
      <c r="JG40" s="158"/>
      <c r="JH40" s="158"/>
      <c r="JI40" s="158"/>
      <c r="JJ40" s="158"/>
      <c r="JK40" s="158"/>
      <c r="JL40" s="158"/>
      <c r="JM40" s="158"/>
      <c r="JN40" s="158"/>
      <c r="JO40" s="158"/>
      <c r="JP40" s="158"/>
      <c r="JQ40" s="158"/>
      <c r="JR40" s="158"/>
      <c r="JS40" s="158"/>
      <c r="JT40" s="158"/>
      <c r="JU40" s="158"/>
      <c r="JV40" s="158"/>
      <c r="JW40" s="158"/>
      <c r="JX40" s="158"/>
      <c r="JY40" s="158"/>
      <c r="JZ40" s="158"/>
      <c r="KA40" s="158"/>
      <c r="KB40" s="158"/>
      <c r="KC40" s="158"/>
      <c r="KD40" s="158"/>
      <c r="KE40" s="158"/>
      <c r="KF40" s="158"/>
      <c r="KG40" s="158"/>
      <c r="KH40" s="158"/>
      <c r="KI40" s="158"/>
      <c r="KJ40" s="158"/>
      <c r="KK40" s="158"/>
      <c r="KL40" s="158"/>
      <c r="KM40" s="158"/>
      <c r="KN40" s="158"/>
      <c r="KO40" s="158"/>
      <c r="KP40" s="158"/>
      <c r="KQ40" s="158"/>
      <c r="KR40" s="158"/>
      <c r="KS40" s="158"/>
      <c r="KT40" s="158"/>
      <c r="KU40" s="158"/>
      <c r="KV40" s="158"/>
      <c r="KW40" s="158"/>
      <c r="KX40" s="158"/>
      <c r="KY40" s="158"/>
      <c r="KZ40" s="159"/>
      <c r="LA40" s="158"/>
      <c r="LB40" s="158"/>
      <c r="LC40" s="158"/>
      <c r="LD40" s="159"/>
      <c r="LE40" s="158"/>
      <c r="LF40" s="158"/>
      <c r="LG40" s="158"/>
      <c r="LH40" s="159"/>
      <c r="LI40" s="158"/>
      <c r="LJ40" s="158"/>
      <c r="LK40" s="158"/>
      <c r="LL40" s="159"/>
      <c r="LM40" s="158"/>
      <c r="LN40" s="158"/>
      <c r="LO40" s="158"/>
      <c r="LP40" s="159"/>
      <c r="LQ40" s="158"/>
      <c r="LR40" s="158"/>
      <c r="LS40" s="158"/>
      <c r="LT40" s="159"/>
      <c r="LU40" s="159"/>
      <c r="LV40" s="159"/>
      <c r="LW40" s="159"/>
      <c r="LX40" s="159"/>
      <c r="LY40" s="158"/>
      <c r="LZ40" s="158"/>
      <c r="MA40" s="158"/>
      <c r="MB40" s="159"/>
      <c r="MC40" s="158"/>
      <c r="MD40" s="159"/>
      <c r="ME40" s="158"/>
      <c r="MF40" s="159"/>
      <c r="MG40" s="158"/>
      <c r="MH40" s="159"/>
      <c r="MI40" s="158"/>
      <c r="MJ40" s="159"/>
      <c r="MK40" s="158"/>
      <c r="ML40" s="159"/>
      <c r="MM40" s="158"/>
      <c r="MN40" s="158"/>
      <c r="MO40" s="158"/>
      <c r="MP40" s="158"/>
      <c r="MQ40" s="158"/>
      <c r="MR40" s="158"/>
      <c r="MS40" s="158"/>
      <c r="MT40" s="158"/>
      <c r="MU40" s="158"/>
      <c r="MV40" s="158"/>
      <c r="MW40" s="159"/>
      <c r="MX40" s="158"/>
      <c r="MY40" s="158"/>
      <c r="MZ40" s="158"/>
      <c r="NA40" s="159"/>
      <c r="NB40" s="158"/>
      <c r="NC40" s="158"/>
      <c r="ND40" s="158"/>
      <c r="NE40" s="159"/>
      <c r="NF40" s="158"/>
      <c r="NG40" s="158"/>
      <c r="NH40" s="158"/>
      <c r="NI40" s="159"/>
      <c r="NJ40" s="158"/>
      <c r="NK40" s="158"/>
      <c r="NL40" s="158"/>
      <c r="NM40" s="159"/>
      <c r="NN40" s="158"/>
      <c r="NO40" s="158"/>
      <c r="NP40" s="158"/>
      <c r="NQ40" s="159"/>
      <c r="NR40" s="158"/>
      <c r="NS40" s="158"/>
      <c r="NT40" s="158"/>
      <c r="NU40" s="159"/>
      <c r="NV40" s="162"/>
      <c r="NW40" s="162"/>
      <c r="NX40" s="162"/>
      <c r="NY40" s="161"/>
      <c r="NZ40" s="162"/>
      <c r="OA40" s="162"/>
      <c r="OB40" s="162"/>
      <c r="OC40" s="161"/>
      <c r="OD40" s="163"/>
      <c r="OE40" s="163"/>
      <c r="OF40" s="163"/>
      <c r="OG40" s="163"/>
      <c r="OH40" s="163"/>
      <c r="OI40" s="163"/>
      <c r="OJ40" s="163"/>
      <c r="OK40" s="163"/>
      <c r="OL40" s="163"/>
      <c r="OM40" s="163"/>
      <c r="ON40" s="163"/>
      <c r="OO40" s="163"/>
      <c r="OP40" s="163"/>
      <c r="OQ40" s="163"/>
      <c r="OR40" s="163"/>
      <c r="OX40" s="163"/>
      <c r="PB40" s="164"/>
      <c r="PF40" s="164"/>
      <c r="PJ40" s="164"/>
      <c r="PN40" s="164"/>
      <c r="PR40" s="164"/>
      <c r="PV40" s="164"/>
      <c r="PZ40" s="164"/>
      <c r="QA40" s="158"/>
      <c r="QB40" s="158"/>
      <c r="QD40" s="163"/>
      <c r="QE40" s="158"/>
      <c r="QF40" s="158"/>
      <c r="QG40" s="158"/>
      <c r="QH40" s="158"/>
      <c r="QI40" s="158"/>
      <c r="QJ40" s="158"/>
      <c r="QK40" s="158"/>
      <c r="QL40" s="159"/>
      <c r="QM40" s="158"/>
      <c r="QN40" s="158"/>
      <c r="QO40" s="158"/>
      <c r="QP40" s="158"/>
      <c r="QQ40" s="158"/>
      <c r="QR40" s="158"/>
      <c r="QS40" s="159"/>
      <c r="QT40" s="158"/>
      <c r="QU40" s="158"/>
      <c r="QV40" s="158"/>
      <c r="QW40" s="158"/>
      <c r="QX40" s="158"/>
      <c r="QY40" s="158"/>
      <c r="QZ40" s="159"/>
      <c r="RA40" s="158"/>
      <c r="RB40" s="158"/>
      <c r="RC40" s="158"/>
      <c r="RD40" s="158"/>
      <c r="RE40" s="158"/>
      <c r="RF40" s="158"/>
      <c r="RG40" s="159"/>
      <c r="RH40" s="158"/>
      <c r="RI40" s="158"/>
      <c r="RJ40" s="158"/>
      <c r="RK40" s="158"/>
      <c r="RL40" s="158"/>
      <c r="RM40" s="158"/>
      <c r="RN40" s="159"/>
      <c r="RO40" s="158"/>
      <c r="RP40" s="158"/>
      <c r="RQ40" s="158"/>
      <c r="RR40" s="158"/>
      <c r="RS40" s="158"/>
      <c r="RT40" s="158"/>
      <c r="RU40" s="159"/>
      <c r="RV40" s="158"/>
      <c r="RW40" s="158"/>
      <c r="RX40" s="158"/>
      <c r="RY40" s="158"/>
      <c r="RZ40" s="158"/>
      <c r="SA40" s="158"/>
      <c r="SB40" s="158"/>
      <c r="SC40" s="159"/>
      <c r="SD40" s="158"/>
      <c r="SE40" s="158"/>
      <c r="SF40" s="158"/>
      <c r="SG40" s="159"/>
      <c r="SH40" s="158"/>
      <c r="SI40" s="158"/>
      <c r="SJ40" s="158"/>
      <c r="SK40" s="158"/>
      <c r="SL40" s="158"/>
      <c r="SM40" s="158"/>
      <c r="SN40" s="159"/>
      <c r="SO40" s="158"/>
      <c r="SP40" s="158"/>
      <c r="SQ40" s="158"/>
      <c r="SR40" s="159"/>
      <c r="SS40" s="158"/>
      <c r="ST40" s="158"/>
      <c r="SU40" s="159"/>
      <c r="SV40" s="158"/>
      <c r="SW40" s="158"/>
      <c r="SX40" s="159"/>
      <c r="SY40" s="158"/>
      <c r="SZ40" s="158"/>
      <c r="TA40" s="159"/>
      <c r="TB40" s="158"/>
      <c r="TC40" s="158"/>
      <c r="TD40" s="158"/>
      <c r="TE40" s="158"/>
      <c r="TF40" s="158"/>
      <c r="TG40" s="158"/>
      <c r="TP40" s="158"/>
      <c r="TQ40" s="158"/>
      <c r="TR40" s="158"/>
      <c r="UC40" s="165"/>
    </row>
    <row r="41" spans="1:549" x14ac:dyDescent="0.25">
      <c r="A41" s="154"/>
      <c r="B41" s="155"/>
      <c r="C41" s="156"/>
      <c r="D41" s="157"/>
      <c r="E41" s="158"/>
      <c r="F41" s="158"/>
      <c r="G41" s="158"/>
      <c r="H41" s="159"/>
      <c r="I41" s="158"/>
      <c r="J41" s="158"/>
      <c r="K41" s="158"/>
      <c r="L41" s="159"/>
      <c r="M41" s="158"/>
      <c r="N41" s="158"/>
      <c r="O41" s="159"/>
      <c r="P41" s="158"/>
      <c r="Q41" s="158"/>
      <c r="R41" s="158"/>
      <c r="S41" s="158"/>
      <c r="T41" s="159"/>
      <c r="U41" s="158"/>
      <c r="V41" s="158"/>
      <c r="W41" s="158"/>
      <c r="X41" s="159"/>
      <c r="Y41" s="158"/>
      <c r="Z41" s="158"/>
      <c r="AA41" s="159"/>
      <c r="AB41" s="158"/>
      <c r="AC41" s="158"/>
      <c r="AD41" s="159"/>
      <c r="AE41" s="158"/>
      <c r="AF41" s="158"/>
      <c r="AG41" s="158"/>
      <c r="AH41" s="159"/>
      <c r="AI41" s="158"/>
      <c r="AJ41" s="158"/>
      <c r="AK41" s="158"/>
      <c r="AL41" s="159"/>
      <c r="AM41" s="158"/>
      <c r="AN41" s="158"/>
      <c r="AO41" s="158"/>
      <c r="AP41" s="159"/>
      <c r="AQ41" s="158"/>
      <c r="AR41" s="158"/>
      <c r="AS41" s="158"/>
      <c r="AT41" s="158"/>
      <c r="AU41" s="159"/>
      <c r="AV41" s="158"/>
      <c r="AW41" s="158"/>
      <c r="AX41" s="158"/>
      <c r="AY41" s="158"/>
      <c r="AZ41" s="158"/>
      <c r="BA41" s="158"/>
      <c r="BB41" s="158"/>
      <c r="BC41" s="158"/>
      <c r="BD41" s="159"/>
      <c r="BE41" s="158"/>
      <c r="BF41" s="158"/>
      <c r="BG41" s="158"/>
      <c r="BH41" s="158"/>
      <c r="BI41" s="158"/>
      <c r="BJ41" s="158"/>
      <c r="BK41" s="158"/>
      <c r="BL41" s="159"/>
      <c r="BM41" s="158"/>
      <c r="BN41" s="158"/>
      <c r="BO41" s="158"/>
      <c r="BP41" s="158"/>
      <c r="BQ41" s="158"/>
      <c r="BR41" s="158"/>
      <c r="BS41" s="159"/>
      <c r="BT41" s="158"/>
      <c r="BU41" s="158"/>
      <c r="BV41" s="158"/>
      <c r="BW41" s="159"/>
      <c r="BX41" s="158"/>
      <c r="BY41" s="158"/>
      <c r="BZ41" s="159"/>
      <c r="CA41" s="158"/>
      <c r="CB41" s="158"/>
      <c r="CC41" s="159"/>
      <c r="CD41" s="158"/>
      <c r="CE41" s="158"/>
      <c r="CF41" s="158"/>
      <c r="CG41" s="158"/>
      <c r="CH41" s="158"/>
      <c r="CI41" s="158"/>
      <c r="CJ41" s="158"/>
      <c r="CK41" s="158"/>
      <c r="CL41" s="159"/>
      <c r="CM41" s="158"/>
      <c r="CN41" s="158"/>
      <c r="CO41" s="158"/>
      <c r="CP41" s="158"/>
      <c r="CQ41" s="159"/>
      <c r="CR41" s="158"/>
      <c r="CS41" s="158"/>
      <c r="CT41" s="158"/>
      <c r="CU41" s="158"/>
      <c r="CV41" s="158"/>
      <c r="CW41" s="158"/>
      <c r="CX41" s="159"/>
      <c r="CY41" s="158"/>
      <c r="CZ41" s="158"/>
      <c r="DA41" s="158"/>
      <c r="DB41" s="159"/>
      <c r="DC41" s="158"/>
      <c r="DD41" s="158"/>
      <c r="DE41" s="159"/>
      <c r="DF41" s="158"/>
      <c r="DG41" s="158"/>
      <c r="DH41" s="159"/>
      <c r="DI41" s="158"/>
      <c r="DJ41" s="158"/>
      <c r="DK41" s="159"/>
      <c r="DL41" s="158"/>
      <c r="DM41" s="158"/>
      <c r="DN41" s="158"/>
      <c r="DO41" s="158"/>
      <c r="DP41" s="158"/>
      <c r="DQ41" s="158"/>
      <c r="DR41" s="158"/>
      <c r="DS41" s="158"/>
      <c r="DT41" s="158"/>
      <c r="DU41" s="158"/>
      <c r="DV41" s="158"/>
      <c r="DW41" s="159"/>
      <c r="DX41" s="158"/>
      <c r="DY41" s="158"/>
      <c r="DZ41" s="158"/>
      <c r="EA41" s="159"/>
      <c r="EB41" s="158"/>
      <c r="EC41" s="158"/>
      <c r="ED41" s="158"/>
      <c r="EE41" s="158"/>
      <c r="EF41" s="158"/>
      <c r="EG41" s="158"/>
      <c r="EH41" s="159"/>
      <c r="EI41" s="158"/>
      <c r="EJ41" s="158"/>
      <c r="EK41" s="158"/>
      <c r="EL41" s="159"/>
      <c r="EM41" s="158"/>
      <c r="EN41" s="158"/>
      <c r="EO41" s="159"/>
      <c r="EP41" s="158"/>
      <c r="EQ41" s="158"/>
      <c r="ER41" s="159"/>
      <c r="ES41" s="158"/>
      <c r="ET41" s="158"/>
      <c r="EU41" s="159"/>
      <c r="EV41" s="158"/>
      <c r="EW41" s="158"/>
      <c r="EX41" s="158"/>
      <c r="EY41" s="158"/>
      <c r="EZ41" s="158"/>
      <c r="FA41" s="158"/>
      <c r="FB41" s="158"/>
      <c r="FC41" s="158"/>
      <c r="FD41" s="158"/>
      <c r="FE41" s="158"/>
      <c r="FF41" s="158"/>
      <c r="FG41" s="159"/>
      <c r="FH41" s="158"/>
      <c r="FI41" s="158"/>
      <c r="FJ41" s="158"/>
      <c r="FK41" s="159"/>
      <c r="FL41" s="158"/>
      <c r="FM41" s="158"/>
      <c r="FN41" s="158"/>
      <c r="FO41" s="158"/>
      <c r="FP41" s="158"/>
      <c r="FQ41" s="158"/>
      <c r="FR41" s="159"/>
      <c r="FS41" s="158"/>
      <c r="FT41" s="158"/>
      <c r="FU41" s="158"/>
      <c r="FV41" s="159"/>
      <c r="FW41" s="158"/>
      <c r="FX41" s="158"/>
      <c r="FY41" s="159"/>
      <c r="FZ41" s="158"/>
      <c r="GA41" s="158"/>
      <c r="GB41" s="159"/>
      <c r="GC41" s="158"/>
      <c r="GD41" s="158"/>
      <c r="GE41" s="159"/>
      <c r="GF41" s="158"/>
      <c r="GG41" s="158"/>
      <c r="GH41" s="158"/>
      <c r="GI41" s="158"/>
      <c r="GJ41" s="158"/>
      <c r="GK41" s="160"/>
      <c r="GL41" s="160"/>
      <c r="GM41" s="160"/>
      <c r="GN41" s="161"/>
      <c r="GO41" s="158"/>
      <c r="GP41" s="158"/>
      <c r="GQ41" s="158"/>
      <c r="GR41" s="159"/>
      <c r="GS41" s="158"/>
      <c r="GT41" s="158"/>
      <c r="GU41" s="158"/>
      <c r="GV41" s="158"/>
      <c r="GW41" s="159"/>
      <c r="GX41" s="158"/>
      <c r="GY41" s="158"/>
      <c r="GZ41" s="158"/>
      <c r="HA41" s="158"/>
      <c r="HB41" s="159"/>
      <c r="HC41" s="158"/>
      <c r="HD41" s="158"/>
      <c r="HE41" s="158"/>
      <c r="HF41" s="158"/>
      <c r="HG41" s="159"/>
      <c r="HH41" s="158"/>
      <c r="HI41" s="158"/>
      <c r="HJ41" s="158"/>
      <c r="HK41" s="158"/>
      <c r="HL41" s="159"/>
      <c r="HM41" s="158"/>
      <c r="HN41" s="158"/>
      <c r="HO41" s="158"/>
      <c r="HP41" s="158"/>
      <c r="HQ41" s="159"/>
      <c r="HR41" s="158"/>
      <c r="HS41" s="160"/>
      <c r="HT41" s="160"/>
      <c r="HU41" s="160"/>
      <c r="HV41" s="161"/>
      <c r="HW41" s="158"/>
      <c r="HX41" s="158"/>
      <c r="HY41" s="158"/>
      <c r="HZ41" s="159"/>
      <c r="IA41" s="158"/>
      <c r="IB41" s="158"/>
      <c r="IC41" s="158"/>
      <c r="ID41" s="158"/>
      <c r="IE41" s="159"/>
      <c r="IF41" s="158"/>
      <c r="IG41" s="158"/>
      <c r="IH41" s="158"/>
      <c r="II41" s="158"/>
      <c r="IJ41" s="159"/>
      <c r="IK41" s="158"/>
      <c r="IL41" s="158"/>
      <c r="IM41" s="158"/>
      <c r="IN41" s="158"/>
      <c r="IO41" s="159"/>
      <c r="IP41" s="158"/>
      <c r="IQ41" s="158"/>
      <c r="IR41" s="158"/>
      <c r="IS41" s="158"/>
      <c r="IT41" s="159"/>
      <c r="IU41" s="158"/>
      <c r="IV41" s="158"/>
      <c r="IW41" s="158"/>
      <c r="IX41" s="159"/>
      <c r="IY41" s="158"/>
      <c r="IZ41" s="158"/>
      <c r="JA41" s="158"/>
      <c r="JB41" s="159"/>
      <c r="JC41" s="158"/>
      <c r="JD41" s="158"/>
      <c r="JE41" s="158"/>
      <c r="JF41" s="159"/>
      <c r="JG41" s="158"/>
      <c r="JH41" s="158"/>
      <c r="JI41" s="158"/>
      <c r="JJ41" s="158"/>
      <c r="JK41" s="158"/>
      <c r="JL41" s="158"/>
      <c r="JM41" s="158"/>
      <c r="JN41" s="158"/>
      <c r="JO41" s="158"/>
      <c r="JP41" s="158"/>
      <c r="JQ41" s="158"/>
      <c r="JR41" s="158"/>
      <c r="JS41" s="158"/>
      <c r="JT41" s="158"/>
      <c r="JU41" s="158"/>
      <c r="JV41" s="158"/>
      <c r="JW41" s="158"/>
      <c r="JX41" s="158"/>
      <c r="JY41" s="158"/>
      <c r="JZ41" s="158"/>
      <c r="KA41" s="158"/>
      <c r="KB41" s="158"/>
      <c r="KC41" s="158"/>
      <c r="KD41" s="158"/>
      <c r="KE41" s="158"/>
      <c r="KF41" s="158"/>
      <c r="KG41" s="158"/>
      <c r="KH41" s="158"/>
      <c r="KI41" s="158"/>
      <c r="KJ41" s="158"/>
      <c r="KK41" s="158"/>
      <c r="KL41" s="158"/>
      <c r="KM41" s="158"/>
      <c r="KN41" s="158"/>
      <c r="KO41" s="158"/>
      <c r="KP41" s="158"/>
      <c r="KQ41" s="158"/>
      <c r="KR41" s="158"/>
      <c r="KS41" s="158"/>
      <c r="KT41" s="158"/>
      <c r="KU41" s="158"/>
      <c r="KV41" s="158"/>
      <c r="KW41" s="158"/>
      <c r="KX41" s="158"/>
      <c r="KY41" s="158"/>
      <c r="KZ41" s="159"/>
      <c r="LA41" s="158"/>
      <c r="LB41" s="158"/>
      <c r="LC41" s="158"/>
      <c r="LD41" s="159"/>
      <c r="LE41" s="158"/>
      <c r="LF41" s="158"/>
      <c r="LG41" s="158"/>
      <c r="LH41" s="159"/>
      <c r="LI41" s="158"/>
      <c r="LJ41" s="158"/>
      <c r="LK41" s="158"/>
      <c r="LL41" s="159"/>
      <c r="LM41" s="158"/>
      <c r="LN41" s="158"/>
      <c r="LO41" s="158"/>
      <c r="LP41" s="159"/>
      <c r="LQ41" s="158"/>
      <c r="LR41" s="158"/>
      <c r="LS41" s="158"/>
      <c r="LT41" s="159"/>
      <c r="LU41" s="159"/>
      <c r="LV41" s="159"/>
      <c r="LW41" s="159"/>
      <c r="LX41" s="159"/>
      <c r="LY41" s="158"/>
      <c r="LZ41" s="158"/>
      <c r="MA41" s="158"/>
      <c r="MB41" s="159"/>
      <c r="MC41" s="158"/>
      <c r="MD41" s="159"/>
      <c r="ME41" s="158"/>
      <c r="MF41" s="159"/>
      <c r="MG41" s="158"/>
      <c r="MH41" s="159"/>
      <c r="MI41" s="158"/>
      <c r="MJ41" s="159"/>
      <c r="MK41" s="158"/>
      <c r="ML41" s="159"/>
      <c r="MM41" s="158"/>
      <c r="MN41" s="158"/>
      <c r="MO41" s="158"/>
      <c r="MP41" s="158"/>
      <c r="MQ41" s="158"/>
      <c r="MR41" s="158"/>
      <c r="MS41" s="158"/>
      <c r="MT41" s="158"/>
      <c r="MU41" s="158"/>
      <c r="MV41" s="158"/>
      <c r="MW41" s="159"/>
      <c r="MX41" s="158"/>
      <c r="MY41" s="158"/>
      <c r="MZ41" s="158"/>
      <c r="NA41" s="159"/>
      <c r="NB41" s="158"/>
      <c r="NC41" s="158"/>
      <c r="ND41" s="158"/>
      <c r="NE41" s="159"/>
      <c r="NF41" s="158"/>
      <c r="NG41" s="158"/>
      <c r="NH41" s="158"/>
      <c r="NI41" s="159"/>
      <c r="NJ41" s="158"/>
      <c r="NK41" s="158"/>
      <c r="NL41" s="158"/>
      <c r="NM41" s="159"/>
      <c r="NN41" s="158"/>
      <c r="NO41" s="158"/>
      <c r="NP41" s="158"/>
      <c r="NQ41" s="159"/>
      <c r="NR41" s="158"/>
      <c r="NS41" s="158"/>
      <c r="NT41" s="158"/>
      <c r="NU41" s="159"/>
      <c r="NV41" s="162"/>
      <c r="NW41" s="162"/>
      <c r="NX41" s="162"/>
      <c r="NY41" s="161"/>
      <c r="NZ41" s="162"/>
      <c r="OA41" s="162"/>
      <c r="OB41" s="162"/>
      <c r="OC41" s="161"/>
      <c r="OD41" s="163"/>
      <c r="OE41" s="163"/>
      <c r="OF41" s="163"/>
      <c r="OG41" s="163"/>
      <c r="OH41" s="163"/>
      <c r="OI41" s="163"/>
      <c r="OJ41" s="163"/>
      <c r="OK41" s="163"/>
      <c r="OL41" s="163"/>
      <c r="OM41" s="163"/>
      <c r="ON41" s="163"/>
      <c r="OO41" s="163"/>
      <c r="OP41" s="163"/>
      <c r="OQ41" s="163"/>
      <c r="OR41" s="163"/>
      <c r="OX41" s="163"/>
      <c r="PB41" s="164"/>
      <c r="PF41" s="164"/>
      <c r="PJ41" s="164"/>
      <c r="PN41" s="164"/>
      <c r="PR41" s="164"/>
      <c r="PV41" s="164"/>
      <c r="PZ41" s="164"/>
      <c r="QA41" s="158"/>
      <c r="QB41" s="158"/>
      <c r="QD41" s="163"/>
      <c r="QE41" s="158"/>
      <c r="QF41" s="158"/>
      <c r="QG41" s="158"/>
      <c r="QH41" s="158"/>
      <c r="QI41" s="158"/>
      <c r="QJ41" s="158"/>
      <c r="QK41" s="158"/>
      <c r="QL41" s="159"/>
      <c r="QM41" s="158"/>
      <c r="QN41" s="158"/>
      <c r="QO41" s="158"/>
      <c r="QP41" s="158"/>
      <c r="QQ41" s="158"/>
      <c r="QR41" s="158"/>
      <c r="QS41" s="159"/>
      <c r="QT41" s="158"/>
      <c r="QU41" s="158"/>
      <c r="QV41" s="158"/>
      <c r="QW41" s="158"/>
      <c r="QX41" s="158"/>
      <c r="QY41" s="158"/>
      <c r="QZ41" s="159"/>
      <c r="RA41" s="158"/>
      <c r="RB41" s="158"/>
      <c r="RC41" s="158"/>
      <c r="RD41" s="158"/>
      <c r="RE41" s="158"/>
      <c r="RF41" s="158"/>
      <c r="RG41" s="159"/>
      <c r="RH41" s="158"/>
      <c r="RI41" s="158"/>
      <c r="RJ41" s="158"/>
      <c r="RK41" s="158"/>
      <c r="RL41" s="158"/>
      <c r="RM41" s="158"/>
      <c r="RN41" s="159"/>
      <c r="RO41" s="158"/>
      <c r="RP41" s="158"/>
      <c r="RQ41" s="158"/>
      <c r="RR41" s="158"/>
      <c r="RS41" s="158"/>
      <c r="RT41" s="158"/>
      <c r="RU41" s="159"/>
      <c r="RV41" s="158"/>
      <c r="RW41" s="158"/>
      <c r="RX41" s="158"/>
      <c r="RY41" s="158"/>
      <c r="RZ41" s="158"/>
      <c r="SA41" s="158"/>
      <c r="SB41" s="158"/>
      <c r="SC41" s="159"/>
      <c r="SD41" s="158"/>
      <c r="SE41" s="158"/>
      <c r="SF41" s="158"/>
      <c r="SG41" s="159"/>
      <c r="SH41" s="158"/>
      <c r="SI41" s="158"/>
      <c r="SJ41" s="158"/>
      <c r="SK41" s="158"/>
      <c r="SL41" s="158"/>
      <c r="SM41" s="158"/>
      <c r="SN41" s="159"/>
      <c r="SO41" s="158"/>
      <c r="SP41" s="158"/>
      <c r="SQ41" s="158"/>
      <c r="SR41" s="159"/>
      <c r="SS41" s="158"/>
      <c r="ST41" s="158"/>
      <c r="SU41" s="159"/>
      <c r="SV41" s="158"/>
      <c r="SW41" s="158"/>
      <c r="SX41" s="159"/>
      <c r="SY41" s="158"/>
      <c r="SZ41" s="158"/>
      <c r="TA41" s="159"/>
      <c r="TB41" s="158"/>
      <c r="TC41" s="158"/>
      <c r="TD41" s="158"/>
      <c r="TE41" s="158"/>
      <c r="TF41" s="158"/>
      <c r="TG41" s="158"/>
      <c r="TP41" s="158"/>
      <c r="TQ41" s="158"/>
      <c r="TR41" s="158"/>
      <c r="UC41" s="165"/>
    </row>
    <row r="42" spans="1:549" hidden="1" x14ac:dyDescent="0.25">
      <c r="A42" s="154"/>
      <c r="B42" s="155"/>
      <c r="C42" s="156"/>
      <c r="D42" s="157"/>
      <c r="E42" s="158"/>
      <c r="F42" s="158"/>
      <c r="G42" s="158"/>
      <c r="H42" s="159"/>
      <c r="I42" s="158"/>
      <c r="J42" s="158"/>
      <c r="K42" s="158"/>
      <c r="L42" s="159"/>
      <c r="M42" s="158"/>
      <c r="N42" s="158"/>
      <c r="O42" s="159"/>
      <c r="P42" s="158"/>
      <c r="Q42" s="158"/>
      <c r="R42" s="158"/>
      <c r="S42" s="158"/>
      <c r="T42" s="159"/>
      <c r="U42" s="158"/>
      <c r="V42" s="158"/>
      <c r="W42" s="158"/>
      <c r="X42" s="159"/>
      <c r="Y42" s="158"/>
      <c r="Z42" s="158"/>
      <c r="AA42" s="159"/>
      <c r="AB42" s="158"/>
      <c r="AC42" s="158"/>
      <c r="AD42" s="159"/>
      <c r="AE42" s="158"/>
      <c r="AF42" s="158"/>
      <c r="AG42" s="158"/>
      <c r="AH42" s="159"/>
      <c r="AI42" s="158"/>
      <c r="AJ42" s="158"/>
      <c r="AK42" s="158"/>
      <c r="AL42" s="159"/>
      <c r="AM42" s="158"/>
      <c r="AN42" s="158"/>
      <c r="AO42" s="158"/>
      <c r="AP42" s="159"/>
      <c r="AQ42" s="158"/>
      <c r="AR42" s="158"/>
      <c r="AS42" s="158"/>
      <c r="AT42" s="158"/>
      <c r="AU42" s="159"/>
      <c r="AV42" s="158"/>
      <c r="AW42" s="158"/>
      <c r="AX42" s="158"/>
      <c r="AY42" s="158"/>
      <c r="AZ42" s="158"/>
      <c r="BA42" s="158"/>
      <c r="BB42" s="158"/>
      <c r="BC42" s="158"/>
      <c r="BD42" s="159"/>
      <c r="BE42" s="158"/>
      <c r="BF42" s="158"/>
      <c r="BG42" s="158"/>
      <c r="BH42" s="158"/>
      <c r="BI42" s="158"/>
      <c r="BJ42" s="158"/>
      <c r="BK42" s="158"/>
      <c r="BL42" s="159"/>
      <c r="BM42" s="158"/>
      <c r="BN42" s="158"/>
      <c r="BO42" s="158"/>
      <c r="BP42" s="158"/>
      <c r="BQ42" s="158"/>
      <c r="BR42" s="158"/>
      <c r="BS42" s="159"/>
      <c r="BT42" s="158"/>
      <c r="BU42" s="158"/>
      <c r="BV42" s="158"/>
      <c r="BW42" s="159"/>
      <c r="BX42" s="158"/>
      <c r="BY42" s="158"/>
      <c r="BZ42" s="159"/>
      <c r="CA42" s="158"/>
      <c r="CB42" s="158"/>
      <c r="CC42" s="159"/>
      <c r="CD42" s="158"/>
      <c r="CE42" s="158"/>
      <c r="CF42" s="158"/>
      <c r="CG42" s="158"/>
      <c r="CH42" s="158"/>
      <c r="CI42" s="158"/>
      <c r="CJ42" s="158"/>
      <c r="CK42" s="158"/>
      <c r="CL42" s="159"/>
      <c r="CM42" s="158"/>
      <c r="CN42" s="158"/>
      <c r="CO42" s="158"/>
      <c r="CP42" s="158"/>
      <c r="CQ42" s="159"/>
      <c r="CR42" s="158"/>
      <c r="CS42" s="158"/>
      <c r="CT42" s="158"/>
      <c r="CU42" s="158"/>
      <c r="CV42" s="158"/>
      <c r="CW42" s="158"/>
      <c r="CX42" s="159"/>
      <c r="CY42" s="158"/>
      <c r="CZ42" s="158"/>
      <c r="DA42" s="158"/>
      <c r="DB42" s="159"/>
      <c r="DC42" s="158"/>
      <c r="DD42" s="158"/>
      <c r="DE42" s="159"/>
      <c r="DF42" s="158"/>
      <c r="DG42" s="158"/>
      <c r="DH42" s="159"/>
      <c r="DI42" s="158"/>
      <c r="DJ42" s="158"/>
      <c r="DK42" s="159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9"/>
      <c r="DX42" s="158"/>
      <c r="DY42" s="158"/>
      <c r="DZ42" s="158"/>
      <c r="EA42" s="159"/>
      <c r="EB42" s="158"/>
      <c r="EC42" s="158"/>
      <c r="ED42" s="158"/>
      <c r="EE42" s="158"/>
      <c r="EF42" s="158"/>
      <c r="EG42" s="158"/>
      <c r="EH42" s="159"/>
      <c r="EI42" s="158"/>
      <c r="EJ42" s="158"/>
      <c r="EK42" s="158"/>
      <c r="EL42" s="159"/>
      <c r="EM42" s="158"/>
      <c r="EN42" s="158"/>
      <c r="EO42" s="159"/>
      <c r="EP42" s="158"/>
      <c r="EQ42" s="158"/>
      <c r="ER42" s="159"/>
      <c r="ES42" s="158"/>
      <c r="ET42" s="158"/>
      <c r="EU42" s="159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9"/>
      <c r="FH42" s="158"/>
      <c r="FI42" s="158"/>
      <c r="FJ42" s="158"/>
      <c r="FK42" s="159"/>
      <c r="FL42" s="158"/>
      <c r="FM42" s="158"/>
      <c r="FN42" s="158"/>
      <c r="FO42" s="158"/>
      <c r="FP42" s="158"/>
      <c r="FQ42" s="158"/>
      <c r="FR42" s="159"/>
      <c r="FS42" s="158"/>
      <c r="FT42" s="158"/>
      <c r="FU42" s="158"/>
      <c r="FV42" s="159"/>
      <c r="FW42" s="158"/>
      <c r="FX42" s="158"/>
      <c r="FY42" s="159"/>
      <c r="FZ42" s="158"/>
      <c r="GA42" s="158"/>
      <c r="GB42" s="159"/>
      <c r="GC42" s="158"/>
      <c r="GD42" s="158"/>
      <c r="GE42" s="159"/>
      <c r="GF42" s="158"/>
      <c r="GG42" s="158"/>
      <c r="GH42" s="158"/>
      <c r="GI42" s="158"/>
      <c r="GJ42" s="158"/>
      <c r="GK42" s="160"/>
      <c r="GL42" s="160"/>
      <c r="GM42" s="160"/>
      <c r="GN42" s="161"/>
      <c r="GO42" s="158"/>
      <c r="GP42" s="158"/>
      <c r="GQ42" s="158"/>
      <c r="GR42" s="159"/>
      <c r="GS42" s="158"/>
      <c r="GT42" s="158"/>
      <c r="GU42" s="158"/>
      <c r="GV42" s="158"/>
      <c r="GW42" s="159"/>
      <c r="GX42" s="158"/>
      <c r="GY42" s="158"/>
      <c r="GZ42" s="158"/>
      <c r="HA42" s="158"/>
      <c r="HB42" s="159"/>
      <c r="HC42" s="158"/>
      <c r="HD42" s="158"/>
      <c r="HE42" s="158"/>
      <c r="HF42" s="158"/>
      <c r="HG42" s="159"/>
      <c r="HH42" s="158"/>
      <c r="HI42" s="158"/>
      <c r="HJ42" s="158"/>
      <c r="HK42" s="158"/>
      <c r="HL42" s="159"/>
      <c r="HM42" s="158"/>
      <c r="HN42" s="158"/>
      <c r="HO42" s="158"/>
      <c r="HP42" s="158"/>
      <c r="HQ42" s="159"/>
      <c r="HR42" s="158"/>
      <c r="HS42" s="160"/>
      <c r="HT42" s="160"/>
      <c r="HU42" s="160"/>
      <c r="HV42" s="161"/>
      <c r="HW42" s="158"/>
      <c r="HX42" s="158"/>
      <c r="HY42" s="158"/>
      <c r="HZ42" s="159"/>
      <c r="IA42" s="158"/>
      <c r="IB42" s="158"/>
      <c r="IC42" s="158"/>
      <c r="ID42" s="158"/>
      <c r="IE42" s="159"/>
      <c r="IF42" s="158"/>
      <c r="IG42" s="158"/>
      <c r="IH42" s="158"/>
      <c r="II42" s="158"/>
      <c r="IJ42" s="159"/>
      <c r="IK42" s="158"/>
      <c r="IL42" s="158"/>
      <c r="IM42" s="158"/>
      <c r="IN42" s="158"/>
      <c r="IO42" s="159"/>
      <c r="IP42" s="158"/>
      <c r="IQ42" s="158"/>
      <c r="IR42" s="158"/>
      <c r="IS42" s="158"/>
      <c r="IT42" s="159"/>
      <c r="IU42" s="158"/>
      <c r="IV42" s="158"/>
      <c r="IW42" s="158"/>
      <c r="IX42" s="159"/>
      <c r="IY42" s="158"/>
      <c r="IZ42" s="158"/>
      <c r="JA42" s="158"/>
      <c r="JB42" s="159"/>
      <c r="JC42" s="158"/>
      <c r="JD42" s="158"/>
      <c r="JE42" s="158"/>
      <c r="JF42" s="159"/>
      <c r="JG42" s="158"/>
      <c r="JH42" s="158"/>
      <c r="JI42" s="158"/>
      <c r="JJ42" s="158"/>
      <c r="JK42" s="158"/>
      <c r="JL42" s="158"/>
      <c r="JM42" s="158"/>
      <c r="JN42" s="158"/>
      <c r="JO42" s="158"/>
      <c r="JP42" s="158"/>
      <c r="JQ42" s="158"/>
      <c r="JR42" s="158"/>
      <c r="JS42" s="158"/>
      <c r="JT42" s="158"/>
      <c r="JU42" s="158"/>
      <c r="JV42" s="158"/>
      <c r="JW42" s="158"/>
      <c r="JX42" s="158"/>
      <c r="JY42" s="158"/>
      <c r="JZ42" s="158"/>
      <c r="KA42" s="158"/>
      <c r="KB42" s="158"/>
      <c r="KC42" s="158"/>
      <c r="KD42" s="158"/>
      <c r="KE42" s="158"/>
      <c r="KF42" s="158"/>
      <c r="KG42" s="158"/>
      <c r="KH42" s="158"/>
      <c r="KI42" s="158"/>
      <c r="KJ42" s="158"/>
      <c r="KK42" s="158"/>
      <c r="KL42" s="158"/>
      <c r="KM42" s="158"/>
      <c r="KN42" s="158"/>
      <c r="KO42" s="158"/>
      <c r="KP42" s="158"/>
      <c r="KQ42" s="158"/>
      <c r="KR42" s="158"/>
      <c r="KS42" s="158"/>
      <c r="KT42" s="158"/>
      <c r="KU42" s="158"/>
      <c r="KV42" s="158"/>
      <c r="KW42" s="158"/>
      <c r="KX42" s="158"/>
      <c r="KY42" s="158"/>
      <c r="KZ42" s="159"/>
      <c r="LA42" s="158"/>
      <c r="LB42" s="158"/>
      <c r="LC42" s="158"/>
      <c r="LD42" s="159"/>
      <c r="LE42" s="158"/>
      <c r="LF42" s="158"/>
      <c r="LG42" s="158"/>
      <c r="LH42" s="159"/>
      <c r="LI42" s="158"/>
      <c r="LJ42" s="158"/>
      <c r="LK42" s="158"/>
      <c r="LL42" s="159"/>
      <c r="LM42" s="158"/>
      <c r="LN42" s="158"/>
      <c r="LO42" s="158"/>
      <c r="LP42" s="159"/>
      <c r="LQ42" s="158"/>
      <c r="LR42" s="158"/>
      <c r="LS42" s="158"/>
      <c r="LT42" s="159"/>
      <c r="LU42" s="159"/>
      <c r="LV42" s="159"/>
      <c r="LW42" s="159"/>
      <c r="LX42" s="159"/>
      <c r="LY42" s="158"/>
      <c r="LZ42" s="158"/>
      <c r="MA42" s="158"/>
      <c r="MB42" s="159"/>
      <c r="MC42" s="158"/>
      <c r="MD42" s="159"/>
      <c r="ME42" s="158"/>
      <c r="MF42" s="159"/>
      <c r="MG42" s="158"/>
      <c r="MH42" s="159"/>
      <c r="MI42" s="158"/>
      <c r="MJ42" s="159"/>
      <c r="MK42" s="158"/>
      <c r="ML42" s="159"/>
      <c r="MM42" s="158"/>
      <c r="MN42" s="158"/>
      <c r="MO42" s="158"/>
      <c r="MP42" s="158"/>
      <c r="MQ42" s="158"/>
      <c r="MR42" s="158"/>
      <c r="MS42" s="158"/>
      <c r="MT42" s="158"/>
      <c r="MU42" s="158"/>
      <c r="MV42" s="158"/>
      <c r="MW42" s="159"/>
      <c r="MX42" s="158"/>
      <c r="MY42" s="158"/>
      <c r="MZ42" s="158"/>
      <c r="NA42" s="159"/>
      <c r="NB42" s="158"/>
      <c r="NC42" s="158"/>
      <c r="ND42" s="158"/>
      <c r="NE42" s="159"/>
      <c r="NF42" s="158"/>
      <c r="NG42" s="158"/>
      <c r="NH42" s="158"/>
      <c r="NI42" s="159"/>
      <c r="NJ42" s="158"/>
      <c r="NK42" s="158"/>
      <c r="NL42" s="158"/>
      <c r="NM42" s="159"/>
      <c r="NN42" s="158"/>
      <c r="NO42" s="158"/>
      <c r="NP42" s="158"/>
      <c r="NQ42" s="159"/>
      <c r="NR42" s="158"/>
      <c r="NS42" s="158"/>
      <c r="NT42" s="158"/>
      <c r="NU42" s="159"/>
      <c r="NV42" s="162"/>
      <c r="NW42" s="162"/>
      <c r="NX42" s="162"/>
      <c r="NY42" s="161"/>
      <c r="NZ42" s="162"/>
      <c r="OA42" s="162"/>
      <c r="OB42" s="162"/>
      <c r="OC42" s="161"/>
      <c r="OD42" s="163"/>
      <c r="OE42" s="163"/>
      <c r="OF42" s="163"/>
      <c r="OG42" s="163"/>
      <c r="OH42" s="163"/>
      <c r="OI42" s="163"/>
      <c r="OJ42" s="163"/>
      <c r="OK42" s="163"/>
      <c r="OL42" s="163"/>
      <c r="OM42" s="163"/>
      <c r="ON42" s="163"/>
      <c r="OO42" s="163"/>
      <c r="OP42" s="163"/>
      <c r="OQ42" s="163"/>
      <c r="OR42" s="163"/>
      <c r="OX42" s="163"/>
      <c r="PB42" s="164"/>
      <c r="PF42" s="164"/>
      <c r="PJ42" s="164"/>
      <c r="PN42" s="164"/>
      <c r="PR42" s="164"/>
      <c r="PV42" s="164"/>
      <c r="PZ42" s="164"/>
      <c r="QA42" s="158"/>
      <c r="QB42" s="158"/>
      <c r="QD42" s="163"/>
      <c r="QE42" s="158"/>
      <c r="QF42" s="158"/>
      <c r="QG42" s="158"/>
      <c r="QH42" s="158"/>
      <c r="QI42" s="158"/>
      <c r="QJ42" s="158"/>
      <c r="QK42" s="158"/>
      <c r="QL42" s="159"/>
      <c r="QM42" s="158"/>
      <c r="QN42" s="158"/>
      <c r="QO42" s="158"/>
      <c r="QP42" s="158"/>
      <c r="QQ42" s="158"/>
      <c r="QR42" s="158"/>
      <c r="QS42" s="159"/>
      <c r="QT42" s="158"/>
      <c r="QU42" s="158"/>
      <c r="QV42" s="158"/>
      <c r="QW42" s="158"/>
      <c r="QX42" s="158"/>
      <c r="QY42" s="158"/>
      <c r="QZ42" s="159"/>
      <c r="RA42" s="158"/>
      <c r="RB42" s="158"/>
      <c r="RC42" s="158"/>
      <c r="RD42" s="158"/>
      <c r="RE42" s="158"/>
      <c r="RF42" s="158"/>
      <c r="RG42" s="159"/>
      <c r="RH42" s="158"/>
      <c r="RI42" s="158"/>
      <c r="RJ42" s="158"/>
      <c r="RK42" s="158"/>
      <c r="RL42" s="158"/>
      <c r="RM42" s="158"/>
      <c r="RN42" s="159"/>
      <c r="RO42" s="158"/>
      <c r="RP42" s="158"/>
      <c r="RQ42" s="158"/>
      <c r="RR42" s="158"/>
      <c r="RS42" s="158"/>
      <c r="RT42" s="158"/>
      <c r="RU42" s="159"/>
      <c r="RV42" s="158"/>
      <c r="RW42" s="158"/>
      <c r="RX42" s="158"/>
      <c r="RY42" s="158"/>
      <c r="RZ42" s="158"/>
      <c r="SA42" s="158"/>
      <c r="SB42" s="158"/>
      <c r="SC42" s="159"/>
      <c r="SD42" s="158"/>
      <c r="SE42" s="158"/>
      <c r="SF42" s="158"/>
      <c r="SG42" s="159"/>
      <c r="SH42" s="158"/>
      <c r="SI42" s="158"/>
      <c r="SJ42" s="158"/>
      <c r="SK42" s="158"/>
      <c r="SL42" s="158"/>
      <c r="SM42" s="158"/>
      <c r="SN42" s="159"/>
      <c r="SO42" s="158"/>
      <c r="SP42" s="158"/>
      <c r="SQ42" s="158"/>
      <c r="SR42" s="159"/>
      <c r="SS42" s="158"/>
      <c r="ST42" s="158"/>
      <c r="SU42" s="159"/>
      <c r="SV42" s="158"/>
      <c r="SW42" s="158"/>
      <c r="SX42" s="159"/>
      <c r="SY42" s="158"/>
      <c r="SZ42" s="158"/>
      <c r="TA42" s="159"/>
      <c r="TB42" s="158"/>
      <c r="TC42" s="158"/>
      <c r="TD42" s="158"/>
      <c r="TE42" s="158"/>
      <c r="TF42" s="158"/>
      <c r="TG42" s="158"/>
      <c r="TP42" s="158"/>
      <c r="TQ42" s="158"/>
      <c r="TR42" s="158"/>
      <c r="UC42" s="165"/>
    </row>
    <row r="43" spans="1:549" x14ac:dyDescent="0.25">
      <c r="A43" s="154"/>
      <c r="B43" s="155"/>
      <c r="C43" s="156"/>
      <c r="D43" s="157"/>
      <c r="E43" s="158"/>
      <c r="F43" s="158"/>
      <c r="G43" s="158"/>
      <c r="H43" s="159"/>
      <c r="I43" s="158"/>
      <c r="J43" s="158"/>
      <c r="K43" s="158"/>
      <c r="L43" s="159"/>
      <c r="M43" s="158"/>
      <c r="N43" s="158"/>
      <c r="O43" s="159"/>
      <c r="P43" s="158"/>
      <c r="Q43" s="158"/>
      <c r="R43" s="158"/>
      <c r="S43" s="158"/>
      <c r="T43" s="159"/>
      <c r="U43" s="158"/>
      <c r="V43" s="158"/>
      <c r="W43" s="158"/>
      <c r="X43" s="159"/>
      <c r="Y43" s="158"/>
      <c r="Z43" s="158"/>
      <c r="AA43" s="159"/>
      <c r="AB43" s="158"/>
      <c r="AC43" s="158"/>
      <c r="AD43" s="159"/>
      <c r="AE43" s="158"/>
      <c r="AF43" s="158"/>
      <c r="AG43" s="158"/>
      <c r="AH43" s="159"/>
      <c r="AI43" s="158"/>
      <c r="AJ43" s="158"/>
      <c r="AK43" s="158"/>
      <c r="AL43" s="159"/>
      <c r="AM43" s="158"/>
      <c r="AN43" s="158"/>
      <c r="AO43" s="158"/>
      <c r="AP43" s="159"/>
      <c r="AQ43" s="158"/>
      <c r="AR43" s="158"/>
      <c r="AS43" s="158"/>
      <c r="AT43" s="158"/>
      <c r="AU43" s="159"/>
      <c r="AV43" s="158"/>
      <c r="AW43" s="158"/>
      <c r="AX43" s="158"/>
      <c r="AY43" s="158"/>
      <c r="AZ43" s="158"/>
      <c r="BA43" s="158"/>
      <c r="BB43" s="158"/>
      <c r="BC43" s="158"/>
      <c r="BD43" s="159"/>
      <c r="BE43" s="158"/>
      <c r="BF43" s="158"/>
      <c r="BG43" s="158"/>
      <c r="BH43" s="158"/>
      <c r="BI43" s="158"/>
      <c r="BJ43" s="158"/>
      <c r="BK43" s="158"/>
      <c r="BL43" s="159"/>
      <c r="BM43" s="158"/>
      <c r="BN43" s="158"/>
      <c r="BO43" s="158"/>
      <c r="BP43" s="158"/>
      <c r="BQ43" s="158"/>
      <c r="BR43" s="158"/>
      <c r="BS43" s="159"/>
      <c r="BT43" s="158"/>
      <c r="BU43" s="158"/>
      <c r="BV43" s="158"/>
      <c r="BW43" s="159"/>
      <c r="BX43" s="158"/>
      <c r="BY43" s="158"/>
      <c r="BZ43" s="159"/>
      <c r="CA43" s="158"/>
      <c r="CB43" s="158"/>
      <c r="CC43" s="159"/>
      <c r="CD43" s="158"/>
      <c r="CE43" s="158"/>
      <c r="CF43" s="158"/>
      <c r="CG43" s="158"/>
      <c r="CH43" s="158"/>
      <c r="CI43" s="158"/>
      <c r="CJ43" s="158"/>
      <c r="CK43" s="158"/>
      <c r="CL43" s="159"/>
      <c r="CM43" s="158"/>
      <c r="CN43" s="158"/>
      <c r="CO43" s="158"/>
      <c r="CP43" s="158"/>
      <c r="CQ43" s="159"/>
      <c r="CR43" s="158"/>
      <c r="CS43" s="158"/>
      <c r="CT43" s="158"/>
      <c r="CU43" s="158"/>
      <c r="CV43" s="158"/>
      <c r="CW43" s="158"/>
      <c r="CX43" s="159"/>
      <c r="CY43" s="158"/>
      <c r="CZ43" s="158"/>
      <c r="DA43" s="158"/>
      <c r="DB43" s="159"/>
      <c r="DC43" s="158"/>
      <c r="DD43" s="158"/>
      <c r="DE43" s="159"/>
      <c r="DF43" s="158"/>
      <c r="DG43" s="158"/>
      <c r="DH43" s="159"/>
      <c r="DI43" s="158"/>
      <c r="DJ43" s="158"/>
      <c r="DK43" s="159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9"/>
      <c r="DX43" s="158"/>
      <c r="DY43" s="158"/>
      <c r="DZ43" s="158"/>
      <c r="EA43" s="159"/>
      <c r="EB43" s="158"/>
      <c r="EC43" s="158"/>
      <c r="ED43" s="158"/>
      <c r="EE43" s="158"/>
      <c r="EF43" s="158"/>
      <c r="EG43" s="158"/>
      <c r="EH43" s="159"/>
      <c r="EI43" s="158"/>
      <c r="EJ43" s="158"/>
      <c r="EK43" s="158"/>
      <c r="EL43" s="159"/>
      <c r="EM43" s="158"/>
      <c r="EN43" s="158"/>
      <c r="EO43" s="159"/>
      <c r="EP43" s="158"/>
      <c r="EQ43" s="158"/>
      <c r="ER43" s="159"/>
      <c r="ES43" s="158"/>
      <c r="ET43" s="158"/>
      <c r="EU43" s="159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9"/>
      <c r="FH43" s="158"/>
      <c r="FI43" s="158"/>
      <c r="FJ43" s="158"/>
      <c r="FK43" s="159"/>
      <c r="FL43" s="158"/>
      <c r="FM43" s="158"/>
      <c r="FN43" s="158"/>
      <c r="FO43" s="158"/>
      <c r="FP43" s="158"/>
      <c r="FQ43" s="158"/>
      <c r="FR43" s="159"/>
      <c r="FS43" s="158"/>
      <c r="FT43" s="158"/>
      <c r="FU43" s="158"/>
      <c r="FV43" s="159"/>
      <c r="FW43" s="158"/>
      <c r="FX43" s="158"/>
      <c r="FY43" s="159"/>
      <c r="FZ43" s="158"/>
      <c r="GA43" s="158"/>
      <c r="GB43" s="159"/>
      <c r="GC43" s="158"/>
      <c r="GD43" s="158"/>
      <c r="GE43" s="159"/>
      <c r="GF43" s="158"/>
      <c r="GG43" s="158"/>
      <c r="GH43" s="158"/>
      <c r="GI43" s="158"/>
      <c r="GJ43" s="158"/>
      <c r="GK43" s="160"/>
      <c r="GL43" s="160"/>
      <c r="GM43" s="160"/>
      <c r="GN43" s="161"/>
      <c r="GO43" s="158"/>
      <c r="GP43" s="158"/>
      <c r="GQ43" s="158"/>
      <c r="GR43" s="159"/>
      <c r="GS43" s="158"/>
      <c r="GT43" s="158"/>
      <c r="GU43" s="158"/>
      <c r="GV43" s="158"/>
      <c r="GW43" s="159"/>
      <c r="GX43" s="158"/>
      <c r="GY43" s="158"/>
      <c r="GZ43" s="158"/>
      <c r="HA43" s="158"/>
      <c r="HB43" s="159"/>
      <c r="HC43" s="158"/>
      <c r="HD43" s="158"/>
      <c r="HE43" s="158"/>
      <c r="HF43" s="158"/>
      <c r="HG43" s="159"/>
      <c r="HH43" s="158"/>
      <c r="HI43" s="158"/>
      <c r="HJ43" s="158"/>
      <c r="HK43" s="158"/>
      <c r="HL43" s="159"/>
      <c r="HM43" s="158"/>
      <c r="HN43" s="158"/>
      <c r="HO43" s="158"/>
      <c r="HP43" s="158"/>
      <c r="HQ43" s="159"/>
      <c r="HR43" s="158"/>
      <c r="HS43" s="160"/>
      <c r="HT43" s="160"/>
      <c r="HU43" s="160"/>
      <c r="HV43" s="161"/>
      <c r="HW43" s="158"/>
      <c r="HX43" s="158"/>
      <c r="HY43" s="158"/>
      <c r="HZ43" s="159"/>
      <c r="IA43" s="158"/>
      <c r="IB43" s="158"/>
      <c r="IC43" s="158"/>
      <c r="ID43" s="158"/>
      <c r="IE43" s="159"/>
      <c r="IF43" s="158"/>
      <c r="IG43" s="158"/>
      <c r="IH43" s="158"/>
      <c r="II43" s="158"/>
      <c r="IJ43" s="159"/>
      <c r="IK43" s="158"/>
      <c r="IL43" s="158"/>
      <c r="IM43" s="158"/>
      <c r="IN43" s="158"/>
      <c r="IO43" s="159"/>
      <c r="IP43" s="158"/>
      <c r="IQ43" s="158"/>
      <c r="IR43" s="158"/>
      <c r="IS43" s="158"/>
      <c r="IT43" s="159"/>
      <c r="IU43" s="158"/>
      <c r="IV43" s="158"/>
      <c r="IW43" s="158"/>
      <c r="IX43" s="159"/>
      <c r="IY43" s="158"/>
      <c r="IZ43" s="158"/>
      <c r="JA43" s="158"/>
      <c r="JB43" s="159"/>
      <c r="JC43" s="158"/>
      <c r="JD43" s="158"/>
      <c r="JE43" s="158"/>
      <c r="JF43" s="159"/>
      <c r="JG43" s="158"/>
      <c r="JH43" s="158"/>
      <c r="JI43" s="158"/>
      <c r="JJ43" s="158"/>
      <c r="JK43" s="158"/>
      <c r="JL43" s="158"/>
      <c r="JM43" s="158"/>
      <c r="JN43" s="158"/>
      <c r="JO43" s="158"/>
      <c r="JP43" s="158"/>
      <c r="JQ43" s="158"/>
      <c r="JR43" s="158"/>
      <c r="JS43" s="158"/>
      <c r="JT43" s="158"/>
      <c r="JU43" s="158"/>
      <c r="JV43" s="158"/>
      <c r="JW43" s="158"/>
      <c r="JX43" s="158"/>
      <c r="JY43" s="158"/>
      <c r="JZ43" s="158"/>
      <c r="KA43" s="158"/>
      <c r="KB43" s="158"/>
      <c r="KC43" s="158"/>
      <c r="KD43" s="158"/>
      <c r="KE43" s="158"/>
      <c r="KF43" s="158"/>
      <c r="KG43" s="158"/>
      <c r="KH43" s="158"/>
      <c r="KI43" s="158"/>
      <c r="KJ43" s="158"/>
      <c r="KK43" s="158"/>
      <c r="KL43" s="158"/>
      <c r="KM43" s="158"/>
      <c r="KN43" s="158"/>
      <c r="KO43" s="158"/>
      <c r="KP43" s="158"/>
      <c r="KQ43" s="158"/>
      <c r="KR43" s="158"/>
      <c r="KS43" s="158"/>
      <c r="KT43" s="158"/>
      <c r="KU43" s="158"/>
      <c r="KV43" s="158"/>
      <c r="KW43" s="158"/>
      <c r="KX43" s="158"/>
      <c r="KY43" s="158"/>
      <c r="KZ43" s="159"/>
      <c r="LA43" s="158"/>
      <c r="LB43" s="158"/>
      <c r="LC43" s="158"/>
      <c r="LD43" s="159"/>
      <c r="LE43" s="158"/>
      <c r="LF43" s="158"/>
      <c r="LG43" s="158"/>
      <c r="LH43" s="159"/>
      <c r="LI43" s="158"/>
      <c r="LJ43" s="158"/>
      <c r="LK43" s="158"/>
      <c r="LL43" s="159"/>
      <c r="LM43" s="158"/>
      <c r="LN43" s="158"/>
      <c r="LO43" s="158"/>
      <c r="LP43" s="159"/>
      <c r="LQ43" s="158"/>
      <c r="LR43" s="158"/>
      <c r="LS43" s="158"/>
      <c r="LT43" s="159"/>
      <c r="LU43" s="159"/>
      <c r="LV43" s="159"/>
      <c r="LW43" s="159"/>
      <c r="LX43" s="159"/>
      <c r="LY43" s="158"/>
      <c r="LZ43" s="158"/>
      <c r="MA43" s="158"/>
      <c r="MB43" s="159"/>
      <c r="MC43" s="158"/>
      <c r="MD43" s="159"/>
      <c r="ME43" s="158"/>
      <c r="MF43" s="159"/>
      <c r="MG43" s="158"/>
      <c r="MH43" s="159"/>
      <c r="MI43" s="158"/>
      <c r="MJ43" s="159"/>
      <c r="MK43" s="158"/>
      <c r="ML43" s="159"/>
      <c r="MM43" s="158"/>
      <c r="MN43" s="158"/>
      <c r="MO43" s="158"/>
      <c r="MP43" s="158"/>
      <c r="MQ43" s="158"/>
      <c r="MR43" s="158"/>
      <c r="MS43" s="158"/>
      <c r="MT43" s="158"/>
      <c r="MU43" s="158"/>
      <c r="MV43" s="158"/>
      <c r="MW43" s="159"/>
      <c r="MX43" s="158"/>
      <c r="MY43" s="158"/>
      <c r="MZ43" s="158"/>
      <c r="NA43" s="159"/>
      <c r="NB43" s="158"/>
      <c r="NC43" s="158"/>
      <c r="ND43" s="158"/>
      <c r="NE43" s="159"/>
      <c r="NF43" s="158"/>
      <c r="NG43" s="158"/>
      <c r="NH43" s="158"/>
      <c r="NI43" s="159"/>
      <c r="NJ43" s="158"/>
      <c r="NK43" s="158"/>
      <c r="NL43" s="158"/>
      <c r="NM43" s="159"/>
      <c r="NN43" s="158"/>
      <c r="NO43" s="158"/>
      <c r="NP43" s="158"/>
      <c r="NQ43" s="159"/>
      <c r="NR43" s="158"/>
      <c r="NS43" s="158"/>
      <c r="NT43" s="158"/>
      <c r="NU43" s="159"/>
      <c r="NV43" s="162"/>
      <c r="NW43" s="162"/>
      <c r="NX43" s="162"/>
      <c r="NY43" s="161"/>
      <c r="NZ43" s="162"/>
      <c r="OA43" s="162"/>
      <c r="OB43" s="162"/>
      <c r="OC43" s="161"/>
      <c r="OD43" s="163"/>
      <c r="OE43" s="163"/>
      <c r="OF43" s="163"/>
      <c r="OG43" s="163"/>
      <c r="OH43" s="163"/>
      <c r="OI43" s="163"/>
      <c r="OJ43" s="163"/>
      <c r="OK43" s="163"/>
      <c r="OL43" s="163"/>
      <c r="OM43" s="163"/>
      <c r="ON43" s="163"/>
      <c r="OO43" s="163"/>
      <c r="OP43" s="163"/>
      <c r="OQ43" s="163"/>
      <c r="OR43" s="163"/>
      <c r="OV43" s="165"/>
      <c r="OX43" s="163"/>
      <c r="PB43" s="164"/>
      <c r="PF43" s="164"/>
      <c r="PJ43" s="164"/>
      <c r="PN43" s="164"/>
      <c r="PR43" s="164"/>
      <c r="PV43" s="164"/>
      <c r="PZ43" s="164"/>
      <c r="QA43" s="158"/>
      <c r="QB43" s="158"/>
      <c r="QD43" s="163"/>
      <c r="QE43" s="158"/>
      <c r="QF43" s="158"/>
      <c r="QG43" s="158"/>
      <c r="QH43" s="158"/>
      <c r="QI43" s="158"/>
      <c r="QJ43" s="158"/>
      <c r="QK43" s="158"/>
      <c r="QL43" s="159"/>
      <c r="QM43" s="158"/>
      <c r="QN43" s="158"/>
      <c r="QO43" s="158"/>
      <c r="QP43" s="158"/>
      <c r="QQ43" s="158"/>
      <c r="QR43" s="158"/>
      <c r="QS43" s="159"/>
      <c r="QT43" s="158"/>
      <c r="QU43" s="158"/>
      <c r="QV43" s="158"/>
      <c r="QW43" s="158"/>
      <c r="QX43" s="158"/>
      <c r="QY43" s="158"/>
      <c r="QZ43" s="159"/>
      <c r="RA43" s="158"/>
      <c r="RB43" s="158"/>
      <c r="RC43" s="158"/>
      <c r="RD43" s="158"/>
      <c r="RE43" s="158"/>
      <c r="RF43" s="158"/>
      <c r="RG43" s="159"/>
      <c r="RH43" s="158"/>
      <c r="RI43" s="158"/>
      <c r="RJ43" s="158"/>
      <c r="RK43" s="158"/>
      <c r="RL43" s="158"/>
      <c r="RM43" s="158"/>
      <c r="RN43" s="159"/>
      <c r="RO43" s="158"/>
      <c r="RP43" s="158"/>
      <c r="RQ43" s="158"/>
      <c r="RR43" s="158"/>
      <c r="RS43" s="158"/>
      <c r="RT43" s="158"/>
      <c r="RU43" s="159"/>
      <c r="RV43" s="158"/>
      <c r="RW43" s="158"/>
      <c r="RX43" s="158"/>
      <c r="RY43" s="158"/>
      <c r="RZ43" s="158"/>
      <c r="SA43" s="158"/>
      <c r="SB43" s="158"/>
      <c r="SC43" s="159"/>
      <c r="SD43" s="158"/>
      <c r="SE43" s="158"/>
      <c r="SF43" s="158"/>
      <c r="SG43" s="159"/>
      <c r="SH43" s="158"/>
      <c r="SI43" s="158"/>
      <c r="SJ43" s="158"/>
      <c r="SK43" s="158"/>
      <c r="SL43" s="158"/>
      <c r="SM43" s="158"/>
      <c r="SN43" s="159"/>
      <c r="SO43" s="158"/>
      <c r="SP43" s="158"/>
      <c r="SQ43" s="158"/>
      <c r="SR43" s="159"/>
      <c r="SS43" s="158"/>
      <c r="ST43" s="158"/>
      <c r="SU43" s="159"/>
      <c r="SV43" s="158"/>
      <c r="SW43" s="158"/>
      <c r="SX43" s="159"/>
      <c r="SY43" s="158"/>
      <c r="SZ43" s="158"/>
      <c r="TA43" s="159"/>
      <c r="TB43" s="158"/>
      <c r="TC43" s="158"/>
      <c r="TD43" s="158"/>
      <c r="TE43" s="158"/>
      <c r="TF43" s="158"/>
      <c r="TG43" s="158"/>
      <c r="TP43" s="158"/>
      <c r="TQ43" s="158"/>
      <c r="TR43" s="158"/>
      <c r="UC43" s="165"/>
    </row>
    <row r="44" spans="1:549" hidden="1" x14ac:dyDescent="0.25">
      <c r="A44" s="154"/>
      <c r="B44" s="155"/>
      <c r="C44" s="156"/>
      <c r="D44" s="157"/>
      <c r="E44" s="158"/>
      <c r="F44" s="158"/>
      <c r="G44" s="158"/>
      <c r="H44" s="159"/>
      <c r="I44" s="158"/>
      <c r="J44" s="158"/>
      <c r="K44" s="158"/>
      <c r="L44" s="159"/>
      <c r="M44" s="158"/>
      <c r="N44" s="158"/>
      <c r="O44" s="159"/>
      <c r="P44" s="158"/>
      <c r="Q44" s="158"/>
      <c r="R44" s="158"/>
      <c r="S44" s="158"/>
      <c r="T44" s="159"/>
      <c r="U44" s="158"/>
      <c r="V44" s="158"/>
      <c r="W44" s="158"/>
      <c r="X44" s="159"/>
      <c r="Y44" s="158"/>
      <c r="Z44" s="158"/>
      <c r="AA44" s="159"/>
      <c r="AB44" s="158"/>
      <c r="AC44" s="158"/>
      <c r="AD44" s="159"/>
      <c r="AE44" s="158"/>
      <c r="AF44" s="158"/>
      <c r="AG44" s="158"/>
      <c r="AH44" s="159"/>
      <c r="AI44" s="158"/>
      <c r="AJ44" s="158"/>
      <c r="AK44" s="158"/>
      <c r="AL44" s="159"/>
      <c r="AM44" s="158"/>
      <c r="AN44" s="158"/>
      <c r="AO44" s="158"/>
      <c r="AP44" s="159"/>
      <c r="AQ44" s="158"/>
      <c r="AR44" s="158"/>
      <c r="AS44" s="158"/>
      <c r="AT44" s="158"/>
      <c r="AU44" s="159"/>
      <c r="AV44" s="158"/>
      <c r="AW44" s="158"/>
      <c r="AX44" s="158"/>
      <c r="AY44" s="158"/>
      <c r="AZ44" s="158"/>
      <c r="BA44" s="158"/>
      <c r="BB44" s="158"/>
      <c r="BC44" s="158"/>
      <c r="BD44" s="159"/>
      <c r="BE44" s="158"/>
      <c r="BF44" s="158"/>
      <c r="BG44" s="158"/>
      <c r="BH44" s="158"/>
      <c r="BI44" s="158"/>
      <c r="BJ44" s="158"/>
      <c r="BK44" s="158"/>
      <c r="BL44" s="159"/>
      <c r="BM44" s="158"/>
      <c r="BN44" s="158"/>
      <c r="BO44" s="158"/>
      <c r="BP44" s="158"/>
      <c r="BQ44" s="158"/>
      <c r="BR44" s="158"/>
      <c r="BS44" s="159"/>
      <c r="BT44" s="158"/>
      <c r="BU44" s="158"/>
      <c r="BV44" s="158"/>
      <c r="BW44" s="159"/>
      <c r="BX44" s="158"/>
      <c r="BY44" s="158"/>
      <c r="BZ44" s="159"/>
      <c r="CA44" s="158"/>
      <c r="CB44" s="158"/>
      <c r="CC44" s="159"/>
      <c r="CD44" s="158"/>
      <c r="CE44" s="158"/>
      <c r="CF44" s="158"/>
      <c r="CG44" s="158"/>
      <c r="CH44" s="158"/>
      <c r="CI44" s="158"/>
      <c r="CJ44" s="158"/>
      <c r="CK44" s="158"/>
      <c r="CL44" s="159"/>
      <c r="CM44" s="158"/>
      <c r="CN44" s="158"/>
      <c r="CO44" s="158"/>
      <c r="CP44" s="158"/>
      <c r="CQ44" s="159"/>
      <c r="CR44" s="158"/>
      <c r="CS44" s="158"/>
      <c r="CT44" s="158"/>
      <c r="CU44" s="158"/>
      <c r="CV44" s="158"/>
      <c r="CW44" s="158"/>
      <c r="CX44" s="159"/>
      <c r="CY44" s="158"/>
      <c r="CZ44" s="158"/>
      <c r="DA44" s="158"/>
      <c r="DB44" s="159"/>
      <c r="DC44" s="158"/>
      <c r="DD44" s="158"/>
      <c r="DE44" s="159"/>
      <c r="DF44" s="158"/>
      <c r="DG44" s="158"/>
      <c r="DH44" s="159"/>
      <c r="DI44" s="158"/>
      <c r="DJ44" s="158"/>
      <c r="DK44" s="159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9"/>
      <c r="DX44" s="158"/>
      <c r="DY44" s="158"/>
      <c r="DZ44" s="158"/>
      <c r="EA44" s="159"/>
      <c r="EB44" s="158"/>
      <c r="EC44" s="158"/>
      <c r="ED44" s="158"/>
      <c r="EE44" s="158"/>
      <c r="EF44" s="158"/>
      <c r="EG44" s="158"/>
      <c r="EH44" s="159"/>
      <c r="EI44" s="158"/>
      <c r="EJ44" s="158"/>
      <c r="EK44" s="158"/>
      <c r="EL44" s="159"/>
      <c r="EM44" s="158"/>
      <c r="EN44" s="158"/>
      <c r="EO44" s="159"/>
      <c r="EP44" s="158"/>
      <c r="EQ44" s="158"/>
      <c r="ER44" s="159"/>
      <c r="ES44" s="158"/>
      <c r="ET44" s="158"/>
      <c r="EU44" s="159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9"/>
      <c r="FH44" s="158"/>
      <c r="FI44" s="158"/>
      <c r="FJ44" s="158"/>
      <c r="FK44" s="159"/>
      <c r="FL44" s="158"/>
      <c r="FM44" s="158"/>
      <c r="FN44" s="158"/>
      <c r="FO44" s="158"/>
      <c r="FP44" s="158"/>
      <c r="FQ44" s="158"/>
      <c r="FR44" s="159"/>
      <c r="FS44" s="158"/>
      <c r="FT44" s="158"/>
      <c r="FU44" s="158"/>
      <c r="FV44" s="159"/>
      <c r="FW44" s="158"/>
      <c r="FX44" s="158"/>
      <c r="FY44" s="159"/>
      <c r="FZ44" s="158"/>
      <c r="GA44" s="158"/>
      <c r="GB44" s="159"/>
      <c r="GC44" s="158"/>
      <c r="GD44" s="158"/>
      <c r="GE44" s="159"/>
      <c r="GF44" s="158"/>
      <c r="GG44" s="158"/>
      <c r="GH44" s="158"/>
      <c r="GI44" s="158"/>
      <c r="GJ44" s="158"/>
      <c r="GK44" s="160"/>
      <c r="GL44" s="160"/>
      <c r="GM44" s="160"/>
      <c r="GN44" s="161"/>
      <c r="GO44" s="158"/>
      <c r="GP44" s="158"/>
      <c r="GQ44" s="158"/>
      <c r="GR44" s="159"/>
      <c r="GS44" s="158"/>
      <c r="GT44" s="158"/>
      <c r="GU44" s="158"/>
      <c r="GV44" s="158"/>
      <c r="GW44" s="159"/>
      <c r="GX44" s="158"/>
      <c r="GY44" s="158"/>
      <c r="GZ44" s="158"/>
      <c r="HA44" s="158"/>
      <c r="HB44" s="159"/>
      <c r="HC44" s="158"/>
      <c r="HD44" s="158"/>
      <c r="HE44" s="158"/>
      <c r="HF44" s="158"/>
      <c r="HG44" s="159"/>
      <c r="HH44" s="158"/>
      <c r="HI44" s="158"/>
      <c r="HJ44" s="158"/>
      <c r="HK44" s="158"/>
      <c r="HL44" s="159"/>
      <c r="HM44" s="158"/>
      <c r="HN44" s="158"/>
      <c r="HO44" s="158"/>
      <c r="HP44" s="158"/>
      <c r="HQ44" s="159"/>
      <c r="HR44" s="158"/>
      <c r="HS44" s="160"/>
      <c r="HT44" s="160"/>
      <c r="HU44" s="160"/>
      <c r="HV44" s="161"/>
      <c r="HW44" s="158"/>
      <c r="HX44" s="158"/>
      <c r="HY44" s="158"/>
      <c r="HZ44" s="159"/>
      <c r="IA44" s="158"/>
      <c r="IB44" s="158"/>
      <c r="IC44" s="158"/>
      <c r="ID44" s="158"/>
      <c r="IE44" s="159"/>
      <c r="IF44" s="158"/>
      <c r="IG44" s="158"/>
      <c r="IH44" s="158"/>
      <c r="II44" s="158"/>
      <c r="IJ44" s="159"/>
      <c r="IK44" s="158"/>
      <c r="IL44" s="158"/>
      <c r="IM44" s="158"/>
      <c r="IN44" s="158"/>
      <c r="IO44" s="159"/>
      <c r="IP44" s="158"/>
      <c r="IQ44" s="158"/>
      <c r="IR44" s="158"/>
      <c r="IS44" s="158"/>
      <c r="IT44" s="159"/>
      <c r="IU44" s="158"/>
      <c r="IV44" s="158"/>
      <c r="IW44" s="158"/>
      <c r="IX44" s="159"/>
      <c r="IY44" s="158"/>
      <c r="IZ44" s="158"/>
      <c r="JA44" s="158"/>
      <c r="JB44" s="159"/>
      <c r="JC44" s="158"/>
      <c r="JD44" s="158"/>
      <c r="JE44" s="158"/>
      <c r="JF44" s="159"/>
      <c r="JG44" s="158"/>
      <c r="JH44" s="158"/>
      <c r="JI44" s="158"/>
      <c r="JJ44" s="158"/>
      <c r="JK44" s="158"/>
      <c r="JL44" s="158"/>
      <c r="JM44" s="158"/>
      <c r="JN44" s="158"/>
      <c r="JO44" s="158"/>
      <c r="JP44" s="158"/>
      <c r="JQ44" s="158"/>
      <c r="JR44" s="158"/>
      <c r="JS44" s="158"/>
      <c r="JT44" s="158"/>
      <c r="JU44" s="158"/>
      <c r="JV44" s="158"/>
      <c r="JW44" s="158"/>
      <c r="JX44" s="158"/>
      <c r="JY44" s="158"/>
      <c r="JZ44" s="158"/>
      <c r="KA44" s="158"/>
      <c r="KB44" s="158"/>
      <c r="KC44" s="158"/>
      <c r="KD44" s="158"/>
      <c r="KE44" s="158"/>
      <c r="KF44" s="158"/>
      <c r="KG44" s="158"/>
      <c r="KH44" s="158"/>
      <c r="KI44" s="158"/>
      <c r="KJ44" s="158"/>
      <c r="KK44" s="158"/>
      <c r="KL44" s="158"/>
      <c r="KM44" s="158"/>
      <c r="KN44" s="158"/>
      <c r="KO44" s="158"/>
      <c r="KP44" s="158"/>
      <c r="KQ44" s="158"/>
      <c r="KR44" s="158"/>
      <c r="KS44" s="158"/>
      <c r="KT44" s="158"/>
      <c r="KU44" s="158"/>
      <c r="KV44" s="158"/>
      <c r="KW44" s="158"/>
      <c r="KX44" s="158"/>
      <c r="KY44" s="158"/>
      <c r="KZ44" s="159"/>
      <c r="LA44" s="158"/>
      <c r="LB44" s="158"/>
      <c r="LC44" s="158"/>
      <c r="LD44" s="159"/>
      <c r="LE44" s="158"/>
      <c r="LF44" s="158"/>
      <c r="LG44" s="158"/>
      <c r="LH44" s="159"/>
      <c r="LI44" s="158"/>
      <c r="LJ44" s="158"/>
      <c r="LK44" s="158"/>
      <c r="LL44" s="159"/>
      <c r="LM44" s="158"/>
      <c r="LN44" s="158"/>
      <c r="LO44" s="158"/>
      <c r="LP44" s="159"/>
      <c r="LQ44" s="158"/>
      <c r="LR44" s="158"/>
      <c r="LS44" s="158"/>
      <c r="LT44" s="159"/>
      <c r="LU44" s="159"/>
      <c r="LV44" s="159"/>
      <c r="LW44" s="159"/>
      <c r="LX44" s="159"/>
      <c r="LY44" s="158"/>
      <c r="LZ44" s="158"/>
      <c r="MA44" s="158"/>
      <c r="MB44" s="159"/>
      <c r="MC44" s="158"/>
      <c r="MD44" s="159"/>
      <c r="ME44" s="158"/>
      <c r="MF44" s="159"/>
      <c r="MG44" s="158"/>
      <c r="MH44" s="159"/>
      <c r="MI44" s="158"/>
      <c r="MJ44" s="159"/>
      <c r="MK44" s="158"/>
      <c r="ML44" s="159"/>
      <c r="MM44" s="158"/>
      <c r="MN44" s="158"/>
      <c r="MO44" s="158"/>
      <c r="MP44" s="158"/>
      <c r="MQ44" s="158"/>
      <c r="MR44" s="158"/>
      <c r="MS44" s="158"/>
      <c r="MT44" s="158"/>
      <c r="MU44" s="158"/>
      <c r="MV44" s="158"/>
      <c r="MW44" s="159"/>
      <c r="MX44" s="158"/>
      <c r="MY44" s="158"/>
      <c r="MZ44" s="158"/>
      <c r="NA44" s="159"/>
      <c r="NB44" s="158"/>
      <c r="NC44" s="158"/>
      <c r="ND44" s="158"/>
      <c r="NE44" s="159"/>
      <c r="NF44" s="158"/>
      <c r="NG44" s="158"/>
      <c r="NH44" s="158"/>
      <c r="NI44" s="159"/>
      <c r="NJ44" s="158"/>
      <c r="NK44" s="158"/>
      <c r="NL44" s="158"/>
      <c r="NM44" s="159"/>
      <c r="NN44" s="158"/>
      <c r="NO44" s="158"/>
      <c r="NP44" s="158"/>
      <c r="NQ44" s="159"/>
      <c r="NR44" s="158"/>
      <c r="NS44" s="158"/>
      <c r="NT44" s="158"/>
      <c r="NU44" s="159"/>
      <c r="NV44" s="162"/>
      <c r="NW44" s="162"/>
      <c r="NX44" s="162"/>
      <c r="NY44" s="161"/>
      <c r="NZ44" s="162"/>
      <c r="OA44" s="162"/>
      <c r="OB44" s="162"/>
      <c r="OC44" s="161"/>
      <c r="OD44" s="163"/>
      <c r="OE44" s="163"/>
      <c r="OF44" s="163"/>
      <c r="OG44" s="163"/>
      <c r="OH44" s="163"/>
      <c r="OI44" s="163"/>
      <c r="OJ44" s="163"/>
      <c r="OK44" s="163"/>
      <c r="OL44" s="163"/>
      <c r="OM44" s="163"/>
      <c r="ON44" s="163"/>
      <c r="OO44" s="163"/>
      <c r="OP44" s="163"/>
      <c r="OQ44" s="163"/>
      <c r="OR44" s="163"/>
      <c r="OX44" s="163"/>
      <c r="PB44" s="164"/>
      <c r="PF44" s="164"/>
      <c r="PJ44" s="164"/>
      <c r="PN44" s="164"/>
      <c r="PR44" s="164"/>
      <c r="PV44" s="164"/>
      <c r="PZ44" s="164"/>
      <c r="QA44" s="158"/>
      <c r="QB44" s="158"/>
      <c r="QD44" s="163"/>
      <c r="QE44" s="158"/>
      <c r="QF44" s="158"/>
      <c r="QG44" s="158"/>
      <c r="QH44" s="158"/>
      <c r="QI44" s="158"/>
      <c r="QJ44" s="158"/>
      <c r="QK44" s="158"/>
      <c r="QL44" s="159"/>
      <c r="QM44" s="158"/>
      <c r="QN44" s="158"/>
      <c r="QO44" s="158"/>
      <c r="QP44" s="158"/>
      <c r="QQ44" s="158"/>
      <c r="QR44" s="158"/>
      <c r="QS44" s="159"/>
      <c r="QT44" s="158"/>
      <c r="QU44" s="158"/>
      <c r="QV44" s="158"/>
      <c r="QW44" s="158"/>
      <c r="QX44" s="158"/>
      <c r="QY44" s="158"/>
      <c r="QZ44" s="159"/>
      <c r="RA44" s="158"/>
      <c r="RB44" s="158"/>
      <c r="RC44" s="158"/>
      <c r="RD44" s="158"/>
      <c r="RE44" s="158"/>
      <c r="RF44" s="158"/>
      <c r="RG44" s="159"/>
      <c r="RH44" s="158"/>
      <c r="RI44" s="158"/>
      <c r="RJ44" s="158"/>
      <c r="RK44" s="158"/>
      <c r="RL44" s="158"/>
      <c r="RM44" s="158"/>
      <c r="RN44" s="159"/>
      <c r="RO44" s="158"/>
      <c r="RP44" s="158"/>
      <c r="RQ44" s="158"/>
      <c r="RR44" s="158"/>
      <c r="RS44" s="158"/>
      <c r="RT44" s="158"/>
      <c r="RU44" s="159"/>
      <c r="RV44" s="158"/>
      <c r="RW44" s="158"/>
      <c r="RX44" s="158"/>
      <c r="RY44" s="158"/>
      <c r="RZ44" s="158"/>
      <c r="SA44" s="158"/>
      <c r="SB44" s="158"/>
      <c r="SC44" s="159"/>
      <c r="SD44" s="158"/>
      <c r="SE44" s="158"/>
      <c r="SF44" s="158"/>
      <c r="SG44" s="159"/>
      <c r="SH44" s="158"/>
      <c r="SI44" s="158"/>
      <c r="SJ44" s="158"/>
      <c r="SK44" s="158"/>
      <c r="SL44" s="158"/>
      <c r="SM44" s="158"/>
      <c r="SN44" s="159"/>
      <c r="SO44" s="158"/>
      <c r="SP44" s="158"/>
      <c r="SQ44" s="158"/>
      <c r="SR44" s="159"/>
      <c r="SS44" s="158"/>
      <c r="ST44" s="158"/>
      <c r="SU44" s="159"/>
      <c r="SV44" s="158"/>
      <c r="SW44" s="158"/>
      <c r="SX44" s="159"/>
      <c r="SY44" s="158"/>
      <c r="SZ44" s="158"/>
      <c r="TA44" s="159"/>
      <c r="TB44" s="158"/>
      <c r="TC44" s="158"/>
      <c r="TD44" s="158"/>
      <c r="TE44" s="158"/>
      <c r="TF44" s="158"/>
      <c r="TG44" s="158"/>
      <c r="TP44" s="158"/>
      <c r="TQ44" s="158"/>
      <c r="TR44" s="158"/>
      <c r="UC44" s="165"/>
    </row>
    <row r="45" spans="1:549" x14ac:dyDescent="0.25">
      <c r="A45" s="154"/>
      <c r="B45" s="155"/>
      <c r="C45" s="156"/>
      <c r="D45" s="157"/>
      <c r="E45" s="158"/>
      <c r="F45" s="158"/>
      <c r="G45" s="158"/>
      <c r="H45" s="159"/>
      <c r="I45" s="158"/>
      <c r="J45" s="158"/>
      <c r="K45" s="158"/>
      <c r="L45" s="159"/>
      <c r="M45" s="158"/>
      <c r="N45" s="158"/>
      <c r="O45" s="159"/>
      <c r="P45" s="158"/>
      <c r="Q45" s="158"/>
      <c r="R45" s="158"/>
      <c r="S45" s="158"/>
      <c r="T45" s="159"/>
      <c r="U45" s="158"/>
      <c r="V45" s="158"/>
      <c r="W45" s="158"/>
      <c r="X45" s="159"/>
      <c r="Y45" s="158"/>
      <c r="Z45" s="158"/>
      <c r="AA45" s="159"/>
      <c r="AB45" s="158"/>
      <c r="AC45" s="158"/>
      <c r="AD45" s="159"/>
      <c r="AE45" s="158"/>
      <c r="AF45" s="158"/>
      <c r="AG45" s="158"/>
      <c r="AH45" s="159"/>
      <c r="AI45" s="158"/>
      <c r="AJ45" s="158"/>
      <c r="AK45" s="158"/>
      <c r="AL45" s="159"/>
      <c r="AM45" s="158"/>
      <c r="AN45" s="158"/>
      <c r="AO45" s="158"/>
      <c r="AP45" s="159"/>
      <c r="AQ45" s="158"/>
      <c r="AR45" s="158"/>
      <c r="AS45" s="158"/>
      <c r="AT45" s="158"/>
      <c r="AU45" s="159"/>
      <c r="AV45" s="158"/>
      <c r="AW45" s="158"/>
      <c r="AX45" s="158"/>
      <c r="AY45" s="158"/>
      <c r="AZ45" s="158"/>
      <c r="BA45" s="158"/>
      <c r="BB45" s="158"/>
      <c r="BC45" s="158"/>
      <c r="BD45" s="159"/>
      <c r="BE45" s="158"/>
      <c r="BF45" s="158"/>
      <c r="BG45" s="158"/>
      <c r="BH45" s="158"/>
      <c r="BI45" s="158"/>
      <c r="BJ45" s="158"/>
      <c r="BK45" s="158"/>
      <c r="BL45" s="159"/>
      <c r="BM45" s="158"/>
      <c r="BN45" s="158"/>
      <c r="BO45" s="158"/>
      <c r="BP45" s="158"/>
      <c r="BQ45" s="158"/>
      <c r="BR45" s="158"/>
      <c r="BS45" s="159"/>
      <c r="BT45" s="158"/>
      <c r="BU45" s="158"/>
      <c r="BV45" s="158"/>
      <c r="BW45" s="159"/>
      <c r="BX45" s="158"/>
      <c r="BY45" s="158"/>
      <c r="BZ45" s="159"/>
      <c r="CA45" s="158"/>
      <c r="CB45" s="158"/>
      <c r="CC45" s="159"/>
      <c r="CD45" s="158"/>
      <c r="CE45" s="158"/>
      <c r="CF45" s="158"/>
      <c r="CG45" s="158"/>
      <c r="CH45" s="158"/>
      <c r="CI45" s="158"/>
      <c r="CJ45" s="158"/>
      <c r="CK45" s="158"/>
      <c r="CL45" s="159"/>
      <c r="CM45" s="158"/>
      <c r="CN45" s="158"/>
      <c r="CO45" s="158"/>
      <c r="CP45" s="158"/>
      <c r="CQ45" s="159"/>
      <c r="CR45" s="158"/>
      <c r="CS45" s="158"/>
      <c r="CT45" s="158"/>
      <c r="CU45" s="158"/>
      <c r="CV45" s="158"/>
      <c r="CW45" s="158"/>
      <c r="CX45" s="159"/>
      <c r="CY45" s="158"/>
      <c r="CZ45" s="158"/>
      <c r="DA45" s="158"/>
      <c r="DB45" s="159"/>
      <c r="DC45" s="158"/>
      <c r="DD45" s="158"/>
      <c r="DE45" s="159"/>
      <c r="DF45" s="158"/>
      <c r="DG45" s="158"/>
      <c r="DH45" s="159"/>
      <c r="DI45" s="158"/>
      <c r="DJ45" s="158"/>
      <c r="DK45" s="159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9"/>
      <c r="DX45" s="158"/>
      <c r="DY45" s="158"/>
      <c r="DZ45" s="158"/>
      <c r="EA45" s="159"/>
      <c r="EB45" s="158"/>
      <c r="EC45" s="158"/>
      <c r="ED45" s="158"/>
      <c r="EE45" s="158"/>
      <c r="EF45" s="158"/>
      <c r="EG45" s="158"/>
      <c r="EH45" s="159"/>
      <c r="EI45" s="158"/>
      <c r="EJ45" s="158"/>
      <c r="EK45" s="158"/>
      <c r="EL45" s="159"/>
      <c r="EM45" s="158"/>
      <c r="EN45" s="158"/>
      <c r="EO45" s="159"/>
      <c r="EP45" s="158"/>
      <c r="EQ45" s="158"/>
      <c r="ER45" s="159"/>
      <c r="ES45" s="158"/>
      <c r="ET45" s="158"/>
      <c r="EU45" s="159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9"/>
      <c r="FH45" s="158"/>
      <c r="FI45" s="158"/>
      <c r="FJ45" s="158"/>
      <c r="FK45" s="159"/>
      <c r="FL45" s="158"/>
      <c r="FM45" s="158"/>
      <c r="FN45" s="158"/>
      <c r="FO45" s="158"/>
      <c r="FP45" s="158"/>
      <c r="FQ45" s="158"/>
      <c r="FR45" s="159"/>
      <c r="FS45" s="158"/>
      <c r="FT45" s="158"/>
      <c r="FU45" s="158"/>
      <c r="FV45" s="159"/>
      <c r="FW45" s="158"/>
      <c r="FX45" s="158"/>
      <c r="FY45" s="159"/>
      <c r="FZ45" s="158"/>
      <c r="GA45" s="158"/>
      <c r="GB45" s="159"/>
      <c r="GC45" s="158"/>
      <c r="GD45" s="158"/>
      <c r="GE45" s="159"/>
      <c r="GF45" s="158"/>
      <c r="GG45" s="158"/>
      <c r="GH45" s="158"/>
      <c r="GI45" s="158"/>
      <c r="GJ45" s="158"/>
      <c r="GK45" s="160"/>
      <c r="GL45" s="160"/>
      <c r="GM45" s="160"/>
      <c r="GN45" s="161"/>
      <c r="GO45" s="158"/>
      <c r="GP45" s="158"/>
      <c r="GQ45" s="158"/>
      <c r="GR45" s="159"/>
      <c r="GS45" s="158"/>
      <c r="GT45" s="158"/>
      <c r="GU45" s="158"/>
      <c r="GV45" s="158"/>
      <c r="GW45" s="159"/>
      <c r="GX45" s="158"/>
      <c r="GY45" s="158"/>
      <c r="GZ45" s="158"/>
      <c r="HA45" s="158"/>
      <c r="HB45" s="159"/>
      <c r="HC45" s="158"/>
      <c r="HD45" s="158"/>
      <c r="HE45" s="158"/>
      <c r="HF45" s="158"/>
      <c r="HG45" s="159"/>
      <c r="HH45" s="158"/>
      <c r="HI45" s="158"/>
      <c r="HJ45" s="158"/>
      <c r="HK45" s="158"/>
      <c r="HL45" s="159"/>
      <c r="HM45" s="158"/>
      <c r="HN45" s="158"/>
      <c r="HO45" s="158"/>
      <c r="HP45" s="158"/>
      <c r="HQ45" s="159"/>
      <c r="HR45" s="158"/>
      <c r="HS45" s="160"/>
      <c r="HT45" s="160"/>
      <c r="HU45" s="160"/>
      <c r="HV45" s="161"/>
      <c r="HW45" s="158"/>
      <c r="HX45" s="158"/>
      <c r="HY45" s="158"/>
      <c r="HZ45" s="159"/>
      <c r="IA45" s="158"/>
      <c r="IB45" s="158"/>
      <c r="IC45" s="158"/>
      <c r="ID45" s="158"/>
      <c r="IE45" s="159"/>
      <c r="IF45" s="158"/>
      <c r="IG45" s="158"/>
      <c r="IH45" s="158"/>
      <c r="II45" s="158"/>
      <c r="IJ45" s="159"/>
      <c r="IK45" s="158"/>
      <c r="IL45" s="158"/>
      <c r="IM45" s="158"/>
      <c r="IN45" s="158"/>
      <c r="IO45" s="159"/>
      <c r="IP45" s="158"/>
      <c r="IQ45" s="158"/>
      <c r="IR45" s="158"/>
      <c r="IS45" s="158"/>
      <c r="IT45" s="159"/>
      <c r="IU45" s="158"/>
      <c r="IV45" s="158"/>
      <c r="IW45" s="158"/>
      <c r="IX45" s="159"/>
      <c r="IY45" s="158"/>
      <c r="IZ45" s="158"/>
      <c r="JA45" s="158"/>
      <c r="JB45" s="159"/>
      <c r="JC45" s="158"/>
      <c r="JD45" s="158"/>
      <c r="JE45" s="158"/>
      <c r="JF45" s="159"/>
      <c r="JG45" s="158"/>
      <c r="JH45" s="158"/>
      <c r="JI45" s="158"/>
      <c r="JJ45" s="158"/>
      <c r="JK45" s="158"/>
      <c r="JL45" s="158"/>
      <c r="JM45" s="158"/>
      <c r="JN45" s="158"/>
      <c r="JO45" s="158"/>
      <c r="JP45" s="158"/>
      <c r="JQ45" s="158"/>
      <c r="JR45" s="158"/>
      <c r="JS45" s="158"/>
      <c r="JT45" s="158"/>
      <c r="JU45" s="158"/>
      <c r="JV45" s="158"/>
      <c r="JW45" s="158"/>
      <c r="JX45" s="158"/>
      <c r="JY45" s="158"/>
      <c r="JZ45" s="158"/>
      <c r="KA45" s="158"/>
      <c r="KB45" s="158"/>
      <c r="KC45" s="158"/>
      <c r="KD45" s="158"/>
      <c r="KE45" s="158"/>
      <c r="KF45" s="158"/>
      <c r="KG45" s="158"/>
      <c r="KH45" s="158"/>
      <c r="KI45" s="158"/>
      <c r="KJ45" s="158"/>
      <c r="KK45" s="158"/>
      <c r="KL45" s="158"/>
      <c r="KM45" s="158"/>
      <c r="KN45" s="158"/>
      <c r="KO45" s="158"/>
      <c r="KP45" s="158"/>
      <c r="KQ45" s="158"/>
      <c r="KR45" s="158"/>
      <c r="KS45" s="158"/>
      <c r="KT45" s="158"/>
      <c r="KU45" s="158"/>
      <c r="KV45" s="158"/>
      <c r="KW45" s="158"/>
      <c r="KX45" s="158"/>
      <c r="KY45" s="158"/>
      <c r="KZ45" s="159"/>
      <c r="LA45" s="158"/>
      <c r="LB45" s="158"/>
      <c r="LC45" s="158"/>
      <c r="LD45" s="159"/>
      <c r="LE45" s="158"/>
      <c r="LF45" s="158"/>
      <c r="LG45" s="158"/>
      <c r="LH45" s="159"/>
      <c r="LI45" s="158"/>
      <c r="LJ45" s="158"/>
      <c r="LK45" s="158"/>
      <c r="LL45" s="159"/>
      <c r="LM45" s="158"/>
      <c r="LN45" s="158"/>
      <c r="LO45" s="158"/>
      <c r="LP45" s="159"/>
      <c r="LQ45" s="158"/>
      <c r="LR45" s="158"/>
      <c r="LS45" s="158"/>
      <c r="LT45" s="159"/>
      <c r="LU45" s="159"/>
      <c r="LV45" s="159"/>
      <c r="LW45" s="159"/>
      <c r="LX45" s="159"/>
      <c r="LY45" s="158"/>
      <c r="LZ45" s="158"/>
      <c r="MA45" s="158"/>
      <c r="MB45" s="159"/>
      <c r="MC45" s="158"/>
      <c r="MD45" s="159"/>
      <c r="ME45" s="158"/>
      <c r="MF45" s="159"/>
      <c r="MG45" s="158"/>
      <c r="MH45" s="159"/>
      <c r="MI45" s="158"/>
      <c r="MJ45" s="159"/>
      <c r="MK45" s="158"/>
      <c r="ML45" s="159"/>
      <c r="MM45" s="158"/>
      <c r="MN45" s="158"/>
      <c r="MO45" s="158"/>
      <c r="MP45" s="158"/>
      <c r="MQ45" s="158"/>
      <c r="MR45" s="158"/>
      <c r="MS45" s="158"/>
      <c r="MT45" s="158"/>
      <c r="MU45" s="158"/>
      <c r="MV45" s="158"/>
      <c r="MW45" s="159"/>
      <c r="MX45" s="158"/>
      <c r="MY45" s="158"/>
      <c r="MZ45" s="158"/>
      <c r="NA45" s="159"/>
      <c r="NB45" s="158"/>
      <c r="NC45" s="158"/>
      <c r="ND45" s="158"/>
      <c r="NE45" s="159"/>
      <c r="NF45" s="158"/>
      <c r="NG45" s="158"/>
      <c r="NH45" s="158"/>
      <c r="NI45" s="159"/>
      <c r="NJ45" s="158"/>
      <c r="NK45" s="158"/>
      <c r="NL45" s="158"/>
      <c r="NM45" s="159"/>
      <c r="NN45" s="158"/>
      <c r="NO45" s="158"/>
      <c r="NP45" s="158"/>
      <c r="NQ45" s="159"/>
      <c r="NR45" s="158"/>
      <c r="NS45" s="158"/>
      <c r="NT45" s="158"/>
      <c r="NU45" s="159"/>
      <c r="NV45" s="162"/>
      <c r="NW45" s="162"/>
      <c r="NX45" s="162"/>
      <c r="NY45" s="161"/>
      <c r="NZ45" s="162"/>
      <c r="OA45" s="162"/>
      <c r="OB45" s="162"/>
      <c r="OC45" s="161"/>
      <c r="OD45" s="163"/>
      <c r="OE45" s="163"/>
      <c r="OF45" s="163"/>
      <c r="OG45" s="163"/>
      <c r="OH45" s="163"/>
      <c r="OI45" s="163"/>
      <c r="OJ45" s="163"/>
      <c r="OK45" s="163"/>
      <c r="OL45" s="163"/>
      <c r="OM45" s="163"/>
      <c r="ON45" s="163"/>
      <c r="OO45" s="163"/>
      <c r="OP45" s="163"/>
      <c r="OQ45" s="163"/>
      <c r="OR45" s="163"/>
      <c r="OX45" s="163"/>
      <c r="PB45" s="164"/>
      <c r="PF45" s="164"/>
      <c r="PJ45" s="164"/>
      <c r="PN45" s="164"/>
      <c r="PR45" s="164"/>
      <c r="PV45" s="164"/>
      <c r="PZ45" s="164"/>
      <c r="QA45" s="158"/>
      <c r="QB45" s="158"/>
      <c r="QD45" s="163"/>
      <c r="QE45" s="158"/>
      <c r="QF45" s="158"/>
      <c r="QG45" s="158"/>
      <c r="QH45" s="158"/>
      <c r="QI45" s="158"/>
      <c r="QJ45" s="158"/>
      <c r="QK45" s="158"/>
      <c r="QL45" s="159"/>
      <c r="QM45" s="158"/>
      <c r="QN45" s="158"/>
      <c r="QO45" s="158"/>
      <c r="QP45" s="158"/>
      <c r="QQ45" s="158"/>
      <c r="QR45" s="158"/>
      <c r="QS45" s="159"/>
      <c r="QT45" s="158"/>
      <c r="QU45" s="158"/>
      <c r="QV45" s="158"/>
      <c r="QW45" s="158"/>
      <c r="QX45" s="158"/>
      <c r="QY45" s="158"/>
      <c r="QZ45" s="159"/>
      <c r="RA45" s="158"/>
      <c r="RB45" s="158"/>
      <c r="RC45" s="158"/>
      <c r="RD45" s="158"/>
      <c r="RE45" s="158"/>
      <c r="RF45" s="158"/>
      <c r="RG45" s="159"/>
      <c r="RH45" s="158"/>
      <c r="RI45" s="158"/>
      <c r="RJ45" s="158"/>
      <c r="RK45" s="158"/>
      <c r="RL45" s="158"/>
      <c r="RM45" s="158"/>
      <c r="RN45" s="159"/>
      <c r="RO45" s="158"/>
      <c r="RP45" s="158"/>
      <c r="RQ45" s="158"/>
      <c r="RR45" s="158"/>
      <c r="RS45" s="158"/>
      <c r="RT45" s="158"/>
      <c r="RU45" s="159"/>
      <c r="RV45" s="158"/>
      <c r="RW45" s="158"/>
      <c r="RX45" s="158"/>
      <c r="RY45" s="158"/>
      <c r="RZ45" s="158"/>
      <c r="SA45" s="158"/>
      <c r="SB45" s="158"/>
      <c r="SC45" s="159"/>
      <c r="SD45" s="158"/>
      <c r="SE45" s="158"/>
      <c r="SF45" s="158"/>
      <c r="SG45" s="159"/>
      <c r="SH45" s="158"/>
      <c r="SI45" s="158"/>
      <c r="SJ45" s="158"/>
      <c r="SK45" s="158"/>
      <c r="SL45" s="158"/>
      <c r="SM45" s="158"/>
      <c r="SN45" s="159"/>
      <c r="SO45" s="158"/>
      <c r="SP45" s="158"/>
      <c r="SQ45" s="158"/>
      <c r="SR45" s="159"/>
      <c r="SS45" s="158"/>
      <c r="ST45" s="158"/>
      <c r="SU45" s="159"/>
      <c r="SV45" s="158"/>
      <c r="SW45" s="158"/>
      <c r="SX45" s="159"/>
      <c r="SY45" s="158"/>
      <c r="SZ45" s="158"/>
      <c r="TA45" s="159"/>
      <c r="TB45" s="158"/>
      <c r="TC45" s="158"/>
      <c r="TD45" s="158"/>
      <c r="TE45" s="158"/>
      <c r="TF45" s="158"/>
      <c r="TG45" s="158"/>
      <c r="TP45" s="158"/>
      <c r="TQ45" s="158"/>
      <c r="TR45" s="158"/>
      <c r="UC45" s="165"/>
    </row>
    <row r="46" spans="1:549" hidden="1" x14ac:dyDescent="0.25">
      <c r="A46" s="154"/>
      <c r="B46" s="155"/>
      <c r="C46" s="156"/>
      <c r="D46" s="157"/>
      <c r="E46" s="158"/>
      <c r="F46" s="158"/>
      <c r="G46" s="158"/>
      <c r="H46" s="159"/>
      <c r="I46" s="158"/>
      <c r="J46" s="158"/>
      <c r="K46" s="158"/>
      <c r="L46" s="159"/>
      <c r="M46" s="158"/>
      <c r="N46" s="158"/>
      <c r="O46" s="159"/>
      <c r="P46" s="158"/>
      <c r="Q46" s="158"/>
      <c r="R46" s="158"/>
      <c r="S46" s="158"/>
      <c r="T46" s="159"/>
      <c r="U46" s="158"/>
      <c r="V46" s="158"/>
      <c r="W46" s="158"/>
      <c r="X46" s="159"/>
      <c r="Y46" s="158"/>
      <c r="Z46" s="158"/>
      <c r="AA46" s="159"/>
      <c r="AB46" s="158"/>
      <c r="AC46" s="158"/>
      <c r="AD46" s="159"/>
      <c r="AE46" s="158"/>
      <c r="AF46" s="158"/>
      <c r="AG46" s="158"/>
      <c r="AH46" s="159"/>
      <c r="AI46" s="158"/>
      <c r="AJ46" s="158"/>
      <c r="AK46" s="158"/>
      <c r="AL46" s="159"/>
      <c r="AM46" s="158"/>
      <c r="AN46" s="158"/>
      <c r="AO46" s="158"/>
      <c r="AP46" s="159"/>
      <c r="AQ46" s="158"/>
      <c r="AR46" s="158"/>
      <c r="AS46" s="158"/>
      <c r="AT46" s="158"/>
      <c r="AU46" s="159"/>
      <c r="AV46" s="158"/>
      <c r="AW46" s="158"/>
      <c r="AX46" s="158"/>
      <c r="AY46" s="158"/>
      <c r="AZ46" s="158"/>
      <c r="BA46" s="158"/>
      <c r="BB46" s="158"/>
      <c r="BC46" s="158"/>
      <c r="BD46" s="159"/>
      <c r="BE46" s="158"/>
      <c r="BF46" s="158"/>
      <c r="BG46" s="158"/>
      <c r="BH46" s="158"/>
      <c r="BI46" s="158"/>
      <c r="BJ46" s="158"/>
      <c r="BK46" s="158"/>
      <c r="BL46" s="159"/>
      <c r="BM46" s="158"/>
      <c r="BN46" s="158"/>
      <c r="BO46" s="158"/>
      <c r="BP46" s="158"/>
      <c r="BQ46" s="158"/>
      <c r="BR46" s="158"/>
      <c r="BS46" s="159"/>
      <c r="BT46" s="158"/>
      <c r="BU46" s="158"/>
      <c r="BV46" s="158"/>
      <c r="BW46" s="159"/>
      <c r="BX46" s="158"/>
      <c r="BY46" s="158"/>
      <c r="BZ46" s="159"/>
      <c r="CA46" s="158"/>
      <c r="CB46" s="158"/>
      <c r="CC46" s="159"/>
      <c r="CD46" s="158"/>
      <c r="CE46" s="158"/>
      <c r="CF46" s="158"/>
      <c r="CG46" s="158"/>
      <c r="CH46" s="158"/>
      <c r="CI46" s="158"/>
      <c r="CJ46" s="158"/>
      <c r="CK46" s="158"/>
      <c r="CL46" s="159"/>
      <c r="CM46" s="158"/>
      <c r="CN46" s="158"/>
      <c r="CO46" s="158"/>
      <c r="CP46" s="158"/>
      <c r="CQ46" s="159"/>
      <c r="CR46" s="158"/>
      <c r="CS46" s="158"/>
      <c r="CT46" s="158"/>
      <c r="CU46" s="158"/>
      <c r="CV46" s="158"/>
      <c r="CW46" s="158"/>
      <c r="CX46" s="159"/>
      <c r="CY46" s="158"/>
      <c r="CZ46" s="158"/>
      <c r="DA46" s="158"/>
      <c r="DB46" s="159"/>
      <c r="DC46" s="158"/>
      <c r="DD46" s="158"/>
      <c r="DE46" s="159"/>
      <c r="DF46" s="158"/>
      <c r="DG46" s="158"/>
      <c r="DH46" s="159"/>
      <c r="DI46" s="158"/>
      <c r="DJ46" s="158"/>
      <c r="DK46" s="159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9"/>
      <c r="DX46" s="158"/>
      <c r="DY46" s="158"/>
      <c r="DZ46" s="158"/>
      <c r="EA46" s="159"/>
      <c r="EB46" s="158"/>
      <c r="EC46" s="158"/>
      <c r="ED46" s="158"/>
      <c r="EE46" s="158"/>
      <c r="EF46" s="158"/>
      <c r="EG46" s="158"/>
      <c r="EH46" s="159"/>
      <c r="EI46" s="158"/>
      <c r="EJ46" s="158"/>
      <c r="EK46" s="158"/>
      <c r="EL46" s="159"/>
      <c r="EM46" s="158"/>
      <c r="EN46" s="158"/>
      <c r="EO46" s="159"/>
      <c r="EP46" s="158"/>
      <c r="EQ46" s="158"/>
      <c r="ER46" s="159"/>
      <c r="ES46" s="158"/>
      <c r="ET46" s="158"/>
      <c r="EU46" s="159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9"/>
      <c r="FH46" s="158"/>
      <c r="FI46" s="158"/>
      <c r="FJ46" s="158"/>
      <c r="FK46" s="159"/>
      <c r="FL46" s="158"/>
      <c r="FM46" s="158"/>
      <c r="FN46" s="158"/>
      <c r="FO46" s="158"/>
      <c r="FP46" s="158"/>
      <c r="FQ46" s="158"/>
      <c r="FR46" s="159"/>
      <c r="FS46" s="158"/>
      <c r="FT46" s="158"/>
      <c r="FU46" s="158"/>
      <c r="FV46" s="159"/>
      <c r="FW46" s="158"/>
      <c r="FX46" s="158"/>
      <c r="FY46" s="159"/>
      <c r="FZ46" s="158"/>
      <c r="GA46" s="158"/>
      <c r="GB46" s="159"/>
      <c r="GC46" s="158"/>
      <c r="GD46" s="158"/>
      <c r="GE46" s="159"/>
      <c r="GF46" s="158"/>
      <c r="GG46" s="158"/>
      <c r="GH46" s="158"/>
      <c r="GI46" s="158"/>
      <c r="GJ46" s="158"/>
      <c r="GK46" s="160"/>
      <c r="GL46" s="160"/>
      <c r="GM46" s="160"/>
      <c r="GN46" s="161"/>
      <c r="GO46" s="158"/>
      <c r="GP46" s="158"/>
      <c r="GQ46" s="158"/>
      <c r="GR46" s="159"/>
      <c r="GS46" s="158"/>
      <c r="GT46" s="158"/>
      <c r="GU46" s="158"/>
      <c r="GV46" s="158"/>
      <c r="GW46" s="159"/>
      <c r="GX46" s="158"/>
      <c r="GY46" s="158"/>
      <c r="GZ46" s="158"/>
      <c r="HA46" s="158"/>
      <c r="HB46" s="159"/>
      <c r="HC46" s="158"/>
      <c r="HD46" s="158"/>
      <c r="HE46" s="158"/>
      <c r="HF46" s="158"/>
      <c r="HG46" s="159"/>
      <c r="HH46" s="158"/>
      <c r="HI46" s="158"/>
      <c r="HJ46" s="158"/>
      <c r="HK46" s="158"/>
      <c r="HL46" s="159"/>
      <c r="HM46" s="158"/>
      <c r="HN46" s="158"/>
      <c r="HO46" s="158"/>
      <c r="HP46" s="158"/>
      <c r="HQ46" s="159"/>
      <c r="HR46" s="158"/>
      <c r="HS46" s="160"/>
      <c r="HT46" s="160"/>
      <c r="HU46" s="160"/>
      <c r="HV46" s="161"/>
      <c r="HW46" s="158"/>
      <c r="HX46" s="158"/>
      <c r="HY46" s="158"/>
      <c r="HZ46" s="159"/>
      <c r="IA46" s="158"/>
      <c r="IB46" s="158"/>
      <c r="IC46" s="158"/>
      <c r="ID46" s="158"/>
      <c r="IE46" s="159"/>
      <c r="IF46" s="158"/>
      <c r="IG46" s="158"/>
      <c r="IH46" s="158"/>
      <c r="II46" s="158"/>
      <c r="IJ46" s="159"/>
      <c r="IK46" s="158"/>
      <c r="IL46" s="158"/>
      <c r="IM46" s="158"/>
      <c r="IN46" s="158"/>
      <c r="IO46" s="159"/>
      <c r="IP46" s="158"/>
      <c r="IQ46" s="158"/>
      <c r="IR46" s="158"/>
      <c r="IS46" s="158"/>
      <c r="IT46" s="159"/>
      <c r="IU46" s="158"/>
      <c r="IV46" s="158"/>
      <c r="IW46" s="158"/>
      <c r="IX46" s="159"/>
      <c r="IY46" s="158"/>
      <c r="IZ46" s="158"/>
      <c r="JA46" s="158"/>
      <c r="JB46" s="159"/>
      <c r="JC46" s="158"/>
      <c r="JD46" s="158"/>
      <c r="JE46" s="158"/>
      <c r="JF46" s="159"/>
      <c r="JG46" s="158"/>
      <c r="JH46" s="158"/>
      <c r="JI46" s="158"/>
      <c r="JJ46" s="158"/>
      <c r="JK46" s="158"/>
      <c r="JL46" s="158"/>
      <c r="JM46" s="158"/>
      <c r="JN46" s="158"/>
      <c r="JO46" s="158"/>
      <c r="JP46" s="158"/>
      <c r="JQ46" s="158"/>
      <c r="JR46" s="158"/>
      <c r="JS46" s="158"/>
      <c r="JT46" s="158"/>
      <c r="JU46" s="158"/>
      <c r="JV46" s="158"/>
      <c r="JW46" s="158"/>
      <c r="JX46" s="158"/>
      <c r="JY46" s="158"/>
      <c r="JZ46" s="158"/>
      <c r="KA46" s="158"/>
      <c r="KB46" s="158"/>
      <c r="KC46" s="158"/>
      <c r="KD46" s="158"/>
      <c r="KE46" s="158"/>
      <c r="KF46" s="158"/>
      <c r="KG46" s="158"/>
      <c r="KH46" s="158"/>
      <c r="KI46" s="158"/>
      <c r="KJ46" s="158"/>
      <c r="KK46" s="158"/>
      <c r="KL46" s="158"/>
      <c r="KM46" s="158"/>
      <c r="KN46" s="158"/>
      <c r="KO46" s="158"/>
      <c r="KP46" s="158"/>
      <c r="KQ46" s="158"/>
      <c r="KR46" s="158"/>
      <c r="KS46" s="158"/>
      <c r="KT46" s="158"/>
      <c r="KU46" s="158"/>
      <c r="KV46" s="158"/>
      <c r="KW46" s="158"/>
      <c r="KX46" s="158"/>
      <c r="KY46" s="158"/>
      <c r="KZ46" s="159"/>
      <c r="LA46" s="158"/>
      <c r="LB46" s="158"/>
      <c r="LC46" s="158"/>
      <c r="LD46" s="159"/>
      <c r="LE46" s="158"/>
      <c r="LF46" s="158"/>
      <c r="LG46" s="158"/>
      <c r="LH46" s="159"/>
      <c r="LI46" s="158"/>
      <c r="LJ46" s="158"/>
      <c r="LK46" s="158"/>
      <c r="LL46" s="159"/>
      <c r="LM46" s="158"/>
      <c r="LN46" s="158"/>
      <c r="LO46" s="158"/>
      <c r="LP46" s="159"/>
      <c r="LQ46" s="158"/>
      <c r="LR46" s="158"/>
      <c r="LS46" s="158"/>
      <c r="LT46" s="159"/>
      <c r="LU46" s="159"/>
      <c r="LV46" s="159"/>
      <c r="LW46" s="159"/>
      <c r="LX46" s="159"/>
      <c r="LY46" s="158"/>
      <c r="LZ46" s="158"/>
      <c r="MA46" s="158"/>
      <c r="MB46" s="159"/>
      <c r="MC46" s="158"/>
      <c r="MD46" s="159"/>
      <c r="ME46" s="158"/>
      <c r="MF46" s="159"/>
      <c r="MG46" s="158"/>
      <c r="MH46" s="159"/>
      <c r="MI46" s="158"/>
      <c r="MJ46" s="159"/>
      <c r="MK46" s="158"/>
      <c r="ML46" s="159"/>
      <c r="MM46" s="158"/>
      <c r="MN46" s="158"/>
      <c r="MO46" s="158"/>
      <c r="MP46" s="158"/>
      <c r="MQ46" s="158"/>
      <c r="MR46" s="158"/>
      <c r="MS46" s="158"/>
      <c r="MT46" s="158"/>
      <c r="MU46" s="158"/>
      <c r="MV46" s="158"/>
      <c r="MW46" s="159"/>
      <c r="MX46" s="158"/>
      <c r="MY46" s="158"/>
      <c r="MZ46" s="158"/>
      <c r="NA46" s="159"/>
      <c r="NB46" s="158"/>
      <c r="NC46" s="158"/>
      <c r="ND46" s="158"/>
      <c r="NE46" s="159"/>
      <c r="NF46" s="158"/>
      <c r="NG46" s="158"/>
      <c r="NH46" s="158"/>
      <c r="NI46" s="159"/>
      <c r="NJ46" s="158"/>
      <c r="NK46" s="158"/>
      <c r="NL46" s="158"/>
      <c r="NM46" s="159"/>
      <c r="NN46" s="158"/>
      <c r="NO46" s="158"/>
      <c r="NP46" s="158"/>
      <c r="NQ46" s="159"/>
      <c r="NR46" s="158"/>
      <c r="NS46" s="158"/>
      <c r="NT46" s="158"/>
      <c r="NU46" s="159"/>
      <c r="NV46" s="162"/>
      <c r="NW46" s="162"/>
      <c r="NX46" s="162"/>
      <c r="NY46" s="161"/>
      <c r="NZ46" s="162"/>
      <c r="OA46" s="162"/>
      <c r="OB46" s="162"/>
      <c r="OC46" s="161"/>
      <c r="OD46" s="163"/>
      <c r="OE46" s="163"/>
      <c r="OF46" s="163"/>
      <c r="OG46" s="163"/>
      <c r="OH46" s="163"/>
      <c r="OI46" s="163"/>
      <c r="OJ46" s="163"/>
      <c r="OK46" s="163"/>
      <c r="OL46" s="163"/>
      <c r="OM46" s="163"/>
      <c r="ON46" s="163"/>
      <c r="OO46" s="163"/>
      <c r="OP46" s="163"/>
      <c r="OQ46" s="163"/>
      <c r="OR46" s="163"/>
      <c r="OX46" s="163"/>
      <c r="PB46" s="164"/>
      <c r="PF46" s="164"/>
      <c r="PJ46" s="164"/>
      <c r="PN46" s="164"/>
      <c r="PR46" s="164"/>
      <c r="PV46" s="164"/>
      <c r="PZ46" s="164"/>
      <c r="QA46" s="158"/>
      <c r="QB46" s="158"/>
      <c r="QD46" s="163"/>
      <c r="QE46" s="158"/>
      <c r="QF46" s="158"/>
      <c r="QG46" s="158"/>
      <c r="QH46" s="158"/>
      <c r="QI46" s="158"/>
      <c r="QJ46" s="158"/>
      <c r="QK46" s="158"/>
      <c r="QL46" s="159"/>
      <c r="QM46" s="158"/>
      <c r="QN46" s="158"/>
      <c r="QO46" s="158"/>
      <c r="QP46" s="158"/>
      <c r="QQ46" s="158"/>
      <c r="QR46" s="158"/>
      <c r="QS46" s="159"/>
      <c r="QT46" s="158"/>
      <c r="QU46" s="158"/>
      <c r="QV46" s="158"/>
      <c r="QW46" s="158"/>
      <c r="QX46" s="158"/>
      <c r="QY46" s="158"/>
      <c r="QZ46" s="159"/>
      <c r="RA46" s="158"/>
      <c r="RB46" s="158"/>
      <c r="RC46" s="158"/>
      <c r="RD46" s="158"/>
      <c r="RE46" s="158"/>
      <c r="RF46" s="158"/>
      <c r="RG46" s="159"/>
      <c r="RH46" s="158"/>
      <c r="RI46" s="158"/>
      <c r="RJ46" s="158"/>
      <c r="RK46" s="158"/>
      <c r="RL46" s="158"/>
      <c r="RM46" s="158"/>
      <c r="RN46" s="159"/>
      <c r="RO46" s="158"/>
      <c r="RP46" s="158"/>
      <c r="RQ46" s="158"/>
      <c r="RR46" s="158"/>
      <c r="RS46" s="158"/>
      <c r="RT46" s="158"/>
      <c r="RU46" s="159"/>
      <c r="RV46" s="158"/>
      <c r="RW46" s="158"/>
      <c r="RX46" s="158"/>
      <c r="RY46" s="158"/>
      <c r="RZ46" s="158"/>
      <c r="SA46" s="158"/>
      <c r="SB46" s="158"/>
      <c r="SC46" s="159"/>
      <c r="SD46" s="158"/>
      <c r="SE46" s="158"/>
      <c r="SF46" s="158"/>
      <c r="SG46" s="159"/>
      <c r="SH46" s="158"/>
      <c r="SI46" s="158"/>
      <c r="SJ46" s="158"/>
      <c r="SK46" s="158"/>
      <c r="SL46" s="158"/>
      <c r="SM46" s="158"/>
      <c r="SN46" s="159"/>
      <c r="SO46" s="158"/>
      <c r="SP46" s="158"/>
      <c r="SQ46" s="158"/>
      <c r="SR46" s="159"/>
      <c r="SS46" s="158"/>
      <c r="ST46" s="158"/>
      <c r="SU46" s="159"/>
      <c r="SV46" s="158"/>
      <c r="SW46" s="158"/>
      <c r="SX46" s="159"/>
      <c r="SY46" s="158"/>
      <c r="SZ46" s="158"/>
      <c r="TA46" s="159"/>
      <c r="TB46" s="158"/>
      <c r="TC46" s="158"/>
      <c r="TD46" s="158"/>
      <c r="TE46" s="158"/>
      <c r="TF46" s="158"/>
      <c r="TG46" s="158"/>
      <c r="TP46" s="158"/>
      <c r="TQ46" s="158"/>
      <c r="TR46" s="158"/>
      <c r="UC46" s="165"/>
    </row>
    <row r="47" spans="1:549" x14ac:dyDescent="0.25">
      <c r="A47" s="154"/>
      <c r="B47" s="155"/>
      <c r="C47" s="156"/>
      <c r="D47" s="157"/>
      <c r="E47" s="158"/>
      <c r="F47" s="158"/>
      <c r="G47" s="158"/>
      <c r="H47" s="159"/>
      <c r="I47" s="158"/>
      <c r="J47" s="158"/>
      <c r="K47" s="158"/>
      <c r="L47" s="159"/>
      <c r="M47" s="158"/>
      <c r="N47" s="158"/>
      <c r="O47" s="159"/>
      <c r="P47" s="158"/>
      <c r="Q47" s="158"/>
      <c r="R47" s="158"/>
      <c r="S47" s="158"/>
      <c r="T47" s="159"/>
      <c r="U47" s="158"/>
      <c r="V47" s="158"/>
      <c r="W47" s="158"/>
      <c r="X47" s="159"/>
      <c r="Y47" s="158"/>
      <c r="Z47" s="158"/>
      <c r="AA47" s="159"/>
      <c r="AB47" s="158"/>
      <c r="AC47" s="158"/>
      <c r="AD47" s="159"/>
      <c r="AE47" s="158"/>
      <c r="AF47" s="158"/>
      <c r="AG47" s="158"/>
      <c r="AH47" s="159"/>
      <c r="AI47" s="158"/>
      <c r="AJ47" s="158"/>
      <c r="AK47" s="158"/>
      <c r="AL47" s="159"/>
      <c r="AM47" s="158"/>
      <c r="AN47" s="158"/>
      <c r="AO47" s="158"/>
      <c r="AP47" s="159"/>
      <c r="AQ47" s="158"/>
      <c r="AR47" s="158"/>
      <c r="AS47" s="158"/>
      <c r="AT47" s="158"/>
      <c r="AU47" s="159"/>
      <c r="AV47" s="158"/>
      <c r="AW47" s="158"/>
      <c r="AX47" s="158"/>
      <c r="AY47" s="158"/>
      <c r="AZ47" s="158"/>
      <c r="BA47" s="158"/>
      <c r="BB47" s="158"/>
      <c r="BC47" s="158"/>
      <c r="BD47" s="159"/>
      <c r="BE47" s="158"/>
      <c r="BF47" s="158"/>
      <c r="BG47" s="158"/>
      <c r="BH47" s="158"/>
      <c r="BI47" s="158"/>
      <c r="BJ47" s="158"/>
      <c r="BK47" s="158"/>
      <c r="BL47" s="159"/>
      <c r="BM47" s="158"/>
      <c r="BN47" s="158"/>
      <c r="BO47" s="158"/>
      <c r="BP47" s="158"/>
      <c r="BQ47" s="158"/>
      <c r="BR47" s="158"/>
      <c r="BS47" s="159"/>
      <c r="BT47" s="158"/>
      <c r="BU47" s="158"/>
      <c r="BV47" s="158"/>
      <c r="BW47" s="159"/>
      <c r="BX47" s="158"/>
      <c r="BY47" s="158"/>
      <c r="BZ47" s="159"/>
      <c r="CA47" s="158"/>
      <c r="CB47" s="158"/>
      <c r="CC47" s="159"/>
      <c r="CD47" s="158"/>
      <c r="CE47" s="158"/>
      <c r="CF47" s="158"/>
      <c r="CG47" s="158"/>
      <c r="CH47" s="158"/>
      <c r="CI47" s="158"/>
      <c r="CJ47" s="158"/>
      <c r="CK47" s="158"/>
      <c r="CL47" s="159"/>
      <c r="CM47" s="158"/>
      <c r="CN47" s="158"/>
      <c r="CO47" s="158"/>
      <c r="CP47" s="158"/>
      <c r="CQ47" s="159"/>
      <c r="CR47" s="158"/>
      <c r="CS47" s="158"/>
      <c r="CT47" s="158"/>
      <c r="CU47" s="158"/>
      <c r="CV47" s="158"/>
      <c r="CW47" s="158"/>
      <c r="CX47" s="159"/>
      <c r="CY47" s="158"/>
      <c r="CZ47" s="158"/>
      <c r="DA47" s="158"/>
      <c r="DB47" s="159"/>
      <c r="DC47" s="158"/>
      <c r="DD47" s="158"/>
      <c r="DE47" s="159"/>
      <c r="DF47" s="158"/>
      <c r="DG47" s="158"/>
      <c r="DH47" s="159"/>
      <c r="DI47" s="158"/>
      <c r="DJ47" s="158"/>
      <c r="DK47" s="159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9"/>
      <c r="DX47" s="158"/>
      <c r="DY47" s="158"/>
      <c r="DZ47" s="158"/>
      <c r="EA47" s="159"/>
      <c r="EB47" s="158"/>
      <c r="EC47" s="158"/>
      <c r="ED47" s="158"/>
      <c r="EE47" s="158"/>
      <c r="EF47" s="158"/>
      <c r="EG47" s="158"/>
      <c r="EH47" s="159"/>
      <c r="EI47" s="158"/>
      <c r="EJ47" s="158"/>
      <c r="EK47" s="158"/>
      <c r="EL47" s="159"/>
      <c r="EM47" s="158"/>
      <c r="EN47" s="158"/>
      <c r="EO47" s="159"/>
      <c r="EP47" s="158"/>
      <c r="EQ47" s="158"/>
      <c r="ER47" s="159"/>
      <c r="ES47" s="158"/>
      <c r="ET47" s="158"/>
      <c r="EU47" s="159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9"/>
      <c r="FH47" s="158"/>
      <c r="FI47" s="158"/>
      <c r="FJ47" s="158"/>
      <c r="FK47" s="159"/>
      <c r="FL47" s="158"/>
      <c r="FM47" s="158"/>
      <c r="FN47" s="158"/>
      <c r="FO47" s="158"/>
      <c r="FP47" s="158"/>
      <c r="FQ47" s="158"/>
      <c r="FR47" s="159"/>
      <c r="FS47" s="158"/>
      <c r="FT47" s="158"/>
      <c r="FU47" s="158"/>
      <c r="FV47" s="159"/>
      <c r="FW47" s="158"/>
      <c r="FX47" s="158"/>
      <c r="FY47" s="159"/>
      <c r="FZ47" s="158"/>
      <c r="GA47" s="158"/>
      <c r="GB47" s="159"/>
      <c r="GC47" s="158"/>
      <c r="GD47" s="158"/>
      <c r="GE47" s="159"/>
      <c r="GF47" s="158"/>
      <c r="GG47" s="158"/>
      <c r="GH47" s="158"/>
      <c r="GI47" s="158"/>
      <c r="GJ47" s="158"/>
      <c r="GK47" s="160"/>
      <c r="GL47" s="160"/>
      <c r="GM47" s="160"/>
      <c r="GN47" s="161"/>
      <c r="GO47" s="158"/>
      <c r="GP47" s="158"/>
      <c r="GQ47" s="158"/>
      <c r="GR47" s="159"/>
      <c r="GS47" s="158"/>
      <c r="GT47" s="158"/>
      <c r="GU47" s="158"/>
      <c r="GV47" s="158"/>
      <c r="GW47" s="159"/>
      <c r="GX47" s="158"/>
      <c r="GY47" s="158"/>
      <c r="GZ47" s="158"/>
      <c r="HA47" s="158"/>
      <c r="HB47" s="159"/>
      <c r="HC47" s="158"/>
      <c r="HD47" s="158"/>
      <c r="HE47" s="158"/>
      <c r="HF47" s="158"/>
      <c r="HG47" s="159"/>
      <c r="HH47" s="158"/>
      <c r="HI47" s="158"/>
      <c r="HJ47" s="158"/>
      <c r="HK47" s="158"/>
      <c r="HL47" s="159"/>
      <c r="HM47" s="158"/>
      <c r="HN47" s="158"/>
      <c r="HO47" s="158"/>
      <c r="HP47" s="158"/>
      <c r="HQ47" s="159"/>
      <c r="HR47" s="158"/>
      <c r="HS47" s="160"/>
      <c r="HT47" s="160"/>
      <c r="HU47" s="160"/>
      <c r="HV47" s="161"/>
      <c r="HW47" s="158"/>
      <c r="HX47" s="158"/>
      <c r="HY47" s="158"/>
      <c r="HZ47" s="159"/>
      <c r="IA47" s="158"/>
      <c r="IB47" s="158"/>
      <c r="IC47" s="158"/>
      <c r="ID47" s="158"/>
      <c r="IE47" s="159"/>
      <c r="IF47" s="158"/>
      <c r="IG47" s="158"/>
      <c r="IH47" s="158"/>
      <c r="II47" s="158"/>
      <c r="IJ47" s="159"/>
      <c r="IK47" s="158"/>
      <c r="IL47" s="158"/>
      <c r="IM47" s="158"/>
      <c r="IN47" s="158"/>
      <c r="IO47" s="159"/>
      <c r="IP47" s="158"/>
      <c r="IQ47" s="158"/>
      <c r="IR47" s="158"/>
      <c r="IS47" s="158"/>
      <c r="IT47" s="159"/>
      <c r="IU47" s="158"/>
      <c r="IV47" s="158"/>
      <c r="IW47" s="158"/>
      <c r="IX47" s="159"/>
      <c r="IY47" s="158"/>
      <c r="IZ47" s="158"/>
      <c r="JA47" s="158"/>
      <c r="JB47" s="159"/>
      <c r="JC47" s="158"/>
      <c r="JD47" s="158"/>
      <c r="JE47" s="158"/>
      <c r="JF47" s="159"/>
      <c r="JG47" s="158"/>
      <c r="JH47" s="158"/>
      <c r="JI47" s="158"/>
      <c r="JJ47" s="158"/>
      <c r="JK47" s="158"/>
      <c r="JL47" s="158"/>
      <c r="JM47" s="158"/>
      <c r="JN47" s="158"/>
      <c r="JO47" s="158"/>
      <c r="JP47" s="158"/>
      <c r="JQ47" s="158"/>
      <c r="JR47" s="158"/>
      <c r="JS47" s="158"/>
      <c r="JT47" s="158"/>
      <c r="JU47" s="158"/>
      <c r="JV47" s="158"/>
      <c r="JW47" s="158"/>
      <c r="JX47" s="158"/>
      <c r="JY47" s="158"/>
      <c r="JZ47" s="158"/>
      <c r="KA47" s="158"/>
      <c r="KB47" s="158"/>
      <c r="KC47" s="158"/>
      <c r="KD47" s="158"/>
      <c r="KE47" s="158"/>
      <c r="KF47" s="158"/>
      <c r="KG47" s="158"/>
      <c r="KH47" s="158"/>
      <c r="KI47" s="158"/>
      <c r="KJ47" s="158"/>
      <c r="KK47" s="158"/>
      <c r="KL47" s="158"/>
      <c r="KM47" s="158"/>
      <c r="KN47" s="158"/>
      <c r="KO47" s="158"/>
      <c r="KP47" s="158"/>
      <c r="KQ47" s="158"/>
      <c r="KR47" s="158"/>
      <c r="KS47" s="158"/>
      <c r="KT47" s="158"/>
      <c r="KU47" s="158"/>
      <c r="KV47" s="158"/>
      <c r="KW47" s="158"/>
      <c r="KX47" s="158"/>
      <c r="KY47" s="158"/>
      <c r="KZ47" s="159"/>
      <c r="LA47" s="158"/>
      <c r="LB47" s="158"/>
      <c r="LC47" s="158"/>
      <c r="LD47" s="159"/>
      <c r="LE47" s="158"/>
      <c r="LF47" s="158"/>
      <c r="LG47" s="158"/>
      <c r="LH47" s="159"/>
      <c r="LI47" s="158"/>
      <c r="LJ47" s="158"/>
      <c r="LK47" s="158"/>
      <c r="LL47" s="159"/>
      <c r="LM47" s="158"/>
      <c r="LN47" s="158"/>
      <c r="LO47" s="158"/>
      <c r="LP47" s="159"/>
      <c r="LQ47" s="158"/>
      <c r="LR47" s="158"/>
      <c r="LS47" s="158"/>
      <c r="LT47" s="159"/>
      <c r="LU47" s="159"/>
      <c r="LV47" s="159"/>
      <c r="LW47" s="159"/>
      <c r="LX47" s="159"/>
      <c r="LY47" s="158"/>
      <c r="LZ47" s="158"/>
      <c r="MA47" s="158"/>
      <c r="MB47" s="159"/>
      <c r="MC47" s="158"/>
      <c r="MD47" s="159"/>
      <c r="ME47" s="158"/>
      <c r="MF47" s="159"/>
      <c r="MG47" s="158"/>
      <c r="MH47" s="159"/>
      <c r="MI47" s="158"/>
      <c r="MJ47" s="159"/>
      <c r="MK47" s="158"/>
      <c r="ML47" s="159"/>
      <c r="MM47" s="158"/>
      <c r="MN47" s="158"/>
      <c r="MO47" s="158"/>
      <c r="MP47" s="158"/>
      <c r="MQ47" s="158"/>
      <c r="MR47" s="158"/>
      <c r="MS47" s="158"/>
      <c r="MT47" s="158"/>
      <c r="MU47" s="158"/>
      <c r="MV47" s="158"/>
      <c r="MW47" s="159"/>
      <c r="MX47" s="158"/>
      <c r="MY47" s="158"/>
      <c r="MZ47" s="158"/>
      <c r="NA47" s="159"/>
      <c r="NB47" s="158"/>
      <c r="NC47" s="158"/>
      <c r="ND47" s="158"/>
      <c r="NE47" s="159"/>
      <c r="NF47" s="158"/>
      <c r="NG47" s="158"/>
      <c r="NH47" s="158"/>
      <c r="NI47" s="159"/>
      <c r="NJ47" s="158"/>
      <c r="NK47" s="158"/>
      <c r="NL47" s="158"/>
      <c r="NM47" s="159"/>
      <c r="NN47" s="158"/>
      <c r="NO47" s="158"/>
      <c r="NP47" s="158"/>
      <c r="NQ47" s="159"/>
      <c r="NR47" s="158"/>
      <c r="NS47" s="158"/>
      <c r="NT47" s="158"/>
      <c r="NU47" s="159"/>
      <c r="NV47" s="162"/>
      <c r="NW47" s="162"/>
      <c r="NX47" s="162"/>
      <c r="NY47" s="161"/>
      <c r="NZ47" s="162"/>
      <c r="OA47" s="162"/>
      <c r="OB47" s="162"/>
      <c r="OC47" s="161"/>
      <c r="OD47" s="163"/>
      <c r="OE47" s="163"/>
      <c r="OF47" s="163"/>
      <c r="OG47" s="163"/>
      <c r="OH47" s="163"/>
      <c r="OI47" s="163"/>
      <c r="OJ47" s="163"/>
      <c r="OK47" s="163"/>
      <c r="OL47" s="163"/>
      <c r="OM47" s="163"/>
      <c r="ON47" s="163"/>
      <c r="OO47" s="163"/>
      <c r="OP47" s="163"/>
      <c r="OQ47" s="163"/>
      <c r="OR47" s="163"/>
      <c r="OX47" s="163"/>
      <c r="PB47" s="164"/>
      <c r="PF47" s="164"/>
      <c r="PJ47" s="164"/>
      <c r="PN47" s="164"/>
      <c r="PR47" s="164"/>
      <c r="PV47" s="164"/>
      <c r="PZ47" s="164"/>
      <c r="QA47" s="158"/>
      <c r="QB47" s="158"/>
      <c r="QD47" s="163"/>
      <c r="QE47" s="158"/>
      <c r="QF47" s="158"/>
      <c r="QG47" s="158"/>
      <c r="QH47" s="158"/>
      <c r="QI47" s="158"/>
      <c r="QJ47" s="158"/>
      <c r="QK47" s="158"/>
      <c r="QL47" s="159"/>
      <c r="QM47" s="158"/>
      <c r="QN47" s="158"/>
      <c r="QO47" s="158"/>
      <c r="QP47" s="158"/>
      <c r="QQ47" s="158"/>
      <c r="QR47" s="158"/>
      <c r="QS47" s="159"/>
      <c r="QT47" s="158"/>
      <c r="QU47" s="158"/>
      <c r="QV47" s="158"/>
      <c r="QW47" s="158"/>
      <c r="QX47" s="158"/>
      <c r="QY47" s="158"/>
      <c r="QZ47" s="159"/>
      <c r="RA47" s="158"/>
      <c r="RB47" s="158"/>
      <c r="RC47" s="158"/>
      <c r="RD47" s="158"/>
      <c r="RE47" s="158"/>
      <c r="RF47" s="158"/>
      <c r="RG47" s="159"/>
      <c r="RH47" s="158"/>
      <c r="RI47" s="158"/>
      <c r="RJ47" s="158"/>
      <c r="RK47" s="158"/>
      <c r="RL47" s="158"/>
      <c r="RM47" s="158"/>
      <c r="RN47" s="159"/>
      <c r="RO47" s="158"/>
      <c r="RP47" s="158"/>
      <c r="RQ47" s="158"/>
      <c r="RR47" s="158"/>
      <c r="RS47" s="158"/>
      <c r="RT47" s="158"/>
      <c r="RU47" s="159"/>
      <c r="RV47" s="158"/>
      <c r="RW47" s="158"/>
      <c r="RX47" s="158"/>
      <c r="RY47" s="158"/>
      <c r="RZ47" s="158"/>
      <c r="SA47" s="158"/>
      <c r="SB47" s="158"/>
      <c r="SC47" s="159"/>
      <c r="SD47" s="158"/>
      <c r="SE47" s="158"/>
      <c r="SF47" s="158"/>
      <c r="SG47" s="159"/>
      <c r="SH47" s="158"/>
      <c r="SI47" s="158"/>
      <c r="SJ47" s="158"/>
      <c r="SK47" s="158"/>
      <c r="SL47" s="158"/>
      <c r="SM47" s="158"/>
      <c r="SN47" s="159"/>
      <c r="SO47" s="158"/>
      <c r="SP47" s="158"/>
      <c r="SQ47" s="158"/>
      <c r="SR47" s="159"/>
      <c r="SS47" s="158"/>
      <c r="ST47" s="158"/>
      <c r="SU47" s="159"/>
      <c r="SV47" s="158"/>
      <c r="SW47" s="158"/>
      <c r="SX47" s="159"/>
      <c r="SY47" s="158"/>
      <c r="SZ47" s="158"/>
      <c r="TA47" s="159"/>
      <c r="TB47" s="158"/>
      <c r="TC47" s="158"/>
      <c r="TD47" s="158"/>
      <c r="TE47" s="158"/>
      <c r="TF47" s="158"/>
      <c r="TG47" s="158"/>
      <c r="TP47" s="158"/>
      <c r="TQ47" s="158"/>
      <c r="TR47" s="158"/>
      <c r="UC47" s="165"/>
    </row>
    <row r="48" spans="1:549" hidden="1" x14ac:dyDescent="0.25">
      <c r="A48" s="154"/>
      <c r="B48" s="155"/>
      <c r="C48" s="156"/>
      <c r="D48" s="166"/>
      <c r="E48" s="158"/>
      <c r="F48" s="158"/>
      <c r="G48" s="158"/>
      <c r="H48" s="159"/>
      <c r="I48" s="158"/>
      <c r="J48" s="158"/>
      <c r="K48" s="158"/>
      <c r="L48" s="159"/>
      <c r="M48" s="158"/>
      <c r="N48" s="158"/>
      <c r="O48" s="159"/>
      <c r="P48" s="158"/>
      <c r="Q48" s="158"/>
      <c r="R48" s="158"/>
      <c r="S48" s="158"/>
      <c r="T48" s="159"/>
      <c r="U48" s="158"/>
      <c r="V48" s="158"/>
      <c r="W48" s="158"/>
      <c r="X48" s="159"/>
      <c r="Y48" s="158"/>
      <c r="Z48" s="158"/>
      <c r="AA48" s="159"/>
      <c r="AB48" s="158"/>
      <c r="AC48" s="158"/>
      <c r="AD48" s="159"/>
      <c r="AE48" s="158"/>
      <c r="AF48" s="158"/>
      <c r="AG48" s="158"/>
      <c r="AH48" s="159"/>
      <c r="AI48" s="158"/>
      <c r="AJ48" s="158"/>
      <c r="AK48" s="158"/>
      <c r="AL48" s="159"/>
      <c r="AM48" s="158"/>
      <c r="AN48" s="158"/>
      <c r="AO48" s="158"/>
      <c r="AP48" s="159"/>
      <c r="AQ48" s="158"/>
      <c r="AR48" s="158"/>
      <c r="AS48" s="158"/>
      <c r="AT48" s="158"/>
      <c r="AU48" s="159"/>
      <c r="AV48" s="158"/>
      <c r="AW48" s="158"/>
      <c r="AX48" s="158"/>
      <c r="AY48" s="158"/>
      <c r="AZ48" s="158"/>
      <c r="BA48" s="158"/>
      <c r="BB48" s="158"/>
      <c r="BC48" s="158"/>
      <c r="BD48" s="159"/>
      <c r="BE48" s="158"/>
      <c r="BF48" s="158"/>
      <c r="BG48" s="158"/>
      <c r="BH48" s="158"/>
      <c r="BI48" s="158"/>
      <c r="BJ48" s="158"/>
      <c r="BK48" s="158"/>
      <c r="BL48" s="159"/>
      <c r="BM48" s="158"/>
      <c r="BN48" s="158"/>
      <c r="BO48" s="158"/>
      <c r="BP48" s="158"/>
      <c r="BQ48" s="158"/>
      <c r="BR48" s="158"/>
      <c r="BS48" s="159"/>
      <c r="BT48" s="158"/>
      <c r="BU48" s="158"/>
      <c r="BV48" s="158"/>
      <c r="BW48" s="159"/>
      <c r="BX48" s="158"/>
      <c r="BY48" s="158"/>
      <c r="BZ48" s="159"/>
      <c r="CA48" s="158"/>
      <c r="CB48" s="158"/>
      <c r="CC48" s="159"/>
      <c r="CD48" s="158"/>
      <c r="CE48" s="158"/>
      <c r="CF48" s="158"/>
      <c r="CG48" s="158"/>
      <c r="CH48" s="158"/>
      <c r="CI48" s="158"/>
      <c r="CJ48" s="158"/>
      <c r="CK48" s="158"/>
      <c r="CL48" s="159"/>
      <c r="CM48" s="158"/>
      <c r="CN48" s="158"/>
      <c r="CO48" s="158"/>
      <c r="CP48" s="158"/>
      <c r="CQ48" s="159"/>
      <c r="CR48" s="158"/>
      <c r="CS48" s="158"/>
      <c r="CT48" s="158"/>
      <c r="CU48" s="158"/>
      <c r="CV48" s="158"/>
      <c r="CW48" s="158"/>
      <c r="CX48" s="159"/>
      <c r="CY48" s="158"/>
      <c r="CZ48" s="158"/>
      <c r="DA48" s="158"/>
      <c r="DB48" s="159"/>
      <c r="DC48" s="158"/>
      <c r="DD48" s="158"/>
      <c r="DE48" s="159"/>
      <c r="DF48" s="158"/>
      <c r="DG48" s="158"/>
      <c r="DH48" s="159"/>
      <c r="DI48" s="158"/>
      <c r="DJ48" s="158"/>
      <c r="DK48" s="159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9"/>
      <c r="DX48" s="158"/>
      <c r="DY48" s="158"/>
      <c r="DZ48" s="158"/>
      <c r="EA48" s="159"/>
      <c r="EB48" s="158"/>
      <c r="EC48" s="158"/>
      <c r="ED48" s="158"/>
      <c r="EE48" s="158"/>
      <c r="EF48" s="158"/>
      <c r="EG48" s="158"/>
      <c r="EH48" s="159"/>
      <c r="EI48" s="158"/>
      <c r="EJ48" s="158"/>
      <c r="EK48" s="158"/>
      <c r="EL48" s="159"/>
      <c r="EM48" s="158"/>
      <c r="EN48" s="158"/>
      <c r="EO48" s="159"/>
      <c r="EP48" s="158"/>
      <c r="EQ48" s="158"/>
      <c r="ER48" s="159"/>
      <c r="ES48" s="158"/>
      <c r="ET48" s="158"/>
      <c r="EU48" s="159"/>
      <c r="EV48" s="158"/>
      <c r="EW48" s="158"/>
      <c r="EX48" s="158"/>
      <c r="EY48" s="158"/>
      <c r="EZ48" s="158"/>
      <c r="FA48" s="158"/>
      <c r="FB48" s="158"/>
      <c r="FC48" s="158"/>
      <c r="FD48" s="158"/>
      <c r="FE48" s="158"/>
      <c r="FF48" s="158"/>
      <c r="FG48" s="159"/>
      <c r="FH48" s="158"/>
      <c r="FI48" s="158"/>
      <c r="FJ48" s="158"/>
      <c r="FK48" s="159"/>
      <c r="FL48" s="158"/>
      <c r="FM48" s="158"/>
      <c r="FN48" s="158"/>
      <c r="FO48" s="158"/>
      <c r="FP48" s="158"/>
      <c r="FQ48" s="158"/>
      <c r="FR48" s="159"/>
      <c r="FS48" s="158"/>
      <c r="FT48" s="158"/>
      <c r="FU48" s="158"/>
      <c r="FV48" s="159"/>
      <c r="FW48" s="158"/>
      <c r="FX48" s="158"/>
      <c r="FY48" s="159"/>
      <c r="FZ48" s="158"/>
      <c r="GA48" s="158"/>
      <c r="GB48" s="159"/>
      <c r="GC48" s="158"/>
      <c r="GD48" s="158"/>
      <c r="GE48" s="159"/>
      <c r="GF48" s="158"/>
      <c r="GG48" s="158"/>
      <c r="GH48" s="158"/>
      <c r="GI48" s="158"/>
      <c r="GJ48" s="158"/>
      <c r="GK48" s="160"/>
      <c r="GL48" s="160"/>
      <c r="GM48" s="160"/>
      <c r="GN48" s="161"/>
      <c r="GO48" s="158"/>
      <c r="GP48" s="158"/>
      <c r="GQ48" s="158"/>
      <c r="GR48" s="159"/>
      <c r="GS48" s="158"/>
      <c r="GT48" s="158"/>
      <c r="GU48" s="158"/>
      <c r="GV48" s="158"/>
      <c r="GW48" s="159"/>
      <c r="GX48" s="158"/>
      <c r="GY48" s="158"/>
      <c r="GZ48" s="158"/>
      <c r="HA48" s="158"/>
      <c r="HB48" s="159"/>
      <c r="HC48" s="158"/>
      <c r="HD48" s="158"/>
      <c r="HE48" s="158"/>
      <c r="HF48" s="158"/>
      <c r="HG48" s="159"/>
      <c r="HH48" s="158"/>
      <c r="HI48" s="158"/>
      <c r="HJ48" s="158"/>
      <c r="HK48" s="158"/>
      <c r="HL48" s="159"/>
      <c r="HM48" s="158"/>
      <c r="HN48" s="158"/>
      <c r="HO48" s="158"/>
      <c r="HP48" s="158"/>
      <c r="HQ48" s="159"/>
      <c r="HR48" s="158"/>
      <c r="HS48" s="160"/>
      <c r="HT48" s="160"/>
      <c r="HU48" s="160"/>
      <c r="HV48" s="161"/>
      <c r="HW48" s="158"/>
      <c r="HX48" s="158"/>
      <c r="HY48" s="158"/>
      <c r="HZ48" s="159"/>
      <c r="IA48" s="158"/>
      <c r="IB48" s="158"/>
      <c r="IC48" s="158"/>
      <c r="ID48" s="158"/>
      <c r="IE48" s="159"/>
      <c r="IF48" s="158"/>
      <c r="IG48" s="158"/>
      <c r="IH48" s="158"/>
      <c r="II48" s="158"/>
      <c r="IJ48" s="159"/>
      <c r="IK48" s="158"/>
      <c r="IL48" s="158"/>
      <c r="IM48" s="158"/>
      <c r="IN48" s="158"/>
      <c r="IO48" s="159"/>
      <c r="IP48" s="158"/>
      <c r="IQ48" s="158"/>
      <c r="IR48" s="158"/>
      <c r="IS48" s="158"/>
      <c r="IT48" s="159"/>
      <c r="IU48" s="158"/>
      <c r="IV48" s="158"/>
      <c r="IW48" s="158"/>
      <c r="IX48" s="159"/>
      <c r="IY48" s="158"/>
      <c r="IZ48" s="158"/>
      <c r="JA48" s="158"/>
      <c r="JB48" s="159"/>
      <c r="JC48" s="158"/>
      <c r="JD48" s="158"/>
      <c r="JE48" s="158"/>
      <c r="JF48" s="159"/>
      <c r="JG48" s="158"/>
      <c r="JH48" s="158"/>
      <c r="JI48" s="158"/>
      <c r="JJ48" s="158"/>
      <c r="JK48" s="158"/>
      <c r="JL48" s="158"/>
      <c r="JM48" s="158"/>
      <c r="JN48" s="158"/>
      <c r="JO48" s="158"/>
      <c r="JP48" s="158"/>
      <c r="JQ48" s="158"/>
      <c r="JR48" s="158"/>
      <c r="JS48" s="158"/>
      <c r="JT48" s="158"/>
      <c r="JU48" s="158"/>
      <c r="JV48" s="158"/>
      <c r="JW48" s="158"/>
      <c r="JX48" s="158"/>
      <c r="JY48" s="158"/>
      <c r="JZ48" s="158"/>
      <c r="KA48" s="158"/>
      <c r="KB48" s="158"/>
      <c r="KC48" s="158"/>
      <c r="KD48" s="158"/>
      <c r="KE48" s="158"/>
      <c r="KF48" s="158"/>
      <c r="KG48" s="158"/>
      <c r="KH48" s="158"/>
      <c r="KI48" s="158"/>
      <c r="KJ48" s="158"/>
      <c r="KK48" s="158"/>
      <c r="KL48" s="158"/>
      <c r="KM48" s="158"/>
      <c r="KN48" s="158"/>
      <c r="KO48" s="158"/>
      <c r="KP48" s="158"/>
      <c r="KQ48" s="158"/>
      <c r="KR48" s="158"/>
      <c r="KS48" s="158"/>
      <c r="KT48" s="158"/>
      <c r="KU48" s="158"/>
      <c r="KV48" s="158"/>
      <c r="KW48" s="158"/>
      <c r="KX48" s="158"/>
      <c r="KY48" s="158"/>
      <c r="KZ48" s="159"/>
      <c r="LA48" s="158"/>
      <c r="LB48" s="158"/>
      <c r="LC48" s="158"/>
      <c r="LD48" s="159"/>
      <c r="LE48" s="158"/>
      <c r="LF48" s="158"/>
      <c r="LG48" s="158"/>
      <c r="LH48" s="159"/>
      <c r="LI48" s="158"/>
      <c r="LJ48" s="158"/>
      <c r="LK48" s="158"/>
      <c r="LL48" s="159"/>
      <c r="LM48" s="158"/>
      <c r="LN48" s="158"/>
      <c r="LO48" s="158"/>
      <c r="LP48" s="159"/>
      <c r="LQ48" s="158"/>
      <c r="LR48" s="158"/>
      <c r="LS48" s="158"/>
      <c r="LT48" s="159"/>
      <c r="LU48" s="159"/>
      <c r="LV48" s="159"/>
      <c r="LW48" s="159"/>
      <c r="LX48" s="159"/>
      <c r="LY48" s="158"/>
      <c r="LZ48" s="158"/>
      <c r="MA48" s="158"/>
      <c r="MB48" s="159"/>
      <c r="MC48" s="158"/>
      <c r="MD48" s="159"/>
      <c r="ME48" s="158"/>
      <c r="MF48" s="159"/>
      <c r="MG48" s="158"/>
      <c r="MH48" s="159"/>
      <c r="MI48" s="158"/>
      <c r="MJ48" s="159"/>
      <c r="MK48" s="158"/>
      <c r="ML48" s="159"/>
      <c r="MM48" s="158"/>
      <c r="MN48" s="158"/>
      <c r="MO48" s="158"/>
      <c r="MP48" s="158"/>
      <c r="MQ48" s="158"/>
      <c r="MR48" s="158"/>
      <c r="MS48" s="158"/>
      <c r="MT48" s="158"/>
      <c r="MU48" s="158"/>
      <c r="MV48" s="158"/>
      <c r="MW48" s="159"/>
      <c r="MX48" s="158"/>
      <c r="MY48" s="158"/>
      <c r="MZ48" s="158"/>
      <c r="NA48" s="159"/>
      <c r="NB48" s="158"/>
      <c r="NC48" s="158"/>
      <c r="ND48" s="158"/>
      <c r="NE48" s="159"/>
      <c r="NF48" s="158"/>
      <c r="NG48" s="158"/>
      <c r="NH48" s="158"/>
      <c r="NI48" s="159"/>
      <c r="NJ48" s="158"/>
      <c r="NK48" s="158"/>
      <c r="NL48" s="158"/>
      <c r="NM48" s="159"/>
      <c r="NN48" s="158"/>
      <c r="NO48" s="158"/>
      <c r="NP48" s="158"/>
      <c r="NQ48" s="159"/>
      <c r="NR48" s="158"/>
      <c r="NS48" s="158"/>
      <c r="NT48" s="158"/>
      <c r="NU48" s="159"/>
      <c r="NV48" s="162"/>
      <c r="NW48" s="162"/>
      <c r="NX48" s="162"/>
      <c r="NY48" s="161"/>
      <c r="NZ48" s="162"/>
      <c r="OA48" s="162"/>
      <c r="OB48" s="162"/>
      <c r="OC48" s="161"/>
      <c r="OD48" s="163"/>
      <c r="OE48" s="163"/>
      <c r="OF48" s="163"/>
      <c r="OG48" s="163"/>
      <c r="OH48" s="163"/>
      <c r="OI48" s="163"/>
      <c r="OJ48" s="163"/>
      <c r="OK48" s="163"/>
      <c r="OL48" s="163"/>
      <c r="OM48" s="163"/>
      <c r="ON48" s="163"/>
      <c r="OO48" s="163"/>
      <c r="OP48" s="163"/>
      <c r="OQ48" s="163"/>
      <c r="OR48" s="163"/>
      <c r="OX48" s="163"/>
      <c r="PB48" s="164"/>
      <c r="PF48" s="164"/>
      <c r="PJ48" s="164"/>
      <c r="PN48" s="164"/>
      <c r="PR48" s="164"/>
      <c r="PV48" s="164"/>
      <c r="PZ48" s="164"/>
      <c r="QA48" s="158"/>
      <c r="QB48" s="158"/>
      <c r="QD48" s="163"/>
      <c r="QE48" s="158"/>
      <c r="QF48" s="158"/>
      <c r="QG48" s="158"/>
      <c r="QH48" s="158"/>
      <c r="QI48" s="158"/>
      <c r="QJ48" s="158"/>
      <c r="QK48" s="158"/>
      <c r="QL48" s="159"/>
      <c r="QM48" s="158"/>
      <c r="QN48" s="158"/>
      <c r="QO48" s="158"/>
      <c r="QP48" s="158"/>
      <c r="QQ48" s="158"/>
      <c r="QR48" s="158"/>
      <c r="QS48" s="159"/>
      <c r="QT48" s="158"/>
      <c r="QU48" s="158"/>
      <c r="QV48" s="158"/>
      <c r="QW48" s="158"/>
      <c r="QX48" s="158"/>
      <c r="QY48" s="158"/>
      <c r="QZ48" s="159"/>
      <c r="RA48" s="158"/>
      <c r="RB48" s="158"/>
      <c r="RC48" s="158"/>
      <c r="RD48" s="158"/>
      <c r="RE48" s="158"/>
      <c r="RF48" s="158"/>
      <c r="RG48" s="159"/>
      <c r="RH48" s="158"/>
      <c r="RI48" s="158"/>
      <c r="RJ48" s="158"/>
      <c r="RK48" s="158"/>
      <c r="RL48" s="158"/>
      <c r="RM48" s="158"/>
      <c r="RN48" s="159"/>
      <c r="RO48" s="158"/>
      <c r="RP48" s="158"/>
      <c r="RQ48" s="158"/>
      <c r="RR48" s="158"/>
      <c r="RS48" s="158"/>
      <c r="RT48" s="158"/>
      <c r="RU48" s="159"/>
      <c r="RV48" s="158"/>
      <c r="RW48" s="158"/>
      <c r="RX48" s="158"/>
      <c r="RY48" s="158"/>
      <c r="RZ48" s="158"/>
      <c r="SA48" s="158"/>
      <c r="SB48" s="158"/>
      <c r="SC48" s="159"/>
      <c r="SD48" s="158"/>
      <c r="SE48" s="158"/>
      <c r="SF48" s="158"/>
      <c r="SG48" s="159"/>
      <c r="SH48" s="158"/>
      <c r="SI48" s="158"/>
      <c r="SJ48" s="158"/>
      <c r="SK48" s="158"/>
      <c r="SL48" s="158"/>
      <c r="SM48" s="158"/>
      <c r="SN48" s="159"/>
      <c r="SO48" s="158"/>
      <c r="SP48" s="158"/>
      <c r="SQ48" s="158"/>
      <c r="SR48" s="159"/>
      <c r="SS48" s="158"/>
      <c r="ST48" s="158"/>
      <c r="SU48" s="159"/>
      <c r="SV48" s="158"/>
      <c r="SW48" s="158"/>
      <c r="SX48" s="159"/>
      <c r="SY48" s="158"/>
      <c r="SZ48" s="158"/>
      <c r="TA48" s="159"/>
      <c r="TB48" s="158"/>
      <c r="TC48" s="158"/>
      <c r="TD48" s="158"/>
      <c r="TE48" s="158"/>
      <c r="TF48" s="158"/>
      <c r="TG48" s="158"/>
      <c r="TP48" s="158"/>
      <c r="TQ48" s="158"/>
      <c r="TR48" s="158"/>
      <c r="UC48" s="165"/>
    </row>
    <row r="49" spans="1:549" hidden="1" x14ac:dyDescent="0.25">
      <c r="A49" s="154"/>
      <c r="B49" s="155"/>
      <c r="C49" s="156"/>
      <c r="D49" s="166"/>
      <c r="E49" s="158"/>
      <c r="F49" s="158"/>
      <c r="G49" s="158"/>
      <c r="H49" s="159"/>
      <c r="I49" s="158"/>
      <c r="J49" s="158"/>
      <c r="K49" s="158"/>
      <c r="L49" s="159"/>
      <c r="M49" s="158"/>
      <c r="N49" s="158"/>
      <c r="O49" s="159"/>
      <c r="P49" s="158"/>
      <c r="Q49" s="158"/>
      <c r="R49" s="158"/>
      <c r="S49" s="158"/>
      <c r="T49" s="159"/>
      <c r="U49" s="158"/>
      <c r="V49" s="158"/>
      <c r="W49" s="158"/>
      <c r="X49" s="159"/>
      <c r="Y49" s="158"/>
      <c r="Z49" s="158"/>
      <c r="AA49" s="159"/>
      <c r="AB49" s="158"/>
      <c r="AC49" s="158"/>
      <c r="AD49" s="159"/>
      <c r="AE49" s="158"/>
      <c r="AF49" s="158"/>
      <c r="AG49" s="158"/>
      <c r="AH49" s="159"/>
      <c r="AI49" s="158"/>
      <c r="AJ49" s="158"/>
      <c r="AK49" s="158"/>
      <c r="AL49" s="159"/>
      <c r="AM49" s="158"/>
      <c r="AN49" s="158"/>
      <c r="AO49" s="158"/>
      <c r="AP49" s="159"/>
      <c r="AQ49" s="158"/>
      <c r="AR49" s="158"/>
      <c r="AS49" s="158"/>
      <c r="AT49" s="158"/>
      <c r="AU49" s="159"/>
      <c r="AV49" s="158"/>
      <c r="AW49" s="158"/>
      <c r="AX49" s="158"/>
      <c r="AY49" s="158"/>
      <c r="AZ49" s="158"/>
      <c r="BA49" s="158"/>
      <c r="BB49" s="158"/>
      <c r="BC49" s="158"/>
      <c r="BD49" s="159"/>
      <c r="BE49" s="158"/>
      <c r="BF49" s="158"/>
      <c r="BG49" s="158"/>
      <c r="BH49" s="158"/>
      <c r="BI49" s="158"/>
      <c r="BJ49" s="158"/>
      <c r="BK49" s="158"/>
      <c r="BL49" s="159"/>
      <c r="BM49" s="158"/>
      <c r="BN49" s="158"/>
      <c r="BO49" s="158"/>
      <c r="BP49" s="158"/>
      <c r="BQ49" s="158"/>
      <c r="BR49" s="158"/>
      <c r="BS49" s="159"/>
      <c r="BT49" s="158"/>
      <c r="BU49" s="158"/>
      <c r="BV49" s="158"/>
      <c r="BW49" s="159"/>
      <c r="BX49" s="158"/>
      <c r="BY49" s="158"/>
      <c r="BZ49" s="159"/>
      <c r="CA49" s="158"/>
      <c r="CB49" s="158"/>
      <c r="CC49" s="159"/>
      <c r="CD49" s="158"/>
      <c r="CE49" s="158"/>
      <c r="CF49" s="158"/>
      <c r="CG49" s="158"/>
      <c r="CH49" s="158"/>
      <c r="CI49" s="158"/>
      <c r="CJ49" s="158"/>
      <c r="CK49" s="158"/>
      <c r="CL49" s="159"/>
      <c r="CM49" s="158"/>
      <c r="CN49" s="158"/>
      <c r="CO49" s="158"/>
      <c r="CP49" s="158"/>
      <c r="CQ49" s="159"/>
      <c r="CR49" s="158"/>
      <c r="CS49" s="158"/>
      <c r="CT49" s="158"/>
      <c r="CU49" s="158"/>
      <c r="CV49" s="158"/>
      <c r="CW49" s="158"/>
      <c r="CX49" s="159"/>
      <c r="CY49" s="158"/>
      <c r="CZ49" s="158"/>
      <c r="DA49" s="158"/>
      <c r="DB49" s="159"/>
      <c r="DC49" s="158"/>
      <c r="DD49" s="158"/>
      <c r="DE49" s="159"/>
      <c r="DF49" s="158"/>
      <c r="DG49" s="158"/>
      <c r="DH49" s="159"/>
      <c r="DI49" s="158"/>
      <c r="DJ49" s="158"/>
      <c r="DK49" s="159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9"/>
      <c r="DX49" s="158"/>
      <c r="DY49" s="158"/>
      <c r="DZ49" s="158"/>
      <c r="EA49" s="159"/>
      <c r="EB49" s="158"/>
      <c r="EC49" s="158"/>
      <c r="ED49" s="158"/>
      <c r="EE49" s="158"/>
      <c r="EF49" s="158"/>
      <c r="EG49" s="158"/>
      <c r="EH49" s="159"/>
      <c r="EI49" s="158"/>
      <c r="EJ49" s="158"/>
      <c r="EK49" s="158"/>
      <c r="EL49" s="159"/>
      <c r="EM49" s="158"/>
      <c r="EN49" s="158"/>
      <c r="EO49" s="159"/>
      <c r="EP49" s="158"/>
      <c r="EQ49" s="158"/>
      <c r="ER49" s="159"/>
      <c r="ES49" s="158"/>
      <c r="ET49" s="158"/>
      <c r="EU49" s="159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9"/>
      <c r="FH49" s="158"/>
      <c r="FI49" s="158"/>
      <c r="FJ49" s="158"/>
      <c r="FK49" s="159"/>
      <c r="FL49" s="158"/>
      <c r="FM49" s="158"/>
      <c r="FN49" s="158"/>
      <c r="FO49" s="158"/>
      <c r="FP49" s="158"/>
      <c r="FQ49" s="158"/>
      <c r="FR49" s="159"/>
      <c r="FS49" s="158"/>
      <c r="FT49" s="158"/>
      <c r="FU49" s="158"/>
      <c r="FV49" s="159"/>
      <c r="FW49" s="158"/>
      <c r="FX49" s="158"/>
      <c r="FY49" s="159"/>
      <c r="FZ49" s="158"/>
      <c r="GA49" s="158"/>
      <c r="GB49" s="159"/>
      <c r="GC49" s="158"/>
      <c r="GD49" s="158"/>
      <c r="GE49" s="159"/>
      <c r="GF49" s="158"/>
      <c r="GG49" s="158"/>
      <c r="GH49" s="158"/>
      <c r="GI49" s="158"/>
      <c r="GJ49" s="158"/>
      <c r="GK49" s="160"/>
      <c r="GL49" s="160"/>
      <c r="GM49" s="160"/>
      <c r="GN49" s="161"/>
      <c r="GO49" s="158"/>
      <c r="GP49" s="158"/>
      <c r="GQ49" s="158"/>
      <c r="GR49" s="159"/>
      <c r="GS49" s="158"/>
      <c r="GT49" s="158"/>
      <c r="GU49" s="158"/>
      <c r="GV49" s="158"/>
      <c r="GW49" s="159"/>
      <c r="GX49" s="158"/>
      <c r="GY49" s="158"/>
      <c r="GZ49" s="158"/>
      <c r="HA49" s="158"/>
      <c r="HB49" s="159"/>
      <c r="HC49" s="158"/>
      <c r="HD49" s="158"/>
      <c r="HE49" s="158"/>
      <c r="HF49" s="158"/>
      <c r="HG49" s="159"/>
      <c r="HH49" s="158"/>
      <c r="HI49" s="158"/>
      <c r="HJ49" s="158"/>
      <c r="HK49" s="158"/>
      <c r="HL49" s="159"/>
      <c r="HM49" s="158"/>
      <c r="HN49" s="158"/>
      <c r="HO49" s="158"/>
      <c r="HP49" s="158"/>
      <c r="HQ49" s="159"/>
      <c r="HR49" s="158"/>
      <c r="HS49" s="160"/>
      <c r="HT49" s="160"/>
      <c r="HU49" s="160"/>
      <c r="HV49" s="161"/>
      <c r="HW49" s="158"/>
      <c r="HX49" s="158"/>
      <c r="HY49" s="158"/>
      <c r="HZ49" s="159"/>
      <c r="IA49" s="158"/>
      <c r="IB49" s="158"/>
      <c r="IC49" s="158"/>
      <c r="ID49" s="158"/>
      <c r="IE49" s="159"/>
      <c r="IF49" s="158"/>
      <c r="IG49" s="158"/>
      <c r="IH49" s="158"/>
      <c r="II49" s="158"/>
      <c r="IJ49" s="159"/>
      <c r="IK49" s="158"/>
      <c r="IL49" s="158"/>
      <c r="IM49" s="158"/>
      <c r="IN49" s="158"/>
      <c r="IO49" s="159"/>
      <c r="IP49" s="158"/>
      <c r="IQ49" s="158"/>
      <c r="IR49" s="158"/>
      <c r="IS49" s="158"/>
      <c r="IT49" s="159"/>
      <c r="IU49" s="158"/>
      <c r="IV49" s="158"/>
      <c r="IW49" s="158"/>
      <c r="IX49" s="159"/>
      <c r="IY49" s="158"/>
      <c r="IZ49" s="158"/>
      <c r="JA49" s="158"/>
      <c r="JB49" s="159"/>
      <c r="JC49" s="158"/>
      <c r="JD49" s="158"/>
      <c r="JE49" s="158"/>
      <c r="JF49" s="159"/>
      <c r="JG49" s="158"/>
      <c r="JH49" s="158"/>
      <c r="JI49" s="158"/>
      <c r="JJ49" s="158"/>
      <c r="JK49" s="158"/>
      <c r="JL49" s="158"/>
      <c r="JM49" s="158"/>
      <c r="JN49" s="158"/>
      <c r="JO49" s="158"/>
      <c r="JP49" s="158"/>
      <c r="JQ49" s="158"/>
      <c r="JR49" s="158"/>
      <c r="JS49" s="158"/>
      <c r="JT49" s="158"/>
      <c r="JU49" s="158"/>
      <c r="JV49" s="158"/>
      <c r="JW49" s="158"/>
      <c r="JX49" s="158"/>
      <c r="JY49" s="158"/>
      <c r="JZ49" s="158"/>
      <c r="KA49" s="158"/>
      <c r="KB49" s="158"/>
      <c r="KC49" s="158"/>
      <c r="KD49" s="158"/>
      <c r="KE49" s="158"/>
      <c r="KF49" s="158"/>
      <c r="KG49" s="158"/>
      <c r="KH49" s="158"/>
      <c r="KI49" s="158"/>
      <c r="KJ49" s="158"/>
      <c r="KK49" s="158"/>
      <c r="KL49" s="158"/>
      <c r="KM49" s="158"/>
      <c r="KN49" s="158"/>
      <c r="KO49" s="158"/>
      <c r="KP49" s="158"/>
      <c r="KQ49" s="158"/>
      <c r="KR49" s="158"/>
      <c r="KS49" s="158"/>
      <c r="KT49" s="158"/>
      <c r="KU49" s="158"/>
      <c r="KV49" s="158"/>
      <c r="KW49" s="158"/>
      <c r="KX49" s="158"/>
      <c r="KY49" s="158"/>
      <c r="KZ49" s="159"/>
      <c r="LA49" s="158"/>
      <c r="LB49" s="158"/>
      <c r="LC49" s="158"/>
      <c r="LD49" s="159"/>
      <c r="LE49" s="158"/>
      <c r="LF49" s="158"/>
      <c r="LG49" s="158"/>
      <c r="LH49" s="159"/>
      <c r="LI49" s="158"/>
      <c r="LJ49" s="158"/>
      <c r="LK49" s="158"/>
      <c r="LL49" s="159"/>
      <c r="LM49" s="158"/>
      <c r="LN49" s="158"/>
      <c r="LO49" s="158"/>
      <c r="LP49" s="159"/>
      <c r="LQ49" s="158"/>
      <c r="LR49" s="158"/>
      <c r="LS49" s="158"/>
      <c r="LT49" s="159"/>
      <c r="LU49" s="159"/>
      <c r="LV49" s="159"/>
      <c r="LW49" s="159"/>
      <c r="LX49" s="159"/>
      <c r="LY49" s="158"/>
      <c r="LZ49" s="158"/>
      <c r="MA49" s="158"/>
      <c r="MB49" s="159"/>
      <c r="MC49" s="158"/>
      <c r="MD49" s="159"/>
      <c r="ME49" s="158"/>
      <c r="MF49" s="159"/>
      <c r="MG49" s="158"/>
      <c r="MH49" s="159"/>
      <c r="MI49" s="158"/>
      <c r="MJ49" s="159"/>
      <c r="MK49" s="158"/>
      <c r="ML49" s="159"/>
      <c r="MM49" s="158"/>
      <c r="MN49" s="158"/>
      <c r="MO49" s="158"/>
      <c r="MP49" s="158"/>
      <c r="MQ49" s="158"/>
      <c r="MR49" s="158"/>
      <c r="MS49" s="158"/>
      <c r="MT49" s="158"/>
      <c r="MU49" s="158"/>
      <c r="MV49" s="158"/>
      <c r="MW49" s="159"/>
      <c r="MX49" s="158"/>
      <c r="MY49" s="158"/>
      <c r="MZ49" s="158"/>
      <c r="NA49" s="159"/>
      <c r="NB49" s="158"/>
      <c r="NC49" s="158"/>
      <c r="ND49" s="158"/>
      <c r="NE49" s="159"/>
      <c r="NF49" s="158"/>
      <c r="NG49" s="158"/>
      <c r="NH49" s="158"/>
      <c r="NI49" s="159"/>
      <c r="NJ49" s="158"/>
      <c r="NK49" s="158"/>
      <c r="NL49" s="158"/>
      <c r="NM49" s="159"/>
      <c r="NN49" s="158"/>
      <c r="NO49" s="158"/>
      <c r="NP49" s="158"/>
      <c r="NQ49" s="159"/>
      <c r="NR49" s="158"/>
      <c r="NS49" s="158"/>
      <c r="NT49" s="158"/>
      <c r="NU49" s="159"/>
      <c r="NV49" s="162"/>
      <c r="NW49" s="162"/>
      <c r="NX49" s="162"/>
      <c r="NY49" s="161"/>
      <c r="NZ49" s="162"/>
      <c r="OA49" s="162"/>
      <c r="OB49" s="162"/>
      <c r="OC49" s="161"/>
      <c r="OD49" s="163"/>
      <c r="OE49" s="163"/>
      <c r="OF49" s="163"/>
      <c r="OG49" s="163"/>
      <c r="OH49" s="163"/>
      <c r="OI49" s="163"/>
      <c r="OJ49" s="163"/>
      <c r="OK49" s="163"/>
      <c r="OL49" s="163"/>
      <c r="OM49" s="163"/>
      <c r="ON49" s="163"/>
      <c r="OO49" s="163"/>
      <c r="OP49" s="163"/>
      <c r="OQ49" s="163"/>
      <c r="OR49" s="163"/>
      <c r="OX49" s="163"/>
      <c r="PB49" s="164"/>
      <c r="PF49" s="164"/>
      <c r="PJ49" s="164"/>
      <c r="PN49" s="164"/>
      <c r="PR49" s="164"/>
      <c r="PV49" s="164"/>
      <c r="PZ49" s="164"/>
      <c r="QA49" s="158"/>
      <c r="QB49" s="158"/>
      <c r="QD49" s="163"/>
      <c r="QE49" s="158"/>
      <c r="QF49" s="158"/>
      <c r="QG49" s="158"/>
      <c r="QH49" s="158"/>
      <c r="QI49" s="158"/>
      <c r="QJ49" s="158"/>
      <c r="QK49" s="158"/>
      <c r="QL49" s="159"/>
      <c r="QM49" s="158"/>
      <c r="QN49" s="158"/>
      <c r="QO49" s="158"/>
      <c r="QP49" s="158"/>
      <c r="QQ49" s="158"/>
      <c r="QR49" s="158"/>
      <c r="QS49" s="159"/>
      <c r="QT49" s="158"/>
      <c r="QU49" s="158"/>
      <c r="QV49" s="158"/>
      <c r="QW49" s="158"/>
      <c r="QX49" s="158"/>
      <c r="QY49" s="158"/>
      <c r="QZ49" s="159"/>
      <c r="RA49" s="158"/>
      <c r="RB49" s="158"/>
      <c r="RC49" s="158"/>
      <c r="RD49" s="158"/>
      <c r="RE49" s="158"/>
      <c r="RF49" s="158"/>
      <c r="RG49" s="159"/>
      <c r="RH49" s="158"/>
      <c r="RI49" s="158"/>
      <c r="RJ49" s="158"/>
      <c r="RK49" s="158"/>
      <c r="RL49" s="158"/>
      <c r="RM49" s="158"/>
      <c r="RN49" s="159"/>
      <c r="RO49" s="158"/>
      <c r="RP49" s="158"/>
      <c r="RQ49" s="158"/>
      <c r="RR49" s="158"/>
      <c r="RS49" s="158"/>
      <c r="RT49" s="158"/>
      <c r="RU49" s="159"/>
      <c r="RV49" s="158"/>
      <c r="RW49" s="158"/>
      <c r="RX49" s="158"/>
      <c r="RY49" s="158"/>
      <c r="RZ49" s="158"/>
      <c r="SA49" s="158"/>
      <c r="SB49" s="158"/>
      <c r="SC49" s="159"/>
      <c r="SD49" s="158"/>
      <c r="SE49" s="158"/>
      <c r="SF49" s="158"/>
      <c r="SG49" s="159"/>
      <c r="SH49" s="158"/>
      <c r="SI49" s="158"/>
      <c r="SJ49" s="158"/>
      <c r="SK49" s="158"/>
      <c r="SL49" s="158"/>
      <c r="SM49" s="158"/>
      <c r="SN49" s="159"/>
      <c r="SO49" s="158"/>
      <c r="SP49" s="158"/>
      <c r="SQ49" s="158"/>
      <c r="SR49" s="159"/>
      <c r="SS49" s="158"/>
      <c r="ST49" s="158"/>
      <c r="SU49" s="159"/>
      <c r="SV49" s="158"/>
      <c r="SW49" s="158"/>
      <c r="SX49" s="159"/>
      <c r="SY49" s="158"/>
      <c r="SZ49" s="158"/>
      <c r="TA49" s="159"/>
      <c r="TB49" s="158"/>
      <c r="TC49" s="158"/>
      <c r="TD49" s="158"/>
      <c r="TE49" s="158"/>
      <c r="TF49" s="158"/>
      <c r="TG49" s="158"/>
      <c r="TP49" s="158"/>
      <c r="TQ49" s="158"/>
      <c r="TR49" s="158"/>
      <c r="UC49" s="165"/>
    </row>
    <row r="50" spans="1:549" x14ac:dyDescent="0.25">
      <c r="A50" s="154"/>
      <c r="B50" s="155"/>
      <c r="C50" s="156"/>
      <c r="D50" s="157"/>
      <c r="E50" s="158"/>
      <c r="F50" s="158"/>
      <c r="G50" s="158"/>
      <c r="H50" s="159"/>
      <c r="I50" s="158"/>
      <c r="J50" s="158"/>
      <c r="K50" s="158"/>
      <c r="L50" s="159"/>
      <c r="M50" s="158"/>
      <c r="N50" s="158"/>
      <c r="O50" s="159"/>
      <c r="P50" s="158"/>
      <c r="Q50" s="158"/>
      <c r="R50" s="158"/>
      <c r="S50" s="158"/>
      <c r="T50" s="159"/>
      <c r="U50" s="158"/>
      <c r="V50" s="158"/>
      <c r="W50" s="158"/>
      <c r="X50" s="159"/>
      <c r="Y50" s="158"/>
      <c r="Z50" s="158"/>
      <c r="AA50" s="159"/>
      <c r="AB50" s="158"/>
      <c r="AC50" s="158"/>
      <c r="AD50" s="159"/>
      <c r="AE50" s="158"/>
      <c r="AF50" s="158"/>
      <c r="AG50" s="158"/>
      <c r="AH50" s="159"/>
      <c r="AI50" s="158"/>
      <c r="AJ50" s="158"/>
      <c r="AK50" s="158"/>
      <c r="AL50" s="159"/>
      <c r="AM50" s="158"/>
      <c r="AN50" s="158"/>
      <c r="AO50" s="158"/>
      <c r="AP50" s="159"/>
      <c r="AQ50" s="158"/>
      <c r="AR50" s="158"/>
      <c r="AS50" s="158"/>
      <c r="AT50" s="158"/>
      <c r="AU50" s="159"/>
      <c r="AV50" s="158"/>
      <c r="AW50" s="158"/>
      <c r="AX50" s="158"/>
      <c r="AY50" s="158"/>
      <c r="AZ50" s="158"/>
      <c r="BA50" s="158"/>
      <c r="BB50" s="158"/>
      <c r="BC50" s="158"/>
      <c r="BD50" s="159"/>
      <c r="BE50" s="158"/>
      <c r="BF50" s="158"/>
      <c r="BG50" s="158"/>
      <c r="BH50" s="158"/>
      <c r="BI50" s="158"/>
      <c r="BJ50" s="158"/>
      <c r="BK50" s="158"/>
      <c r="BL50" s="159"/>
      <c r="BM50" s="158"/>
      <c r="BN50" s="158"/>
      <c r="BO50" s="158"/>
      <c r="BP50" s="158"/>
      <c r="BQ50" s="158"/>
      <c r="BR50" s="158"/>
      <c r="BS50" s="159"/>
      <c r="BT50" s="158"/>
      <c r="BU50" s="158"/>
      <c r="BV50" s="158"/>
      <c r="BW50" s="159"/>
      <c r="BX50" s="158"/>
      <c r="BY50" s="158"/>
      <c r="BZ50" s="159"/>
      <c r="CA50" s="158"/>
      <c r="CB50" s="158"/>
      <c r="CC50" s="159"/>
      <c r="CD50" s="158"/>
      <c r="CE50" s="158"/>
      <c r="CF50" s="158"/>
      <c r="CG50" s="158"/>
      <c r="CH50" s="158"/>
      <c r="CI50" s="158"/>
      <c r="CJ50" s="158"/>
      <c r="CK50" s="158"/>
      <c r="CL50" s="159"/>
      <c r="CM50" s="158"/>
      <c r="CN50" s="158"/>
      <c r="CO50" s="158"/>
      <c r="CP50" s="158"/>
      <c r="CQ50" s="159"/>
      <c r="CR50" s="158"/>
      <c r="CS50" s="158"/>
      <c r="CT50" s="158"/>
      <c r="CU50" s="158"/>
      <c r="CV50" s="158"/>
      <c r="CW50" s="158"/>
      <c r="CX50" s="159"/>
      <c r="CY50" s="158"/>
      <c r="CZ50" s="158"/>
      <c r="DA50" s="158"/>
      <c r="DB50" s="159"/>
      <c r="DC50" s="158"/>
      <c r="DD50" s="158"/>
      <c r="DE50" s="159"/>
      <c r="DF50" s="158"/>
      <c r="DG50" s="158"/>
      <c r="DH50" s="159"/>
      <c r="DI50" s="158"/>
      <c r="DJ50" s="158"/>
      <c r="DK50" s="159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9"/>
      <c r="DX50" s="158"/>
      <c r="DY50" s="158"/>
      <c r="DZ50" s="158"/>
      <c r="EA50" s="159"/>
      <c r="EB50" s="158"/>
      <c r="EC50" s="158"/>
      <c r="ED50" s="158"/>
      <c r="EE50" s="158"/>
      <c r="EF50" s="158"/>
      <c r="EG50" s="158"/>
      <c r="EH50" s="159"/>
      <c r="EI50" s="158"/>
      <c r="EJ50" s="158"/>
      <c r="EK50" s="158"/>
      <c r="EL50" s="159"/>
      <c r="EM50" s="158"/>
      <c r="EN50" s="158"/>
      <c r="EO50" s="159"/>
      <c r="EP50" s="158"/>
      <c r="EQ50" s="158"/>
      <c r="ER50" s="159"/>
      <c r="ES50" s="158"/>
      <c r="ET50" s="158"/>
      <c r="EU50" s="159"/>
      <c r="EV50" s="158"/>
      <c r="EW50" s="158"/>
      <c r="EX50" s="158"/>
      <c r="EY50" s="158"/>
      <c r="EZ50" s="158"/>
      <c r="FA50" s="158"/>
      <c r="FB50" s="158"/>
      <c r="FC50" s="158"/>
      <c r="FD50" s="158"/>
      <c r="FE50" s="158"/>
      <c r="FF50" s="158"/>
      <c r="FG50" s="159"/>
      <c r="FH50" s="158"/>
      <c r="FI50" s="158"/>
      <c r="FJ50" s="158"/>
      <c r="FK50" s="159"/>
      <c r="FL50" s="158"/>
      <c r="FM50" s="158"/>
      <c r="FN50" s="158"/>
      <c r="FO50" s="158"/>
      <c r="FP50" s="158"/>
      <c r="FQ50" s="158"/>
      <c r="FR50" s="159"/>
      <c r="FS50" s="158"/>
      <c r="FT50" s="158"/>
      <c r="FU50" s="158"/>
      <c r="FV50" s="159"/>
      <c r="FW50" s="158"/>
      <c r="FX50" s="158"/>
      <c r="FY50" s="159"/>
      <c r="FZ50" s="158"/>
      <c r="GA50" s="158"/>
      <c r="GB50" s="159"/>
      <c r="GC50" s="158"/>
      <c r="GD50" s="158"/>
      <c r="GE50" s="159"/>
      <c r="GF50" s="158"/>
      <c r="GG50" s="158"/>
      <c r="GH50" s="158"/>
      <c r="GI50" s="158"/>
      <c r="GJ50" s="158"/>
      <c r="GK50" s="160"/>
      <c r="GL50" s="160"/>
      <c r="GM50" s="160"/>
      <c r="GN50" s="161"/>
      <c r="GO50" s="158"/>
      <c r="GP50" s="158"/>
      <c r="GQ50" s="158"/>
      <c r="GR50" s="159"/>
      <c r="GS50" s="158"/>
      <c r="GT50" s="158"/>
      <c r="GU50" s="158"/>
      <c r="GV50" s="158"/>
      <c r="GW50" s="159"/>
      <c r="GX50" s="158"/>
      <c r="GY50" s="158"/>
      <c r="GZ50" s="158"/>
      <c r="HA50" s="158"/>
      <c r="HB50" s="159"/>
      <c r="HC50" s="158"/>
      <c r="HD50" s="158"/>
      <c r="HE50" s="158"/>
      <c r="HF50" s="158"/>
      <c r="HG50" s="159"/>
      <c r="HH50" s="158"/>
      <c r="HI50" s="158"/>
      <c r="HJ50" s="158"/>
      <c r="HK50" s="158"/>
      <c r="HL50" s="159"/>
      <c r="HM50" s="158"/>
      <c r="HN50" s="158"/>
      <c r="HO50" s="158"/>
      <c r="HP50" s="158"/>
      <c r="HQ50" s="159"/>
      <c r="HR50" s="158"/>
      <c r="HS50" s="160"/>
      <c r="HT50" s="160"/>
      <c r="HU50" s="160"/>
      <c r="HV50" s="161"/>
      <c r="HW50" s="158"/>
      <c r="HX50" s="158"/>
      <c r="HY50" s="158"/>
      <c r="HZ50" s="159"/>
      <c r="IA50" s="158"/>
      <c r="IB50" s="158"/>
      <c r="IC50" s="158"/>
      <c r="ID50" s="158"/>
      <c r="IE50" s="159"/>
      <c r="IF50" s="158"/>
      <c r="IG50" s="158"/>
      <c r="IH50" s="158"/>
      <c r="II50" s="158"/>
      <c r="IJ50" s="159"/>
      <c r="IK50" s="158"/>
      <c r="IL50" s="158"/>
      <c r="IM50" s="158"/>
      <c r="IN50" s="158"/>
      <c r="IO50" s="159"/>
      <c r="IP50" s="158"/>
      <c r="IQ50" s="158"/>
      <c r="IR50" s="158"/>
      <c r="IS50" s="158"/>
      <c r="IT50" s="159"/>
      <c r="IU50" s="158"/>
      <c r="IV50" s="158"/>
      <c r="IW50" s="158"/>
      <c r="IX50" s="159"/>
      <c r="IY50" s="158"/>
      <c r="IZ50" s="158"/>
      <c r="JA50" s="158"/>
      <c r="JB50" s="159"/>
      <c r="JC50" s="158"/>
      <c r="JD50" s="158"/>
      <c r="JE50" s="158"/>
      <c r="JF50" s="159"/>
      <c r="JG50" s="158"/>
      <c r="JH50" s="158"/>
      <c r="JI50" s="158"/>
      <c r="JJ50" s="158"/>
      <c r="JK50" s="158"/>
      <c r="JL50" s="158"/>
      <c r="JM50" s="158"/>
      <c r="JN50" s="158"/>
      <c r="JO50" s="158"/>
      <c r="JP50" s="158"/>
      <c r="JQ50" s="158"/>
      <c r="JR50" s="158"/>
      <c r="JS50" s="158"/>
      <c r="JT50" s="158"/>
      <c r="JU50" s="158"/>
      <c r="JV50" s="158"/>
      <c r="JW50" s="158"/>
      <c r="JX50" s="158"/>
      <c r="JY50" s="158"/>
      <c r="JZ50" s="158"/>
      <c r="KA50" s="158"/>
      <c r="KB50" s="158"/>
      <c r="KC50" s="158"/>
      <c r="KD50" s="158"/>
      <c r="KE50" s="158"/>
      <c r="KF50" s="158"/>
      <c r="KG50" s="158"/>
      <c r="KH50" s="158"/>
      <c r="KI50" s="158"/>
      <c r="KJ50" s="158"/>
      <c r="KK50" s="158"/>
      <c r="KL50" s="158"/>
      <c r="KM50" s="158"/>
      <c r="KN50" s="158"/>
      <c r="KO50" s="158"/>
      <c r="KP50" s="158"/>
      <c r="KQ50" s="158"/>
      <c r="KR50" s="158"/>
      <c r="KS50" s="158"/>
      <c r="KT50" s="158"/>
      <c r="KU50" s="158"/>
      <c r="KV50" s="158"/>
      <c r="KW50" s="158"/>
      <c r="KX50" s="158"/>
      <c r="KY50" s="158"/>
      <c r="KZ50" s="159"/>
      <c r="LA50" s="158"/>
      <c r="LB50" s="158"/>
      <c r="LC50" s="158"/>
      <c r="LD50" s="159"/>
      <c r="LE50" s="158"/>
      <c r="LF50" s="158"/>
      <c r="LG50" s="158"/>
      <c r="LH50" s="159"/>
      <c r="LI50" s="158"/>
      <c r="LJ50" s="158"/>
      <c r="LK50" s="158"/>
      <c r="LL50" s="159"/>
      <c r="LM50" s="158"/>
      <c r="LN50" s="158"/>
      <c r="LO50" s="158"/>
      <c r="LP50" s="159"/>
      <c r="LQ50" s="158"/>
      <c r="LR50" s="158"/>
      <c r="LS50" s="158"/>
      <c r="LT50" s="159"/>
      <c r="LU50" s="159"/>
      <c r="LV50" s="159"/>
      <c r="LW50" s="159"/>
      <c r="LX50" s="159"/>
      <c r="LY50" s="158"/>
      <c r="LZ50" s="158"/>
      <c r="MA50" s="158"/>
      <c r="MB50" s="159"/>
      <c r="MC50" s="158"/>
      <c r="MD50" s="159"/>
      <c r="ME50" s="158"/>
      <c r="MF50" s="159"/>
      <c r="MG50" s="158"/>
      <c r="MH50" s="159"/>
      <c r="MI50" s="158"/>
      <c r="MJ50" s="159"/>
      <c r="MK50" s="158"/>
      <c r="ML50" s="159"/>
      <c r="MM50" s="158"/>
      <c r="MN50" s="158"/>
      <c r="MO50" s="158"/>
      <c r="MP50" s="158"/>
      <c r="MQ50" s="158"/>
      <c r="MR50" s="158"/>
      <c r="MS50" s="158"/>
      <c r="MT50" s="158"/>
      <c r="MU50" s="158"/>
      <c r="MV50" s="158"/>
      <c r="MW50" s="159"/>
      <c r="MX50" s="158"/>
      <c r="MY50" s="158"/>
      <c r="MZ50" s="158"/>
      <c r="NA50" s="159"/>
      <c r="NB50" s="158"/>
      <c r="NC50" s="158"/>
      <c r="ND50" s="158"/>
      <c r="NE50" s="159"/>
      <c r="NF50" s="158"/>
      <c r="NG50" s="158"/>
      <c r="NH50" s="158"/>
      <c r="NI50" s="159"/>
      <c r="NJ50" s="158"/>
      <c r="NK50" s="158"/>
      <c r="NL50" s="158"/>
      <c r="NM50" s="159"/>
      <c r="NN50" s="158"/>
      <c r="NO50" s="158"/>
      <c r="NP50" s="158"/>
      <c r="NQ50" s="159"/>
      <c r="NR50" s="158"/>
      <c r="NS50" s="158"/>
      <c r="NT50" s="158"/>
      <c r="NU50" s="159"/>
      <c r="NV50" s="162"/>
      <c r="NW50" s="162"/>
      <c r="NX50" s="162"/>
      <c r="NY50" s="161"/>
      <c r="NZ50" s="162"/>
      <c r="OA50" s="162"/>
      <c r="OB50" s="162"/>
      <c r="OC50" s="161"/>
      <c r="OD50" s="163"/>
      <c r="OE50" s="163"/>
      <c r="OF50" s="163"/>
      <c r="OG50" s="163"/>
      <c r="OH50" s="163"/>
      <c r="OI50" s="163"/>
      <c r="OJ50" s="163"/>
      <c r="OK50" s="163"/>
      <c r="OL50" s="163"/>
      <c r="OM50" s="163"/>
      <c r="ON50" s="163"/>
      <c r="OO50" s="163"/>
      <c r="OP50" s="163"/>
      <c r="OQ50" s="163"/>
      <c r="OR50" s="163"/>
      <c r="OX50" s="163"/>
      <c r="PB50" s="164"/>
      <c r="PF50" s="164"/>
      <c r="PJ50" s="164"/>
      <c r="PN50" s="164"/>
      <c r="PR50" s="164"/>
      <c r="PV50" s="164"/>
      <c r="PZ50" s="164"/>
      <c r="QA50" s="158"/>
      <c r="QB50" s="158"/>
      <c r="QD50" s="163"/>
      <c r="QE50" s="158"/>
      <c r="QF50" s="158"/>
      <c r="QG50" s="158"/>
      <c r="QH50" s="158"/>
      <c r="QI50" s="158"/>
      <c r="QJ50" s="158"/>
      <c r="QK50" s="158"/>
      <c r="QL50" s="159"/>
      <c r="QM50" s="158"/>
      <c r="QN50" s="158"/>
      <c r="QO50" s="158"/>
      <c r="QP50" s="158"/>
      <c r="QQ50" s="158"/>
      <c r="QR50" s="158"/>
      <c r="QS50" s="159"/>
      <c r="QT50" s="158"/>
      <c r="QU50" s="158"/>
      <c r="QV50" s="158"/>
      <c r="QW50" s="158"/>
      <c r="QX50" s="158"/>
      <c r="QY50" s="158"/>
      <c r="QZ50" s="159"/>
      <c r="RA50" s="158"/>
      <c r="RB50" s="158"/>
      <c r="RC50" s="158"/>
      <c r="RD50" s="158"/>
      <c r="RE50" s="158"/>
      <c r="RF50" s="158"/>
      <c r="RG50" s="159"/>
      <c r="RH50" s="158"/>
      <c r="RI50" s="158"/>
      <c r="RJ50" s="158"/>
      <c r="RK50" s="158"/>
      <c r="RL50" s="158"/>
      <c r="RM50" s="158"/>
      <c r="RN50" s="159"/>
      <c r="RO50" s="158"/>
      <c r="RP50" s="158"/>
      <c r="RQ50" s="158"/>
      <c r="RR50" s="158"/>
      <c r="RS50" s="158"/>
      <c r="RT50" s="158"/>
      <c r="RU50" s="159"/>
      <c r="RV50" s="158"/>
      <c r="RW50" s="158"/>
      <c r="RX50" s="158"/>
      <c r="RY50" s="158"/>
      <c r="RZ50" s="158"/>
      <c r="SA50" s="158"/>
      <c r="SB50" s="158"/>
      <c r="SC50" s="159"/>
      <c r="SD50" s="158"/>
      <c r="SE50" s="158"/>
      <c r="SF50" s="158"/>
      <c r="SG50" s="159"/>
      <c r="SH50" s="158"/>
      <c r="SI50" s="158"/>
      <c r="SJ50" s="158"/>
      <c r="SK50" s="158"/>
      <c r="SL50" s="158"/>
      <c r="SM50" s="158"/>
      <c r="SN50" s="159"/>
      <c r="SO50" s="158"/>
      <c r="SP50" s="158"/>
      <c r="SQ50" s="158"/>
      <c r="SR50" s="159"/>
      <c r="SS50" s="158"/>
      <c r="ST50" s="158"/>
      <c r="SU50" s="159"/>
      <c r="SV50" s="158"/>
      <c r="SW50" s="158"/>
      <c r="SX50" s="159"/>
      <c r="SY50" s="158"/>
      <c r="SZ50" s="158"/>
      <c r="TA50" s="159"/>
      <c r="TB50" s="158"/>
      <c r="TC50" s="158"/>
      <c r="TD50" s="158"/>
      <c r="TE50" s="158"/>
      <c r="TF50" s="158"/>
      <c r="TG50" s="158"/>
      <c r="TP50" s="158"/>
      <c r="TQ50" s="158"/>
      <c r="TR50" s="158"/>
      <c r="UC50" s="165"/>
    </row>
    <row r="51" spans="1:549" x14ac:dyDescent="0.25">
      <c r="A51" s="167"/>
      <c r="B51" s="155"/>
      <c r="C51" s="156"/>
      <c r="D51" s="157"/>
      <c r="E51" s="158"/>
      <c r="F51" s="158"/>
      <c r="G51" s="158"/>
      <c r="H51" s="159"/>
      <c r="I51" s="158"/>
      <c r="J51" s="158"/>
      <c r="K51" s="158"/>
      <c r="L51" s="159"/>
      <c r="M51" s="158"/>
      <c r="N51" s="158"/>
      <c r="O51" s="159"/>
      <c r="P51" s="158"/>
      <c r="Q51" s="158"/>
      <c r="R51" s="158"/>
      <c r="S51" s="158"/>
      <c r="T51" s="159"/>
      <c r="U51" s="158"/>
      <c r="V51" s="158"/>
      <c r="W51" s="158"/>
      <c r="X51" s="159"/>
      <c r="Y51" s="158"/>
      <c r="Z51" s="158"/>
      <c r="AA51" s="159"/>
      <c r="AB51" s="158"/>
      <c r="AC51" s="158"/>
      <c r="AD51" s="159"/>
      <c r="AE51" s="158"/>
      <c r="AF51" s="158"/>
      <c r="AG51" s="158"/>
      <c r="AH51" s="159"/>
      <c r="AI51" s="158"/>
      <c r="AJ51" s="158"/>
      <c r="AK51" s="158"/>
      <c r="AL51" s="159"/>
      <c r="AM51" s="158"/>
      <c r="AN51" s="158"/>
      <c r="AO51" s="158"/>
      <c r="AP51" s="159"/>
      <c r="AQ51" s="158"/>
      <c r="AR51" s="158"/>
      <c r="AS51" s="158"/>
      <c r="AT51" s="158"/>
      <c r="AU51" s="159"/>
      <c r="AV51" s="158"/>
      <c r="AW51" s="158"/>
      <c r="AX51" s="158"/>
      <c r="AY51" s="158"/>
      <c r="AZ51" s="158"/>
      <c r="BA51" s="158"/>
      <c r="BB51" s="158"/>
      <c r="BC51" s="158"/>
      <c r="BD51" s="159"/>
      <c r="BE51" s="158"/>
      <c r="BF51" s="158"/>
      <c r="BG51" s="158"/>
      <c r="BH51" s="158"/>
      <c r="BI51" s="158"/>
      <c r="BJ51" s="158"/>
      <c r="BK51" s="158"/>
      <c r="BL51" s="159"/>
      <c r="BM51" s="158"/>
      <c r="BN51" s="158"/>
      <c r="BO51" s="158"/>
      <c r="BP51" s="158"/>
      <c r="BQ51" s="158"/>
      <c r="BR51" s="158"/>
      <c r="BS51" s="159"/>
      <c r="BT51" s="158"/>
      <c r="BU51" s="158"/>
      <c r="BV51" s="158"/>
      <c r="BW51" s="159"/>
      <c r="BX51" s="158"/>
      <c r="BY51" s="158"/>
      <c r="BZ51" s="159"/>
      <c r="CA51" s="158"/>
      <c r="CB51" s="158"/>
      <c r="CC51" s="159"/>
      <c r="CD51" s="158"/>
      <c r="CE51" s="158"/>
      <c r="CF51" s="158"/>
      <c r="CG51" s="158"/>
      <c r="CH51" s="158"/>
      <c r="CI51" s="158"/>
      <c r="CJ51" s="158"/>
      <c r="CK51" s="158"/>
      <c r="CL51" s="159"/>
      <c r="CM51" s="158"/>
      <c r="CN51" s="158"/>
      <c r="CO51" s="158"/>
      <c r="CP51" s="158"/>
      <c r="CQ51" s="159"/>
      <c r="CR51" s="158"/>
      <c r="CS51" s="158"/>
      <c r="CT51" s="158"/>
      <c r="CU51" s="158"/>
      <c r="CV51" s="158"/>
      <c r="CW51" s="158"/>
      <c r="CX51" s="159"/>
      <c r="CY51" s="158"/>
      <c r="CZ51" s="158"/>
      <c r="DA51" s="158"/>
      <c r="DB51" s="159"/>
      <c r="DC51" s="158"/>
      <c r="DD51" s="158"/>
      <c r="DE51" s="159"/>
      <c r="DF51" s="158"/>
      <c r="DG51" s="158"/>
      <c r="DH51" s="159"/>
      <c r="DI51" s="158"/>
      <c r="DJ51" s="158"/>
      <c r="DK51" s="159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9"/>
      <c r="DX51" s="158"/>
      <c r="DY51" s="158"/>
      <c r="DZ51" s="158"/>
      <c r="EA51" s="159"/>
      <c r="EB51" s="158"/>
      <c r="EC51" s="158"/>
      <c r="ED51" s="158"/>
      <c r="EE51" s="158"/>
      <c r="EF51" s="158"/>
      <c r="EG51" s="158"/>
      <c r="EH51" s="159"/>
      <c r="EI51" s="158"/>
      <c r="EJ51" s="158"/>
      <c r="EK51" s="158"/>
      <c r="EL51" s="159"/>
      <c r="EM51" s="158"/>
      <c r="EN51" s="158"/>
      <c r="EO51" s="159"/>
      <c r="EP51" s="158"/>
      <c r="EQ51" s="158"/>
      <c r="ER51" s="159"/>
      <c r="ES51" s="158"/>
      <c r="ET51" s="158"/>
      <c r="EU51" s="159"/>
      <c r="EV51" s="158"/>
      <c r="EW51" s="158"/>
      <c r="EX51" s="158"/>
      <c r="EY51" s="158"/>
      <c r="EZ51" s="158"/>
      <c r="FA51" s="158"/>
      <c r="FB51" s="158"/>
      <c r="FC51" s="158"/>
      <c r="FD51" s="158"/>
      <c r="FE51" s="158"/>
      <c r="FF51" s="158"/>
      <c r="FG51" s="159"/>
      <c r="FH51" s="158"/>
      <c r="FI51" s="158"/>
      <c r="FJ51" s="158"/>
      <c r="FK51" s="159"/>
      <c r="FL51" s="158"/>
      <c r="FM51" s="158"/>
      <c r="FN51" s="158"/>
      <c r="FO51" s="158"/>
      <c r="FP51" s="158"/>
      <c r="FQ51" s="158"/>
      <c r="FR51" s="159"/>
      <c r="FS51" s="158"/>
      <c r="FT51" s="158"/>
      <c r="FU51" s="158"/>
      <c r="FV51" s="159"/>
      <c r="FW51" s="158"/>
      <c r="FX51" s="158"/>
      <c r="FY51" s="159"/>
      <c r="FZ51" s="158"/>
      <c r="GA51" s="158"/>
      <c r="GB51" s="159"/>
      <c r="GC51" s="158"/>
      <c r="GD51" s="158"/>
      <c r="GE51" s="159"/>
      <c r="GF51" s="158"/>
      <c r="GG51" s="158"/>
      <c r="GH51" s="158"/>
      <c r="GI51" s="158"/>
      <c r="GJ51" s="158"/>
      <c r="GK51" s="160"/>
      <c r="GL51" s="160"/>
      <c r="GM51" s="160"/>
      <c r="GN51" s="161"/>
      <c r="GO51" s="158"/>
      <c r="GP51" s="158"/>
      <c r="GQ51" s="158"/>
      <c r="GR51" s="159"/>
      <c r="GS51" s="158"/>
      <c r="GT51" s="158"/>
      <c r="GU51" s="158"/>
      <c r="GV51" s="158"/>
      <c r="GW51" s="159"/>
      <c r="GX51" s="158"/>
      <c r="GY51" s="158"/>
      <c r="GZ51" s="158"/>
      <c r="HA51" s="158"/>
      <c r="HB51" s="159"/>
      <c r="HC51" s="158"/>
      <c r="HD51" s="158"/>
      <c r="HE51" s="158"/>
      <c r="HF51" s="158"/>
      <c r="HG51" s="159"/>
      <c r="HH51" s="158"/>
      <c r="HI51" s="158"/>
      <c r="HJ51" s="158"/>
      <c r="HK51" s="158"/>
      <c r="HL51" s="159"/>
      <c r="HM51" s="158"/>
      <c r="HN51" s="158"/>
      <c r="HO51" s="158"/>
      <c r="HP51" s="158"/>
      <c r="HQ51" s="159"/>
      <c r="HR51" s="158"/>
      <c r="HS51" s="160"/>
      <c r="HT51" s="160"/>
      <c r="HU51" s="160"/>
      <c r="HV51" s="161"/>
      <c r="HW51" s="158"/>
      <c r="HX51" s="158"/>
      <c r="HY51" s="158"/>
      <c r="HZ51" s="159"/>
      <c r="IA51" s="158"/>
      <c r="IB51" s="158"/>
      <c r="IC51" s="158"/>
      <c r="ID51" s="158"/>
      <c r="IE51" s="159"/>
      <c r="IF51" s="158"/>
      <c r="IG51" s="158"/>
      <c r="IH51" s="158"/>
      <c r="II51" s="158"/>
      <c r="IJ51" s="159"/>
      <c r="IK51" s="158"/>
      <c r="IL51" s="158"/>
      <c r="IM51" s="158"/>
      <c r="IN51" s="158"/>
      <c r="IO51" s="159"/>
      <c r="IP51" s="158"/>
      <c r="IQ51" s="158"/>
      <c r="IR51" s="158"/>
      <c r="IS51" s="158"/>
      <c r="IT51" s="159"/>
      <c r="IU51" s="158"/>
      <c r="IV51" s="158"/>
      <c r="IW51" s="158"/>
      <c r="IX51" s="159"/>
      <c r="IY51" s="158"/>
      <c r="IZ51" s="158"/>
      <c r="JA51" s="158"/>
      <c r="JB51" s="159"/>
      <c r="JC51" s="158"/>
      <c r="JD51" s="158"/>
      <c r="JE51" s="158"/>
      <c r="JF51" s="159"/>
      <c r="JG51" s="158"/>
      <c r="JH51" s="158"/>
      <c r="JI51" s="158"/>
      <c r="JJ51" s="158"/>
      <c r="JK51" s="158"/>
      <c r="JL51" s="158"/>
      <c r="JM51" s="158"/>
      <c r="JN51" s="158"/>
      <c r="JO51" s="158"/>
      <c r="JP51" s="158"/>
      <c r="JQ51" s="158"/>
      <c r="JR51" s="158"/>
      <c r="JS51" s="158"/>
      <c r="JT51" s="158"/>
      <c r="JU51" s="158"/>
      <c r="JV51" s="158"/>
      <c r="JW51" s="158"/>
      <c r="JX51" s="158"/>
      <c r="JY51" s="158"/>
      <c r="JZ51" s="158"/>
      <c r="KA51" s="158"/>
      <c r="KB51" s="158"/>
      <c r="KC51" s="158"/>
      <c r="KD51" s="158"/>
      <c r="KE51" s="158"/>
      <c r="KF51" s="158"/>
      <c r="KG51" s="158"/>
      <c r="KH51" s="158"/>
      <c r="KI51" s="158"/>
      <c r="KJ51" s="158"/>
      <c r="KK51" s="158"/>
      <c r="KL51" s="158"/>
      <c r="KM51" s="158"/>
      <c r="KN51" s="158"/>
      <c r="KO51" s="158"/>
      <c r="KP51" s="158"/>
      <c r="KQ51" s="158"/>
      <c r="KR51" s="158"/>
      <c r="KS51" s="158"/>
      <c r="KT51" s="158"/>
      <c r="KU51" s="158"/>
      <c r="KV51" s="158"/>
      <c r="KW51" s="158"/>
      <c r="KX51" s="158"/>
      <c r="KY51" s="158"/>
      <c r="KZ51" s="159"/>
      <c r="LA51" s="158"/>
      <c r="LB51" s="158"/>
      <c r="LC51" s="158"/>
      <c r="LD51" s="159"/>
      <c r="LE51" s="158"/>
      <c r="LF51" s="158"/>
      <c r="LG51" s="158"/>
      <c r="LH51" s="159"/>
      <c r="LI51" s="158"/>
      <c r="LJ51" s="158"/>
      <c r="LK51" s="158"/>
      <c r="LL51" s="159"/>
      <c r="LM51" s="158"/>
      <c r="LN51" s="158"/>
      <c r="LO51" s="158"/>
      <c r="LP51" s="159"/>
      <c r="LQ51" s="158"/>
      <c r="LR51" s="158"/>
      <c r="LS51" s="158"/>
      <c r="LT51" s="159"/>
      <c r="LU51" s="159"/>
      <c r="LV51" s="159"/>
      <c r="LW51" s="159"/>
      <c r="LX51" s="159"/>
      <c r="LY51" s="158"/>
      <c r="LZ51" s="158"/>
      <c r="MA51" s="158"/>
      <c r="MB51" s="159"/>
      <c r="MC51" s="158"/>
      <c r="MD51" s="159"/>
      <c r="ME51" s="158"/>
      <c r="MF51" s="159"/>
      <c r="MG51" s="158"/>
      <c r="MH51" s="159"/>
      <c r="MI51" s="158"/>
      <c r="MJ51" s="159"/>
      <c r="MK51" s="158"/>
      <c r="ML51" s="159"/>
      <c r="MM51" s="158"/>
      <c r="MN51" s="158"/>
      <c r="MO51" s="158"/>
      <c r="MP51" s="158"/>
      <c r="MQ51" s="158"/>
      <c r="MR51" s="158"/>
      <c r="MS51" s="158"/>
      <c r="MT51" s="158"/>
      <c r="MU51" s="158"/>
      <c r="MV51" s="158"/>
      <c r="MW51" s="159"/>
      <c r="MX51" s="158"/>
      <c r="MY51" s="158"/>
      <c r="MZ51" s="158"/>
      <c r="NA51" s="159"/>
      <c r="NB51" s="158"/>
      <c r="NC51" s="158"/>
      <c r="ND51" s="158"/>
      <c r="NE51" s="159"/>
      <c r="NF51" s="158"/>
      <c r="NG51" s="158"/>
      <c r="NH51" s="158"/>
      <c r="NI51" s="159"/>
      <c r="NJ51" s="158"/>
      <c r="NK51" s="158"/>
      <c r="NL51" s="158"/>
      <c r="NM51" s="159"/>
      <c r="NN51" s="158"/>
      <c r="NO51" s="158"/>
      <c r="NP51" s="158"/>
      <c r="NQ51" s="159"/>
      <c r="NR51" s="158"/>
      <c r="NS51" s="158"/>
      <c r="NT51" s="158"/>
      <c r="NU51" s="159"/>
      <c r="NV51" s="162"/>
      <c r="NW51" s="162"/>
      <c r="NX51" s="162"/>
      <c r="NY51" s="161"/>
      <c r="NZ51" s="162"/>
      <c r="OA51" s="162"/>
      <c r="OB51" s="162"/>
      <c r="OC51" s="161"/>
      <c r="OD51" s="163"/>
      <c r="OE51" s="163"/>
      <c r="OF51" s="163"/>
      <c r="OG51" s="163"/>
      <c r="OH51" s="163"/>
      <c r="OI51" s="163"/>
      <c r="OJ51" s="163"/>
      <c r="OK51" s="163"/>
      <c r="OL51" s="163"/>
      <c r="OM51" s="163"/>
      <c r="ON51" s="163"/>
      <c r="OO51" s="163"/>
      <c r="OP51" s="163"/>
      <c r="OQ51" s="163"/>
      <c r="OR51" s="163"/>
      <c r="OX51" s="163"/>
      <c r="PB51" s="164"/>
      <c r="PF51" s="164"/>
      <c r="PJ51" s="164"/>
      <c r="PN51" s="164"/>
      <c r="PR51" s="164"/>
      <c r="PV51" s="164"/>
      <c r="PZ51" s="164"/>
      <c r="QA51" s="158"/>
      <c r="QB51" s="158"/>
      <c r="QD51" s="163"/>
      <c r="QE51" s="158"/>
      <c r="QF51" s="158"/>
      <c r="QG51" s="158"/>
      <c r="QH51" s="158"/>
      <c r="QI51" s="158"/>
      <c r="QJ51" s="158"/>
      <c r="QK51" s="158"/>
      <c r="QL51" s="159"/>
      <c r="QM51" s="158"/>
      <c r="QN51" s="158"/>
      <c r="QO51" s="158"/>
      <c r="QP51" s="158"/>
      <c r="QQ51" s="158"/>
      <c r="QR51" s="158"/>
      <c r="QS51" s="159"/>
      <c r="QT51" s="158"/>
      <c r="QU51" s="158"/>
      <c r="QV51" s="158"/>
      <c r="QW51" s="158"/>
      <c r="QX51" s="158"/>
      <c r="QY51" s="158"/>
      <c r="QZ51" s="159"/>
      <c r="RA51" s="158"/>
      <c r="RB51" s="158"/>
      <c r="RC51" s="158"/>
      <c r="RD51" s="158"/>
      <c r="RE51" s="158"/>
      <c r="RF51" s="158"/>
      <c r="RG51" s="159"/>
      <c r="RH51" s="158"/>
      <c r="RI51" s="158"/>
      <c r="RJ51" s="158"/>
      <c r="RK51" s="158"/>
      <c r="RL51" s="158"/>
      <c r="RM51" s="158"/>
      <c r="RN51" s="159"/>
      <c r="RO51" s="158"/>
      <c r="RP51" s="158"/>
      <c r="RQ51" s="158"/>
      <c r="RR51" s="158"/>
      <c r="RS51" s="158"/>
      <c r="RT51" s="158"/>
      <c r="RU51" s="159"/>
      <c r="RV51" s="158"/>
      <c r="RW51" s="158"/>
      <c r="RX51" s="158"/>
      <c r="RY51" s="158"/>
      <c r="RZ51" s="158"/>
      <c r="SA51" s="158"/>
      <c r="SB51" s="158"/>
      <c r="SC51" s="159"/>
      <c r="SD51" s="158"/>
      <c r="SE51" s="158"/>
      <c r="SF51" s="158"/>
      <c r="SG51" s="159"/>
      <c r="SH51" s="158"/>
      <c r="SI51" s="158"/>
      <c r="SJ51" s="158"/>
      <c r="SK51" s="158"/>
      <c r="SL51" s="158"/>
      <c r="SM51" s="158"/>
      <c r="SN51" s="159"/>
      <c r="SO51" s="158"/>
      <c r="SP51" s="158"/>
      <c r="SQ51" s="158"/>
      <c r="SR51" s="159"/>
      <c r="SS51" s="158"/>
      <c r="ST51" s="158"/>
      <c r="SU51" s="159"/>
      <c r="SV51" s="158"/>
      <c r="SW51" s="158"/>
      <c r="SX51" s="159"/>
      <c r="SY51" s="158"/>
      <c r="SZ51" s="158"/>
      <c r="TA51" s="159"/>
      <c r="TB51" s="158"/>
      <c r="TC51" s="158"/>
      <c r="TD51" s="158"/>
      <c r="TE51" s="158"/>
      <c r="TF51" s="158"/>
      <c r="TG51" s="158"/>
      <c r="TP51" s="158"/>
      <c r="TQ51" s="158"/>
      <c r="TR51" s="158"/>
      <c r="UC51" s="165"/>
    </row>
    <row r="52" spans="1:549" x14ac:dyDescent="0.25">
      <c r="A52" s="167"/>
      <c r="B52" s="155"/>
      <c r="C52" s="156"/>
      <c r="D52" s="157"/>
      <c r="E52" s="158"/>
      <c r="F52" s="158"/>
      <c r="G52" s="158"/>
      <c r="H52" s="159"/>
      <c r="I52" s="158"/>
      <c r="J52" s="158"/>
      <c r="K52" s="158"/>
      <c r="L52" s="159"/>
      <c r="M52" s="158"/>
      <c r="N52" s="158"/>
      <c r="O52" s="159"/>
      <c r="P52" s="158"/>
      <c r="Q52" s="158"/>
      <c r="R52" s="158"/>
      <c r="S52" s="158"/>
      <c r="T52" s="159"/>
      <c r="U52" s="158"/>
      <c r="V52" s="158"/>
      <c r="W52" s="158"/>
      <c r="X52" s="159"/>
      <c r="Y52" s="158"/>
      <c r="Z52" s="158"/>
      <c r="AA52" s="159"/>
      <c r="AB52" s="158"/>
      <c r="AC52" s="158"/>
      <c r="AD52" s="159"/>
      <c r="AE52" s="158"/>
      <c r="AF52" s="158"/>
      <c r="AG52" s="158"/>
      <c r="AH52" s="159"/>
      <c r="AI52" s="158"/>
      <c r="AJ52" s="158"/>
      <c r="AK52" s="158"/>
      <c r="AL52" s="159"/>
      <c r="AM52" s="158"/>
      <c r="AN52" s="158"/>
      <c r="AO52" s="158"/>
      <c r="AP52" s="159"/>
      <c r="AQ52" s="158"/>
      <c r="AR52" s="158"/>
      <c r="AS52" s="158"/>
      <c r="AT52" s="158"/>
      <c r="AU52" s="159"/>
      <c r="AV52" s="158"/>
      <c r="AW52" s="158"/>
      <c r="AX52" s="158"/>
      <c r="AY52" s="158"/>
      <c r="AZ52" s="158"/>
      <c r="BA52" s="158"/>
      <c r="BB52" s="158"/>
      <c r="BC52" s="158"/>
      <c r="BD52" s="159"/>
      <c r="BE52" s="158"/>
      <c r="BF52" s="158"/>
      <c r="BG52" s="158"/>
      <c r="BH52" s="158"/>
      <c r="BI52" s="158"/>
      <c r="BJ52" s="158"/>
      <c r="BK52" s="158"/>
      <c r="BL52" s="159"/>
      <c r="BM52" s="158"/>
      <c r="BN52" s="158"/>
      <c r="BO52" s="158"/>
      <c r="BP52" s="158"/>
      <c r="BQ52" s="158"/>
      <c r="BR52" s="158"/>
      <c r="BS52" s="159"/>
      <c r="BT52" s="158"/>
      <c r="BU52" s="158"/>
      <c r="BV52" s="158"/>
      <c r="BW52" s="159"/>
      <c r="BX52" s="158"/>
      <c r="BY52" s="158"/>
      <c r="BZ52" s="159"/>
      <c r="CA52" s="158"/>
      <c r="CB52" s="158"/>
      <c r="CC52" s="159"/>
      <c r="CD52" s="158"/>
      <c r="CE52" s="158"/>
      <c r="CF52" s="158"/>
      <c r="CG52" s="158"/>
      <c r="CH52" s="158"/>
      <c r="CI52" s="158"/>
      <c r="CJ52" s="158"/>
      <c r="CK52" s="158"/>
      <c r="CL52" s="159"/>
      <c r="CM52" s="158"/>
      <c r="CN52" s="158"/>
      <c r="CO52" s="158"/>
      <c r="CP52" s="158"/>
      <c r="CQ52" s="159"/>
      <c r="CR52" s="158"/>
      <c r="CS52" s="158"/>
      <c r="CT52" s="158"/>
      <c r="CU52" s="158"/>
      <c r="CV52" s="158"/>
      <c r="CW52" s="158"/>
      <c r="CX52" s="159"/>
      <c r="CY52" s="158"/>
      <c r="CZ52" s="158"/>
      <c r="DA52" s="158"/>
      <c r="DB52" s="159"/>
      <c r="DC52" s="158"/>
      <c r="DD52" s="158"/>
      <c r="DE52" s="159"/>
      <c r="DF52" s="158"/>
      <c r="DG52" s="158"/>
      <c r="DH52" s="159"/>
      <c r="DI52" s="158"/>
      <c r="DJ52" s="158"/>
      <c r="DK52" s="159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9"/>
      <c r="DX52" s="158"/>
      <c r="DY52" s="158"/>
      <c r="DZ52" s="158"/>
      <c r="EA52" s="159"/>
      <c r="EB52" s="158"/>
      <c r="EC52" s="158"/>
      <c r="ED52" s="158"/>
      <c r="EE52" s="158"/>
      <c r="EF52" s="158"/>
      <c r="EG52" s="158"/>
      <c r="EH52" s="159"/>
      <c r="EI52" s="158"/>
      <c r="EJ52" s="158"/>
      <c r="EK52" s="158"/>
      <c r="EL52" s="159"/>
      <c r="EM52" s="158"/>
      <c r="EN52" s="158"/>
      <c r="EO52" s="159"/>
      <c r="EP52" s="158"/>
      <c r="EQ52" s="158"/>
      <c r="ER52" s="159"/>
      <c r="ES52" s="158"/>
      <c r="ET52" s="158"/>
      <c r="EU52" s="159"/>
      <c r="EV52" s="158"/>
      <c r="EW52" s="158"/>
      <c r="EX52" s="158"/>
      <c r="EY52" s="158"/>
      <c r="EZ52" s="158"/>
      <c r="FA52" s="158"/>
      <c r="FB52" s="158"/>
      <c r="FC52" s="158"/>
      <c r="FD52" s="158"/>
      <c r="FE52" s="158"/>
      <c r="FF52" s="158"/>
      <c r="FG52" s="159"/>
      <c r="FH52" s="158"/>
      <c r="FI52" s="158"/>
      <c r="FJ52" s="158"/>
      <c r="FK52" s="159"/>
      <c r="FL52" s="158"/>
      <c r="FM52" s="158"/>
      <c r="FN52" s="158"/>
      <c r="FO52" s="158"/>
      <c r="FP52" s="158"/>
      <c r="FQ52" s="158"/>
      <c r="FR52" s="159"/>
      <c r="FS52" s="158"/>
      <c r="FT52" s="158"/>
      <c r="FU52" s="158"/>
      <c r="FV52" s="159"/>
      <c r="FW52" s="158"/>
      <c r="FX52" s="158"/>
      <c r="FY52" s="159"/>
      <c r="FZ52" s="158"/>
      <c r="GA52" s="158"/>
      <c r="GB52" s="159"/>
      <c r="GC52" s="158"/>
      <c r="GD52" s="158"/>
      <c r="GE52" s="159"/>
      <c r="GF52" s="158"/>
      <c r="GG52" s="158"/>
      <c r="GH52" s="158"/>
      <c r="GI52" s="158"/>
      <c r="GJ52" s="158"/>
      <c r="GK52" s="160"/>
      <c r="GL52" s="160"/>
      <c r="GM52" s="160"/>
      <c r="GN52" s="161"/>
      <c r="GO52" s="158"/>
      <c r="GP52" s="158"/>
      <c r="GQ52" s="158"/>
      <c r="GR52" s="159"/>
      <c r="GS52" s="158"/>
      <c r="GT52" s="158"/>
      <c r="GU52" s="158"/>
      <c r="GV52" s="158"/>
      <c r="GW52" s="159"/>
      <c r="GX52" s="158"/>
      <c r="GY52" s="158"/>
      <c r="GZ52" s="158"/>
      <c r="HA52" s="158"/>
      <c r="HB52" s="159"/>
      <c r="HC52" s="158"/>
      <c r="HD52" s="158"/>
      <c r="HE52" s="158"/>
      <c r="HF52" s="158"/>
      <c r="HG52" s="159"/>
      <c r="HH52" s="158"/>
      <c r="HI52" s="158"/>
      <c r="HJ52" s="158"/>
      <c r="HK52" s="158"/>
      <c r="HL52" s="159"/>
      <c r="HM52" s="158"/>
      <c r="HN52" s="158"/>
      <c r="HO52" s="158"/>
      <c r="HP52" s="158"/>
      <c r="HQ52" s="159"/>
      <c r="HR52" s="158"/>
      <c r="HS52" s="160"/>
      <c r="HT52" s="160"/>
      <c r="HU52" s="160"/>
      <c r="HV52" s="161"/>
      <c r="HW52" s="158"/>
      <c r="HX52" s="158"/>
      <c r="HY52" s="158"/>
      <c r="HZ52" s="159"/>
      <c r="IA52" s="158"/>
      <c r="IB52" s="158"/>
      <c r="IC52" s="158"/>
      <c r="ID52" s="158"/>
      <c r="IE52" s="159"/>
      <c r="IF52" s="158"/>
      <c r="IG52" s="158"/>
      <c r="IH52" s="158"/>
      <c r="II52" s="158"/>
      <c r="IJ52" s="159"/>
      <c r="IK52" s="158"/>
      <c r="IL52" s="158"/>
      <c r="IM52" s="158"/>
      <c r="IN52" s="158"/>
      <c r="IO52" s="159"/>
      <c r="IP52" s="158"/>
      <c r="IQ52" s="158"/>
      <c r="IR52" s="158"/>
      <c r="IS52" s="158"/>
      <c r="IT52" s="159"/>
      <c r="IU52" s="158"/>
      <c r="IV52" s="158"/>
      <c r="IW52" s="158"/>
      <c r="IX52" s="159"/>
      <c r="IY52" s="158"/>
      <c r="IZ52" s="158"/>
      <c r="JA52" s="158"/>
      <c r="JB52" s="159"/>
      <c r="JC52" s="158"/>
      <c r="JD52" s="158"/>
      <c r="JE52" s="158"/>
      <c r="JF52" s="159"/>
      <c r="JG52" s="158"/>
      <c r="JH52" s="158"/>
      <c r="JI52" s="158"/>
      <c r="JJ52" s="158"/>
      <c r="JK52" s="158"/>
      <c r="JL52" s="158"/>
      <c r="JM52" s="158"/>
      <c r="JN52" s="158"/>
      <c r="JO52" s="158"/>
      <c r="JP52" s="158"/>
      <c r="JQ52" s="158"/>
      <c r="JR52" s="158"/>
      <c r="JS52" s="158"/>
      <c r="JT52" s="158"/>
      <c r="JU52" s="158"/>
      <c r="JV52" s="158"/>
      <c r="JW52" s="158"/>
      <c r="JX52" s="158"/>
      <c r="JY52" s="158"/>
      <c r="JZ52" s="158"/>
      <c r="KA52" s="158"/>
      <c r="KB52" s="158"/>
      <c r="KC52" s="158"/>
      <c r="KD52" s="158"/>
      <c r="KE52" s="158"/>
      <c r="KF52" s="158"/>
      <c r="KG52" s="158"/>
      <c r="KH52" s="158"/>
      <c r="KI52" s="158"/>
      <c r="KJ52" s="158"/>
      <c r="KK52" s="158"/>
      <c r="KL52" s="158"/>
      <c r="KM52" s="158"/>
      <c r="KN52" s="158"/>
      <c r="KO52" s="158"/>
      <c r="KP52" s="158"/>
      <c r="KQ52" s="158"/>
      <c r="KR52" s="158"/>
      <c r="KS52" s="158"/>
      <c r="KT52" s="158"/>
      <c r="KU52" s="158"/>
      <c r="KV52" s="158"/>
      <c r="KW52" s="158"/>
      <c r="KX52" s="158"/>
      <c r="KY52" s="158"/>
      <c r="KZ52" s="159"/>
      <c r="LA52" s="158"/>
      <c r="LB52" s="158"/>
      <c r="LC52" s="158"/>
      <c r="LD52" s="159"/>
      <c r="LE52" s="158"/>
      <c r="LF52" s="158"/>
      <c r="LG52" s="158"/>
      <c r="LH52" s="159"/>
      <c r="LI52" s="158"/>
      <c r="LJ52" s="158"/>
      <c r="LK52" s="158"/>
      <c r="LL52" s="159"/>
      <c r="LM52" s="158"/>
      <c r="LN52" s="158"/>
      <c r="LO52" s="158"/>
      <c r="LP52" s="159"/>
      <c r="LQ52" s="158"/>
      <c r="LR52" s="158"/>
      <c r="LS52" s="158"/>
      <c r="LT52" s="159"/>
      <c r="LU52" s="159"/>
      <c r="LV52" s="159"/>
      <c r="LW52" s="159"/>
      <c r="LX52" s="159"/>
      <c r="LY52" s="158"/>
      <c r="LZ52" s="158"/>
      <c r="MA52" s="158"/>
      <c r="MB52" s="159"/>
      <c r="MC52" s="158"/>
      <c r="MD52" s="159"/>
      <c r="ME52" s="158"/>
      <c r="MF52" s="159"/>
      <c r="MG52" s="158"/>
      <c r="MH52" s="159"/>
      <c r="MI52" s="158"/>
      <c r="MJ52" s="159"/>
      <c r="MK52" s="158"/>
      <c r="ML52" s="159"/>
      <c r="MM52" s="158"/>
      <c r="MN52" s="158"/>
      <c r="MO52" s="158"/>
      <c r="MP52" s="158"/>
      <c r="MQ52" s="158"/>
      <c r="MR52" s="158"/>
      <c r="MS52" s="158"/>
      <c r="MT52" s="158"/>
      <c r="MU52" s="158"/>
      <c r="MV52" s="158"/>
      <c r="MW52" s="159"/>
      <c r="MX52" s="158"/>
      <c r="MY52" s="158"/>
      <c r="MZ52" s="158"/>
      <c r="NA52" s="159"/>
      <c r="NB52" s="158"/>
      <c r="NC52" s="158"/>
      <c r="ND52" s="158"/>
      <c r="NE52" s="159"/>
      <c r="NF52" s="158"/>
      <c r="NG52" s="158"/>
      <c r="NH52" s="158"/>
      <c r="NI52" s="159"/>
      <c r="NJ52" s="158"/>
      <c r="NK52" s="158"/>
      <c r="NL52" s="158"/>
      <c r="NM52" s="159"/>
      <c r="NN52" s="158"/>
      <c r="NO52" s="158"/>
      <c r="NP52" s="158"/>
      <c r="NQ52" s="159"/>
      <c r="NR52" s="158"/>
      <c r="NS52" s="158"/>
      <c r="NT52" s="158"/>
      <c r="NU52" s="159"/>
      <c r="NV52" s="162"/>
      <c r="NW52" s="162"/>
      <c r="NX52" s="162"/>
      <c r="NY52" s="161"/>
      <c r="NZ52" s="162"/>
      <c r="OA52" s="162"/>
      <c r="OB52" s="162"/>
      <c r="OC52" s="161"/>
      <c r="OD52" s="163"/>
      <c r="OE52" s="163"/>
      <c r="OF52" s="163"/>
      <c r="OG52" s="163"/>
      <c r="OH52" s="163"/>
      <c r="OI52" s="163"/>
      <c r="OJ52" s="163"/>
      <c r="OK52" s="163"/>
      <c r="OL52" s="163"/>
      <c r="OM52" s="163"/>
      <c r="ON52" s="163"/>
      <c r="OO52" s="163"/>
      <c r="OP52" s="163"/>
      <c r="OQ52" s="163"/>
      <c r="OR52" s="163"/>
      <c r="OX52" s="163"/>
      <c r="PB52" s="164"/>
      <c r="PF52" s="164"/>
      <c r="PJ52" s="164"/>
      <c r="PN52" s="164"/>
      <c r="PR52" s="164"/>
      <c r="PV52" s="164"/>
      <c r="PZ52" s="164"/>
      <c r="QA52" s="158"/>
      <c r="QB52" s="158"/>
      <c r="QD52" s="163"/>
      <c r="QE52" s="158"/>
      <c r="QF52" s="158"/>
      <c r="QG52" s="158"/>
      <c r="QH52" s="158"/>
      <c r="QI52" s="158"/>
      <c r="QJ52" s="158"/>
      <c r="QK52" s="158"/>
      <c r="QL52" s="159"/>
      <c r="QM52" s="158"/>
      <c r="QN52" s="158"/>
      <c r="QO52" s="158"/>
      <c r="QP52" s="158"/>
      <c r="QQ52" s="158"/>
      <c r="QR52" s="158"/>
      <c r="QS52" s="159"/>
      <c r="QT52" s="158"/>
      <c r="QU52" s="158"/>
      <c r="QV52" s="158"/>
      <c r="QW52" s="158"/>
      <c r="QX52" s="158"/>
      <c r="QY52" s="158"/>
      <c r="QZ52" s="159"/>
      <c r="RA52" s="158"/>
      <c r="RB52" s="158"/>
      <c r="RC52" s="158"/>
      <c r="RD52" s="158"/>
      <c r="RE52" s="158"/>
      <c r="RF52" s="158"/>
      <c r="RG52" s="159"/>
      <c r="RH52" s="158"/>
      <c r="RI52" s="158"/>
      <c r="RJ52" s="158"/>
      <c r="RK52" s="158"/>
      <c r="RL52" s="158"/>
      <c r="RM52" s="158"/>
      <c r="RN52" s="159"/>
      <c r="RO52" s="158"/>
      <c r="RP52" s="158"/>
      <c r="RQ52" s="158"/>
      <c r="RR52" s="158"/>
      <c r="RS52" s="158"/>
      <c r="RT52" s="158"/>
      <c r="RU52" s="159"/>
      <c r="RV52" s="158"/>
      <c r="RW52" s="158"/>
      <c r="RX52" s="158"/>
      <c r="RY52" s="158"/>
      <c r="RZ52" s="158"/>
      <c r="SA52" s="158"/>
      <c r="SB52" s="158"/>
      <c r="SC52" s="159"/>
      <c r="SD52" s="158"/>
      <c r="SE52" s="158"/>
      <c r="SF52" s="158"/>
      <c r="SG52" s="159"/>
      <c r="SH52" s="158"/>
      <c r="SI52" s="158"/>
      <c r="SJ52" s="158"/>
      <c r="SK52" s="158"/>
      <c r="SL52" s="158"/>
      <c r="SM52" s="158"/>
      <c r="SN52" s="159"/>
      <c r="SO52" s="158"/>
      <c r="SP52" s="158"/>
      <c r="SQ52" s="158"/>
      <c r="SR52" s="159"/>
      <c r="SS52" s="158"/>
      <c r="ST52" s="158"/>
      <c r="SU52" s="159"/>
      <c r="SV52" s="158"/>
      <c r="SW52" s="158"/>
      <c r="SX52" s="159"/>
      <c r="SY52" s="158"/>
      <c r="SZ52" s="158"/>
      <c r="TA52" s="159"/>
      <c r="TB52" s="158"/>
      <c r="TC52" s="158"/>
      <c r="TD52" s="158"/>
      <c r="TE52" s="158"/>
      <c r="TF52" s="158"/>
      <c r="TG52" s="158"/>
      <c r="TP52" s="158"/>
      <c r="TQ52" s="158"/>
      <c r="TR52" s="158"/>
      <c r="UC52" s="165"/>
    </row>
    <row r="53" spans="1:549" x14ac:dyDescent="0.25">
      <c r="A53" s="167"/>
      <c r="B53" s="155"/>
      <c r="C53" s="156"/>
      <c r="D53" s="157"/>
      <c r="E53" s="158"/>
      <c r="F53" s="158"/>
      <c r="G53" s="158"/>
      <c r="H53" s="159"/>
      <c r="I53" s="158"/>
      <c r="J53" s="158"/>
      <c r="K53" s="158"/>
      <c r="L53" s="159"/>
      <c r="M53" s="158"/>
      <c r="N53" s="158"/>
      <c r="O53" s="159"/>
      <c r="P53" s="158"/>
      <c r="Q53" s="158"/>
      <c r="R53" s="158"/>
      <c r="S53" s="158"/>
      <c r="T53" s="159"/>
      <c r="U53" s="158"/>
      <c r="V53" s="158"/>
      <c r="W53" s="158"/>
      <c r="X53" s="159"/>
      <c r="Y53" s="158"/>
      <c r="Z53" s="158"/>
      <c r="AA53" s="159"/>
      <c r="AB53" s="158"/>
      <c r="AC53" s="158"/>
      <c r="AD53" s="159"/>
      <c r="AE53" s="158"/>
      <c r="AF53" s="158"/>
      <c r="AG53" s="158"/>
      <c r="AH53" s="159"/>
      <c r="AI53" s="158"/>
      <c r="AJ53" s="158"/>
      <c r="AK53" s="158"/>
      <c r="AL53" s="159"/>
      <c r="AM53" s="158"/>
      <c r="AN53" s="158"/>
      <c r="AO53" s="158"/>
      <c r="AP53" s="159"/>
      <c r="AQ53" s="158"/>
      <c r="AR53" s="158"/>
      <c r="AS53" s="158"/>
      <c r="AT53" s="158"/>
      <c r="AU53" s="159"/>
      <c r="AV53" s="158"/>
      <c r="AW53" s="158"/>
      <c r="AX53" s="158"/>
      <c r="AY53" s="158"/>
      <c r="AZ53" s="158"/>
      <c r="BA53" s="158"/>
      <c r="BB53" s="158"/>
      <c r="BC53" s="158"/>
      <c r="BD53" s="159"/>
      <c r="BE53" s="158"/>
      <c r="BF53" s="158"/>
      <c r="BG53" s="158"/>
      <c r="BH53" s="158"/>
      <c r="BI53" s="158"/>
      <c r="BJ53" s="158"/>
      <c r="BK53" s="158"/>
      <c r="BL53" s="159"/>
      <c r="BM53" s="158"/>
      <c r="BN53" s="158"/>
      <c r="BO53" s="158"/>
      <c r="BP53" s="158"/>
      <c r="BQ53" s="158"/>
      <c r="BR53" s="158"/>
      <c r="BS53" s="159"/>
      <c r="BT53" s="158"/>
      <c r="BU53" s="158"/>
      <c r="BV53" s="158"/>
      <c r="BW53" s="159"/>
      <c r="BX53" s="158"/>
      <c r="BY53" s="158"/>
      <c r="BZ53" s="159"/>
      <c r="CA53" s="158"/>
      <c r="CB53" s="158"/>
      <c r="CC53" s="159"/>
      <c r="CD53" s="158"/>
      <c r="CE53" s="158"/>
      <c r="CF53" s="158"/>
      <c r="CG53" s="158"/>
      <c r="CH53" s="158"/>
      <c r="CI53" s="158"/>
      <c r="CJ53" s="158"/>
      <c r="CK53" s="158"/>
      <c r="CL53" s="159"/>
      <c r="CM53" s="158"/>
      <c r="CN53" s="158"/>
      <c r="CO53" s="158"/>
      <c r="CP53" s="158"/>
      <c r="CQ53" s="159"/>
      <c r="CR53" s="158"/>
      <c r="CS53" s="158"/>
      <c r="CT53" s="158"/>
      <c r="CU53" s="158"/>
      <c r="CV53" s="158"/>
      <c r="CW53" s="158"/>
      <c r="CX53" s="159"/>
      <c r="CY53" s="158"/>
      <c r="CZ53" s="158"/>
      <c r="DA53" s="158"/>
      <c r="DB53" s="159"/>
      <c r="DC53" s="158"/>
      <c r="DD53" s="158"/>
      <c r="DE53" s="159"/>
      <c r="DF53" s="158"/>
      <c r="DG53" s="158"/>
      <c r="DH53" s="159"/>
      <c r="DI53" s="158"/>
      <c r="DJ53" s="158"/>
      <c r="DK53" s="159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9"/>
      <c r="DX53" s="158"/>
      <c r="DY53" s="158"/>
      <c r="DZ53" s="158"/>
      <c r="EA53" s="159"/>
      <c r="EB53" s="158"/>
      <c r="EC53" s="158"/>
      <c r="ED53" s="158"/>
      <c r="EE53" s="158"/>
      <c r="EF53" s="158"/>
      <c r="EG53" s="158"/>
      <c r="EH53" s="159"/>
      <c r="EI53" s="158"/>
      <c r="EJ53" s="158"/>
      <c r="EK53" s="158"/>
      <c r="EL53" s="159"/>
      <c r="EM53" s="158"/>
      <c r="EN53" s="158"/>
      <c r="EO53" s="159"/>
      <c r="EP53" s="158"/>
      <c r="EQ53" s="158"/>
      <c r="ER53" s="159"/>
      <c r="ES53" s="158"/>
      <c r="ET53" s="158"/>
      <c r="EU53" s="159"/>
      <c r="EV53" s="158"/>
      <c r="EW53" s="158"/>
      <c r="EX53" s="158"/>
      <c r="EY53" s="158"/>
      <c r="EZ53" s="158"/>
      <c r="FA53" s="158"/>
      <c r="FB53" s="158"/>
      <c r="FC53" s="158"/>
      <c r="FD53" s="158"/>
      <c r="FE53" s="158"/>
      <c r="FF53" s="158"/>
      <c r="FG53" s="159"/>
      <c r="FH53" s="158"/>
      <c r="FI53" s="158"/>
      <c r="FJ53" s="158"/>
      <c r="FK53" s="159"/>
      <c r="FL53" s="158"/>
      <c r="FM53" s="158"/>
      <c r="FN53" s="158"/>
      <c r="FO53" s="158"/>
      <c r="FP53" s="158"/>
      <c r="FQ53" s="158"/>
      <c r="FR53" s="159"/>
      <c r="FS53" s="158"/>
      <c r="FT53" s="158"/>
      <c r="FU53" s="158"/>
      <c r="FV53" s="159"/>
      <c r="FW53" s="158"/>
      <c r="FX53" s="158"/>
      <c r="FY53" s="159"/>
      <c r="FZ53" s="158"/>
      <c r="GA53" s="158"/>
      <c r="GB53" s="159"/>
      <c r="GC53" s="158"/>
      <c r="GD53" s="158"/>
      <c r="GE53" s="159"/>
      <c r="GF53" s="158"/>
      <c r="GG53" s="158"/>
      <c r="GH53" s="158"/>
      <c r="GI53" s="158"/>
      <c r="GJ53" s="158"/>
      <c r="GK53" s="160"/>
      <c r="GL53" s="160"/>
      <c r="GM53" s="160"/>
      <c r="GN53" s="161"/>
      <c r="GO53" s="158"/>
      <c r="GP53" s="158"/>
      <c r="GQ53" s="158"/>
      <c r="GR53" s="159"/>
      <c r="GS53" s="158"/>
      <c r="GT53" s="158"/>
      <c r="GU53" s="158"/>
      <c r="GV53" s="158"/>
      <c r="GW53" s="159"/>
      <c r="GX53" s="158"/>
      <c r="GY53" s="158"/>
      <c r="GZ53" s="158"/>
      <c r="HA53" s="158"/>
      <c r="HB53" s="159"/>
      <c r="HC53" s="158"/>
      <c r="HD53" s="158"/>
      <c r="HE53" s="158"/>
      <c r="HF53" s="158"/>
      <c r="HG53" s="159"/>
      <c r="HH53" s="158"/>
      <c r="HI53" s="158"/>
      <c r="HJ53" s="158"/>
      <c r="HK53" s="158"/>
      <c r="HL53" s="159"/>
      <c r="HM53" s="158"/>
      <c r="HN53" s="158"/>
      <c r="HO53" s="158"/>
      <c r="HP53" s="158"/>
      <c r="HQ53" s="159"/>
      <c r="HR53" s="158"/>
      <c r="HS53" s="160"/>
      <c r="HT53" s="160"/>
      <c r="HU53" s="160"/>
      <c r="HV53" s="161"/>
      <c r="HW53" s="158"/>
      <c r="HX53" s="158"/>
      <c r="HY53" s="158"/>
      <c r="HZ53" s="159"/>
      <c r="IA53" s="158"/>
      <c r="IB53" s="158"/>
      <c r="IC53" s="158"/>
      <c r="ID53" s="158"/>
      <c r="IE53" s="159"/>
      <c r="IF53" s="158"/>
      <c r="IG53" s="158"/>
      <c r="IH53" s="158"/>
      <c r="II53" s="158"/>
      <c r="IJ53" s="159"/>
      <c r="IK53" s="158"/>
      <c r="IL53" s="158"/>
      <c r="IM53" s="158"/>
      <c r="IN53" s="158"/>
      <c r="IO53" s="159"/>
      <c r="IP53" s="158"/>
      <c r="IQ53" s="158"/>
      <c r="IR53" s="158"/>
      <c r="IS53" s="158"/>
      <c r="IT53" s="159"/>
      <c r="IU53" s="158"/>
      <c r="IV53" s="158"/>
      <c r="IW53" s="158"/>
      <c r="IX53" s="159"/>
      <c r="IY53" s="158"/>
      <c r="IZ53" s="158"/>
      <c r="JA53" s="158"/>
      <c r="JB53" s="159"/>
      <c r="JC53" s="158"/>
      <c r="JD53" s="158"/>
      <c r="JE53" s="158"/>
      <c r="JF53" s="159"/>
      <c r="JG53" s="158"/>
      <c r="JH53" s="158"/>
      <c r="JI53" s="158"/>
      <c r="JJ53" s="158"/>
      <c r="JK53" s="158"/>
      <c r="JL53" s="158"/>
      <c r="JM53" s="158"/>
      <c r="JN53" s="158"/>
      <c r="JO53" s="158"/>
      <c r="JP53" s="158"/>
      <c r="JQ53" s="158"/>
      <c r="JR53" s="158"/>
      <c r="JS53" s="158"/>
      <c r="JT53" s="158"/>
      <c r="JU53" s="158"/>
      <c r="JV53" s="158"/>
      <c r="JW53" s="158"/>
      <c r="JX53" s="158"/>
      <c r="JY53" s="158"/>
      <c r="JZ53" s="158"/>
      <c r="KA53" s="158"/>
      <c r="KB53" s="158"/>
      <c r="KC53" s="158"/>
      <c r="KD53" s="158"/>
      <c r="KE53" s="158"/>
      <c r="KF53" s="158"/>
      <c r="KG53" s="158"/>
      <c r="KH53" s="158"/>
      <c r="KI53" s="158"/>
      <c r="KJ53" s="158"/>
      <c r="KK53" s="158"/>
      <c r="KL53" s="158"/>
      <c r="KM53" s="158"/>
      <c r="KN53" s="158"/>
      <c r="KO53" s="158"/>
      <c r="KP53" s="158"/>
      <c r="KQ53" s="158"/>
      <c r="KR53" s="158"/>
      <c r="KS53" s="158"/>
      <c r="KT53" s="158"/>
      <c r="KU53" s="158"/>
      <c r="KV53" s="158"/>
      <c r="KW53" s="158"/>
      <c r="KX53" s="158"/>
      <c r="KY53" s="158"/>
      <c r="KZ53" s="159"/>
      <c r="LA53" s="158"/>
      <c r="LB53" s="158"/>
      <c r="LC53" s="158"/>
      <c r="LD53" s="159"/>
      <c r="LE53" s="158"/>
      <c r="LF53" s="158"/>
      <c r="LG53" s="158"/>
      <c r="LH53" s="159"/>
      <c r="LI53" s="158"/>
      <c r="LJ53" s="158"/>
      <c r="LK53" s="158"/>
      <c r="LL53" s="159"/>
      <c r="LM53" s="158"/>
      <c r="LN53" s="158"/>
      <c r="LO53" s="158"/>
      <c r="LP53" s="159"/>
      <c r="LQ53" s="158"/>
      <c r="LR53" s="158"/>
      <c r="LS53" s="158"/>
      <c r="LT53" s="159"/>
      <c r="LU53" s="159"/>
      <c r="LV53" s="159"/>
      <c r="LW53" s="159"/>
      <c r="LX53" s="159"/>
      <c r="LY53" s="158"/>
      <c r="LZ53" s="158"/>
      <c r="MA53" s="158"/>
      <c r="MB53" s="159"/>
      <c r="MC53" s="158"/>
      <c r="MD53" s="159"/>
      <c r="ME53" s="158"/>
      <c r="MF53" s="159"/>
      <c r="MG53" s="158"/>
      <c r="MH53" s="159"/>
      <c r="MI53" s="158"/>
      <c r="MJ53" s="159"/>
      <c r="MK53" s="158"/>
      <c r="ML53" s="159"/>
      <c r="MM53" s="158"/>
      <c r="MN53" s="158"/>
      <c r="MO53" s="158"/>
      <c r="MP53" s="158"/>
      <c r="MQ53" s="158"/>
      <c r="MR53" s="158"/>
      <c r="MS53" s="158"/>
      <c r="MT53" s="158"/>
      <c r="MU53" s="158"/>
      <c r="MV53" s="158"/>
      <c r="MW53" s="159"/>
      <c r="MX53" s="158"/>
      <c r="MY53" s="158"/>
      <c r="MZ53" s="158"/>
      <c r="NA53" s="159"/>
      <c r="NB53" s="158"/>
      <c r="NC53" s="158"/>
      <c r="ND53" s="158"/>
      <c r="NE53" s="159"/>
      <c r="NF53" s="158"/>
      <c r="NG53" s="158"/>
      <c r="NH53" s="158"/>
      <c r="NI53" s="159"/>
      <c r="NJ53" s="158"/>
      <c r="NK53" s="158"/>
      <c r="NL53" s="158"/>
      <c r="NM53" s="159"/>
      <c r="NN53" s="158"/>
      <c r="NO53" s="158"/>
      <c r="NP53" s="158"/>
      <c r="NQ53" s="159"/>
      <c r="NR53" s="158"/>
      <c r="NS53" s="158"/>
      <c r="NT53" s="158"/>
      <c r="NU53" s="159"/>
      <c r="NV53" s="162"/>
      <c r="NW53" s="162"/>
      <c r="NX53" s="162"/>
      <c r="NY53" s="161"/>
      <c r="NZ53" s="162"/>
      <c r="OA53" s="162"/>
      <c r="OB53" s="162"/>
      <c r="OC53" s="161"/>
      <c r="OD53" s="163"/>
      <c r="OE53" s="163"/>
      <c r="OF53" s="163"/>
      <c r="OG53" s="163"/>
      <c r="OH53" s="163"/>
      <c r="OI53" s="163"/>
      <c r="OJ53" s="163"/>
      <c r="OK53" s="163"/>
      <c r="OL53" s="163"/>
      <c r="OM53" s="163"/>
      <c r="ON53" s="163"/>
      <c r="OO53" s="163"/>
      <c r="OP53" s="163"/>
      <c r="OQ53" s="163"/>
      <c r="OR53" s="163"/>
      <c r="OX53" s="163"/>
      <c r="PB53" s="164"/>
      <c r="PF53" s="164"/>
      <c r="PJ53" s="164"/>
      <c r="PN53" s="164"/>
      <c r="PR53" s="164"/>
      <c r="PV53" s="164"/>
      <c r="PZ53" s="164"/>
      <c r="QA53" s="158"/>
      <c r="QB53" s="158"/>
      <c r="QD53" s="163"/>
      <c r="QE53" s="158"/>
      <c r="QF53" s="158"/>
      <c r="QG53" s="158"/>
      <c r="QH53" s="158"/>
      <c r="QI53" s="158"/>
      <c r="QJ53" s="158"/>
      <c r="QK53" s="158"/>
      <c r="QL53" s="159"/>
      <c r="QM53" s="158"/>
      <c r="QN53" s="158"/>
      <c r="QO53" s="158"/>
      <c r="QP53" s="158"/>
      <c r="QQ53" s="158"/>
      <c r="QR53" s="158"/>
      <c r="QS53" s="159"/>
      <c r="QT53" s="158"/>
      <c r="QU53" s="158"/>
      <c r="QV53" s="158"/>
      <c r="QW53" s="158"/>
      <c r="QX53" s="158"/>
      <c r="QY53" s="158"/>
      <c r="QZ53" s="159"/>
      <c r="RA53" s="158"/>
      <c r="RB53" s="158"/>
      <c r="RC53" s="158"/>
      <c r="RD53" s="158"/>
      <c r="RE53" s="158"/>
      <c r="RF53" s="158"/>
      <c r="RG53" s="159"/>
      <c r="RH53" s="158"/>
      <c r="RI53" s="158"/>
      <c r="RJ53" s="158"/>
      <c r="RK53" s="158"/>
      <c r="RL53" s="158"/>
      <c r="RM53" s="158"/>
      <c r="RN53" s="159"/>
      <c r="RO53" s="158"/>
      <c r="RP53" s="158"/>
      <c r="RQ53" s="158"/>
      <c r="RR53" s="158"/>
      <c r="RS53" s="158"/>
      <c r="RT53" s="158"/>
      <c r="RU53" s="159"/>
      <c r="RV53" s="158"/>
      <c r="RW53" s="158"/>
      <c r="RX53" s="158"/>
      <c r="RY53" s="158"/>
      <c r="RZ53" s="158"/>
      <c r="SA53" s="158"/>
      <c r="SB53" s="158"/>
      <c r="SC53" s="159"/>
      <c r="SD53" s="158"/>
      <c r="SE53" s="158"/>
      <c r="SF53" s="158"/>
      <c r="SG53" s="159"/>
      <c r="SH53" s="158"/>
      <c r="SI53" s="158"/>
      <c r="SJ53" s="158"/>
      <c r="SK53" s="158"/>
      <c r="SL53" s="158"/>
      <c r="SM53" s="158"/>
      <c r="SN53" s="159"/>
      <c r="SO53" s="158"/>
      <c r="SP53" s="158"/>
      <c r="SQ53" s="158"/>
      <c r="SR53" s="159"/>
      <c r="SS53" s="158"/>
      <c r="ST53" s="158"/>
      <c r="SU53" s="159"/>
      <c r="SV53" s="158"/>
      <c r="SW53" s="158"/>
      <c r="SX53" s="159"/>
      <c r="SY53" s="158"/>
      <c r="SZ53" s="158"/>
      <c r="TA53" s="159"/>
      <c r="TB53" s="158"/>
      <c r="TC53" s="158"/>
      <c r="TD53" s="158"/>
      <c r="TE53" s="158"/>
      <c r="TF53" s="158"/>
      <c r="TG53" s="158"/>
      <c r="TP53" s="158"/>
      <c r="TQ53" s="158"/>
      <c r="TR53" s="158"/>
      <c r="UC53" s="165"/>
    </row>
    <row r="54" spans="1:549" hidden="1" x14ac:dyDescent="0.25">
      <c r="A54" s="154"/>
      <c r="B54" s="155"/>
      <c r="C54" s="156"/>
      <c r="D54" s="157"/>
      <c r="E54" s="158"/>
      <c r="F54" s="158"/>
      <c r="G54" s="158"/>
      <c r="H54" s="159"/>
      <c r="I54" s="158"/>
      <c r="J54" s="158"/>
      <c r="K54" s="158"/>
      <c r="L54" s="159"/>
      <c r="M54" s="158"/>
      <c r="N54" s="158"/>
      <c r="O54" s="159"/>
      <c r="P54" s="158"/>
      <c r="Q54" s="158"/>
      <c r="R54" s="158"/>
      <c r="S54" s="158"/>
      <c r="T54" s="159"/>
      <c r="U54" s="158"/>
      <c r="V54" s="158"/>
      <c r="W54" s="158"/>
      <c r="X54" s="159"/>
      <c r="Y54" s="158"/>
      <c r="Z54" s="158"/>
      <c r="AA54" s="159"/>
      <c r="AB54" s="158"/>
      <c r="AC54" s="158"/>
      <c r="AD54" s="159"/>
      <c r="AE54" s="158"/>
      <c r="AF54" s="158"/>
      <c r="AG54" s="158"/>
      <c r="AH54" s="159"/>
      <c r="AI54" s="158"/>
      <c r="AJ54" s="158"/>
      <c r="AK54" s="158"/>
      <c r="AL54" s="159"/>
      <c r="AM54" s="158"/>
      <c r="AN54" s="158"/>
      <c r="AO54" s="158"/>
      <c r="AP54" s="159"/>
      <c r="AQ54" s="158"/>
      <c r="AR54" s="158"/>
      <c r="AS54" s="158"/>
      <c r="AT54" s="158"/>
      <c r="AU54" s="159"/>
      <c r="AV54" s="158"/>
      <c r="AW54" s="158"/>
      <c r="AX54" s="158"/>
      <c r="AY54" s="158"/>
      <c r="AZ54" s="158"/>
      <c r="BA54" s="158"/>
      <c r="BB54" s="158"/>
      <c r="BC54" s="158"/>
      <c r="BD54" s="159"/>
      <c r="BE54" s="158"/>
      <c r="BF54" s="158"/>
      <c r="BG54" s="158"/>
      <c r="BH54" s="158"/>
      <c r="BI54" s="158"/>
      <c r="BJ54" s="158"/>
      <c r="BK54" s="158"/>
      <c r="BL54" s="159"/>
      <c r="BM54" s="158"/>
      <c r="BN54" s="158"/>
      <c r="BO54" s="158"/>
      <c r="BP54" s="158"/>
      <c r="BQ54" s="158"/>
      <c r="BR54" s="158"/>
      <c r="BS54" s="159"/>
      <c r="BT54" s="158"/>
      <c r="BU54" s="158"/>
      <c r="BV54" s="158"/>
      <c r="BW54" s="159"/>
      <c r="BX54" s="158"/>
      <c r="BY54" s="158"/>
      <c r="BZ54" s="159"/>
      <c r="CA54" s="158"/>
      <c r="CB54" s="158"/>
      <c r="CC54" s="159"/>
      <c r="CD54" s="158"/>
      <c r="CE54" s="158"/>
      <c r="CF54" s="158"/>
      <c r="CG54" s="158"/>
      <c r="CH54" s="158"/>
      <c r="CI54" s="158"/>
      <c r="CJ54" s="158"/>
      <c r="CK54" s="158"/>
      <c r="CL54" s="159"/>
      <c r="CM54" s="158"/>
      <c r="CN54" s="158"/>
      <c r="CO54" s="158"/>
      <c r="CP54" s="158"/>
      <c r="CQ54" s="159"/>
      <c r="CR54" s="158"/>
      <c r="CS54" s="158"/>
      <c r="CT54" s="158"/>
      <c r="CU54" s="158"/>
      <c r="CV54" s="158"/>
      <c r="CW54" s="158"/>
      <c r="CX54" s="159"/>
      <c r="CY54" s="158"/>
      <c r="CZ54" s="158"/>
      <c r="DA54" s="158"/>
      <c r="DB54" s="159"/>
      <c r="DC54" s="158"/>
      <c r="DD54" s="158"/>
      <c r="DE54" s="159"/>
      <c r="DF54" s="158"/>
      <c r="DG54" s="158"/>
      <c r="DH54" s="159"/>
      <c r="DI54" s="158"/>
      <c r="DJ54" s="158"/>
      <c r="DK54" s="159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9"/>
      <c r="DX54" s="158"/>
      <c r="DY54" s="158"/>
      <c r="DZ54" s="158"/>
      <c r="EA54" s="159"/>
      <c r="EB54" s="158"/>
      <c r="EC54" s="158"/>
      <c r="ED54" s="158"/>
      <c r="EE54" s="158"/>
      <c r="EF54" s="158"/>
      <c r="EG54" s="158"/>
      <c r="EH54" s="159"/>
      <c r="EI54" s="158"/>
      <c r="EJ54" s="158"/>
      <c r="EK54" s="158"/>
      <c r="EL54" s="159"/>
      <c r="EM54" s="158"/>
      <c r="EN54" s="158"/>
      <c r="EO54" s="159"/>
      <c r="EP54" s="158"/>
      <c r="EQ54" s="158"/>
      <c r="ER54" s="159"/>
      <c r="ES54" s="158"/>
      <c r="ET54" s="158"/>
      <c r="EU54" s="159"/>
      <c r="EV54" s="158"/>
      <c r="EW54" s="158"/>
      <c r="EX54" s="158"/>
      <c r="EY54" s="158"/>
      <c r="EZ54" s="158"/>
      <c r="FA54" s="158"/>
      <c r="FB54" s="158"/>
      <c r="FC54" s="158"/>
      <c r="FD54" s="158"/>
      <c r="FE54" s="158"/>
      <c r="FF54" s="158"/>
      <c r="FG54" s="159"/>
      <c r="FH54" s="158"/>
      <c r="FI54" s="158"/>
      <c r="FJ54" s="158"/>
      <c r="FK54" s="159"/>
      <c r="FL54" s="158"/>
      <c r="FM54" s="158"/>
      <c r="FN54" s="158"/>
      <c r="FO54" s="158"/>
      <c r="FP54" s="158"/>
      <c r="FQ54" s="158"/>
      <c r="FR54" s="159"/>
      <c r="FS54" s="158"/>
      <c r="FT54" s="158"/>
      <c r="FU54" s="158"/>
      <c r="FV54" s="159"/>
      <c r="FW54" s="158"/>
      <c r="FX54" s="158"/>
      <c r="FY54" s="159"/>
      <c r="FZ54" s="158"/>
      <c r="GA54" s="158"/>
      <c r="GB54" s="159"/>
      <c r="GC54" s="158"/>
      <c r="GD54" s="158"/>
      <c r="GE54" s="159"/>
      <c r="GF54" s="158"/>
      <c r="GG54" s="158"/>
      <c r="GH54" s="158"/>
      <c r="GI54" s="158"/>
      <c r="GJ54" s="158"/>
      <c r="GK54" s="160"/>
      <c r="GL54" s="160"/>
      <c r="GM54" s="160"/>
      <c r="GN54" s="161"/>
      <c r="GO54" s="158"/>
      <c r="GP54" s="158"/>
      <c r="GQ54" s="158"/>
      <c r="GR54" s="159"/>
      <c r="GS54" s="158"/>
      <c r="GT54" s="158"/>
      <c r="GU54" s="158"/>
      <c r="GV54" s="158"/>
      <c r="GW54" s="159"/>
      <c r="GX54" s="158"/>
      <c r="GY54" s="158"/>
      <c r="GZ54" s="158"/>
      <c r="HA54" s="158"/>
      <c r="HB54" s="159"/>
      <c r="HC54" s="158"/>
      <c r="HD54" s="158"/>
      <c r="HE54" s="158"/>
      <c r="HF54" s="158"/>
      <c r="HG54" s="159"/>
      <c r="HH54" s="158"/>
      <c r="HI54" s="158"/>
      <c r="HJ54" s="158"/>
      <c r="HK54" s="158"/>
      <c r="HL54" s="159"/>
      <c r="HM54" s="158"/>
      <c r="HN54" s="158"/>
      <c r="HO54" s="158"/>
      <c r="HP54" s="158"/>
      <c r="HQ54" s="159"/>
      <c r="HR54" s="158"/>
      <c r="HS54" s="160"/>
      <c r="HT54" s="160"/>
      <c r="HU54" s="160"/>
      <c r="HV54" s="161"/>
      <c r="HW54" s="158"/>
      <c r="HX54" s="158"/>
      <c r="HY54" s="158"/>
      <c r="HZ54" s="159"/>
      <c r="IA54" s="158"/>
      <c r="IB54" s="158"/>
      <c r="IC54" s="158"/>
      <c r="ID54" s="158"/>
      <c r="IE54" s="159"/>
      <c r="IF54" s="158"/>
      <c r="IG54" s="158"/>
      <c r="IH54" s="158"/>
      <c r="II54" s="158"/>
      <c r="IJ54" s="159"/>
      <c r="IK54" s="158"/>
      <c r="IL54" s="158"/>
      <c r="IM54" s="158"/>
      <c r="IN54" s="158"/>
      <c r="IO54" s="159"/>
      <c r="IP54" s="158"/>
      <c r="IQ54" s="158"/>
      <c r="IR54" s="158"/>
      <c r="IS54" s="158"/>
      <c r="IT54" s="159"/>
      <c r="IU54" s="158"/>
      <c r="IV54" s="158"/>
      <c r="IW54" s="158"/>
      <c r="IX54" s="159"/>
      <c r="IY54" s="158"/>
      <c r="IZ54" s="158"/>
      <c r="JA54" s="158"/>
      <c r="JB54" s="159"/>
      <c r="JC54" s="158"/>
      <c r="JD54" s="158"/>
      <c r="JE54" s="158"/>
      <c r="JF54" s="159"/>
      <c r="JG54" s="158"/>
      <c r="JH54" s="158"/>
      <c r="JI54" s="158"/>
      <c r="JJ54" s="158"/>
      <c r="JK54" s="158"/>
      <c r="JL54" s="158"/>
      <c r="JM54" s="158"/>
      <c r="JN54" s="158"/>
      <c r="JO54" s="158"/>
      <c r="JP54" s="158"/>
      <c r="JQ54" s="158"/>
      <c r="JR54" s="158"/>
      <c r="JS54" s="158"/>
      <c r="JT54" s="158"/>
      <c r="JU54" s="158"/>
      <c r="JV54" s="158"/>
      <c r="JW54" s="158"/>
      <c r="JX54" s="158"/>
      <c r="JY54" s="158"/>
      <c r="JZ54" s="158"/>
      <c r="KA54" s="158"/>
      <c r="KB54" s="158"/>
      <c r="KC54" s="158"/>
      <c r="KD54" s="158"/>
      <c r="KE54" s="158"/>
      <c r="KF54" s="158"/>
      <c r="KG54" s="158"/>
      <c r="KH54" s="158"/>
      <c r="KI54" s="158"/>
      <c r="KJ54" s="158"/>
      <c r="KK54" s="158"/>
      <c r="KL54" s="158"/>
      <c r="KM54" s="158"/>
      <c r="KN54" s="158"/>
      <c r="KO54" s="158"/>
      <c r="KP54" s="158"/>
      <c r="KQ54" s="158"/>
      <c r="KR54" s="158"/>
      <c r="KS54" s="158"/>
      <c r="KT54" s="158"/>
      <c r="KU54" s="158"/>
      <c r="KV54" s="158"/>
      <c r="KW54" s="158"/>
      <c r="KX54" s="158"/>
      <c r="KY54" s="158"/>
      <c r="KZ54" s="159"/>
      <c r="LA54" s="158"/>
      <c r="LB54" s="158"/>
      <c r="LC54" s="158"/>
      <c r="LD54" s="159"/>
      <c r="LE54" s="158"/>
      <c r="LF54" s="158"/>
      <c r="LG54" s="158"/>
      <c r="LH54" s="159"/>
      <c r="LI54" s="158"/>
      <c r="LJ54" s="158"/>
      <c r="LK54" s="158"/>
      <c r="LL54" s="159"/>
      <c r="LM54" s="158"/>
      <c r="LN54" s="158"/>
      <c r="LO54" s="158"/>
      <c r="LP54" s="159"/>
      <c r="LQ54" s="158"/>
      <c r="LR54" s="158"/>
      <c r="LS54" s="158"/>
      <c r="LT54" s="159"/>
      <c r="LU54" s="159"/>
      <c r="LV54" s="159"/>
      <c r="LW54" s="159"/>
      <c r="LX54" s="159"/>
      <c r="LY54" s="158"/>
      <c r="LZ54" s="158"/>
      <c r="MA54" s="158"/>
      <c r="MB54" s="159"/>
      <c r="MC54" s="158"/>
      <c r="MD54" s="159"/>
      <c r="ME54" s="158"/>
      <c r="MF54" s="159"/>
      <c r="MG54" s="158"/>
      <c r="MH54" s="159"/>
      <c r="MI54" s="158"/>
      <c r="MJ54" s="159"/>
      <c r="MK54" s="158"/>
      <c r="ML54" s="159"/>
      <c r="MM54" s="158"/>
      <c r="MN54" s="158"/>
      <c r="MO54" s="158"/>
      <c r="MP54" s="158"/>
      <c r="MQ54" s="158"/>
      <c r="MR54" s="158"/>
      <c r="MS54" s="158"/>
      <c r="MT54" s="158"/>
      <c r="MU54" s="158"/>
      <c r="MV54" s="158"/>
      <c r="MW54" s="159"/>
      <c r="MX54" s="158"/>
      <c r="MY54" s="158"/>
      <c r="MZ54" s="158"/>
      <c r="NA54" s="159"/>
      <c r="NB54" s="158"/>
      <c r="NC54" s="158"/>
      <c r="ND54" s="158"/>
      <c r="NE54" s="159"/>
      <c r="NF54" s="158"/>
      <c r="NG54" s="158"/>
      <c r="NH54" s="158"/>
      <c r="NI54" s="159"/>
      <c r="NJ54" s="158"/>
      <c r="NK54" s="158"/>
      <c r="NL54" s="158"/>
      <c r="NM54" s="159"/>
      <c r="NN54" s="158"/>
      <c r="NO54" s="158"/>
      <c r="NP54" s="158"/>
      <c r="NQ54" s="159"/>
      <c r="NR54" s="158"/>
      <c r="NS54" s="158"/>
      <c r="NT54" s="158"/>
      <c r="NU54" s="159"/>
      <c r="NV54" s="162"/>
      <c r="NW54" s="162"/>
      <c r="NX54" s="162"/>
      <c r="NY54" s="161"/>
      <c r="NZ54" s="162"/>
      <c r="OA54" s="162"/>
      <c r="OB54" s="162"/>
      <c r="OC54" s="161"/>
      <c r="OD54" s="163"/>
      <c r="OE54" s="163"/>
      <c r="OF54" s="163"/>
      <c r="OG54" s="163"/>
      <c r="OH54" s="163"/>
      <c r="OI54" s="163"/>
      <c r="OJ54" s="163"/>
      <c r="OK54" s="163"/>
      <c r="OL54" s="163"/>
      <c r="OM54" s="163"/>
      <c r="ON54" s="163"/>
      <c r="OO54" s="163"/>
      <c r="OP54" s="163"/>
      <c r="OQ54" s="163"/>
      <c r="OR54" s="163"/>
      <c r="OX54" s="163"/>
      <c r="PB54" s="164"/>
      <c r="PF54" s="164"/>
      <c r="PJ54" s="164"/>
      <c r="PN54" s="164"/>
      <c r="PR54" s="164"/>
      <c r="PV54" s="164"/>
      <c r="PZ54" s="164"/>
      <c r="QA54" s="158"/>
      <c r="QB54" s="158"/>
      <c r="QD54" s="163"/>
      <c r="QE54" s="158"/>
      <c r="QF54" s="158"/>
      <c r="QG54" s="158"/>
      <c r="QH54" s="158"/>
      <c r="QI54" s="158"/>
      <c r="QJ54" s="158"/>
      <c r="QK54" s="158"/>
      <c r="QL54" s="159"/>
      <c r="QM54" s="158"/>
      <c r="QN54" s="158"/>
      <c r="QO54" s="158"/>
      <c r="QP54" s="158"/>
      <c r="QQ54" s="158"/>
      <c r="QR54" s="158"/>
      <c r="QS54" s="159"/>
      <c r="QT54" s="158"/>
      <c r="QU54" s="158"/>
      <c r="QV54" s="158"/>
      <c r="QW54" s="158"/>
      <c r="QX54" s="158"/>
      <c r="QY54" s="158"/>
      <c r="QZ54" s="159"/>
      <c r="RA54" s="158"/>
      <c r="RB54" s="158"/>
      <c r="RC54" s="158"/>
      <c r="RD54" s="158"/>
      <c r="RE54" s="158"/>
      <c r="RF54" s="158"/>
      <c r="RG54" s="159"/>
      <c r="RH54" s="158"/>
      <c r="RI54" s="158"/>
      <c r="RJ54" s="158"/>
      <c r="RK54" s="158"/>
      <c r="RL54" s="158"/>
      <c r="RM54" s="158"/>
      <c r="RN54" s="159"/>
      <c r="RO54" s="158"/>
      <c r="RP54" s="158"/>
      <c r="RQ54" s="158"/>
      <c r="RR54" s="158"/>
      <c r="RS54" s="158"/>
      <c r="RT54" s="158"/>
      <c r="RU54" s="159"/>
      <c r="RV54" s="158"/>
      <c r="RW54" s="158"/>
      <c r="RX54" s="158"/>
      <c r="RY54" s="158"/>
      <c r="RZ54" s="158"/>
      <c r="SA54" s="158"/>
      <c r="SB54" s="158"/>
      <c r="SC54" s="159"/>
      <c r="SD54" s="158"/>
      <c r="SE54" s="158"/>
      <c r="SF54" s="158"/>
      <c r="SG54" s="159"/>
      <c r="SH54" s="158"/>
      <c r="SI54" s="158"/>
      <c r="SJ54" s="158"/>
      <c r="SK54" s="158"/>
      <c r="SL54" s="158"/>
      <c r="SM54" s="158"/>
      <c r="SN54" s="159"/>
      <c r="SO54" s="158"/>
      <c r="SP54" s="158"/>
      <c r="SQ54" s="158"/>
      <c r="SR54" s="159"/>
      <c r="SS54" s="158"/>
      <c r="ST54" s="158"/>
      <c r="SU54" s="159"/>
      <c r="SV54" s="158"/>
      <c r="SW54" s="158"/>
      <c r="SX54" s="159"/>
      <c r="SY54" s="158"/>
      <c r="SZ54" s="158"/>
      <c r="TA54" s="159"/>
      <c r="TB54" s="158"/>
      <c r="TC54" s="158"/>
      <c r="TD54" s="158"/>
      <c r="TE54" s="158"/>
      <c r="TF54" s="158"/>
      <c r="TG54" s="158"/>
      <c r="TP54" s="158"/>
      <c r="TQ54" s="158"/>
      <c r="TR54" s="158"/>
      <c r="UC54" s="165"/>
    </row>
    <row r="55" spans="1:549" hidden="1" x14ac:dyDescent="0.25">
      <c r="A55" s="168"/>
      <c r="B55" s="169"/>
      <c r="C55" s="170"/>
      <c r="D55" s="157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8"/>
      <c r="CG55" s="158"/>
      <c r="CH55" s="158"/>
      <c r="CI55" s="158"/>
      <c r="CJ55" s="158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58"/>
      <c r="EC55" s="158"/>
      <c r="ED55" s="158"/>
      <c r="EE55" s="158"/>
      <c r="EF55" s="158"/>
      <c r="EG55" s="158"/>
      <c r="EH55" s="158"/>
      <c r="EI55" s="158"/>
      <c r="EJ55" s="158"/>
      <c r="EK55" s="158"/>
      <c r="EL55" s="158"/>
      <c r="EM55" s="158"/>
      <c r="EN55" s="158"/>
      <c r="EO55" s="158"/>
      <c r="EP55" s="158"/>
      <c r="EQ55" s="158"/>
      <c r="ER55" s="158"/>
      <c r="ES55" s="158"/>
      <c r="ET55" s="158"/>
      <c r="EU55" s="158"/>
      <c r="EV55" s="158"/>
      <c r="EW55" s="158"/>
      <c r="EX55" s="158"/>
      <c r="EY55" s="158"/>
      <c r="EZ55" s="158"/>
      <c r="FA55" s="158"/>
      <c r="FB55" s="158"/>
      <c r="FC55" s="158"/>
      <c r="FD55" s="158"/>
      <c r="FE55" s="158"/>
      <c r="FF55" s="158"/>
      <c r="FG55" s="158"/>
      <c r="FH55" s="158"/>
      <c r="FI55" s="158"/>
      <c r="FJ55" s="158"/>
      <c r="FK55" s="158"/>
      <c r="FL55" s="158"/>
      <c r="FM55" s="158"/>
      <c r="FN55" s="158"/>
      <c r="FO55" s="158"/>
      <c r="FP55" s="158"/>
      <c r="FQ55" s="158"/>
      <c r="FR55" s="158"/>
      <c r="FS55" s="158"/>
      <c r="FT55" s="158"/>
      <c r="FU55" s="158"/>
      <c r="FV55" s="158"/>
      <c r="FW55" s="158"/>
      <c r="FX55" s="158"/>
      <c r="FY55" s="158"/>
      <c r="FZ55" s="158"/>
      <c r="GA55" s="158"/>
      <c r="GB55" s="158"/>
      <c r="GC55" s="158"/>
      <c r="GD55" s="158"/>
      <c r="GE55" s="158"/>
      <c r="GF55" s="158"/>
      <c r="GG55" s="158"/>
      <c r="GH55" s="158"/>
      <c r="GI55" s="158"/>
      <c r="GJ55" s="158"/>
      <c r="GK55" s="160"/>
      <c r="GL55" s="160"/>
      <c r="GM55" s="160"/>
      <c r="GN55" s="161"/>
      <c r="GO55" s="158"/>
      <c r="GP55" s="158"/>
      <c r="GQ55" s="158"/>
      <c r="GR55" s="158"/>
      <c r="GS55" s="158"/>
      <c r="GT55" s="158"/>
      <c r="GU55" s="158"/>
      <c r="GV55" s="158"/>
      <c r="GW55" s="158"/>
      <c r="GX55" s="158"/>
      <c r="GY55" s="158"/>
      <c r="GZ55" s="158"/>
      <c r="HA55" s="158"/>
      <c r="HB55" s="158"/>
      <c r="HC55" s="158"/>
      <c r="HD55" s="158"/>
      <c r="HE55" s="158"/>
      <c r="HF55" s="158"/>
      <c r="HG55" s="158"/>
      <c r="HH55" s="158"/>
      <c r="HI55" s="158"/>
      <c r="HJ55" s="158"/>
      <c r="HK55" s="158"/>
      <c r="HL55" s="158"/>
      <c r="HM55" s="158"/>
      <c r="HN55" s="158"/>
      <c r="HO55" s="158"/>
      <c r="HP55" s="158"/>
      <c r="HQ55" s="158"/>
      <c r="HR55" s="158"/>
      <c r="HS55" s="160"/>
      <c r="HT55" s="160"/>
      <c r="HU55" s="160"/>
      <c r="HV55" s="161"/>
      <c r="HW55" s="158"/>
      <c r="HX55" s="158"/>
      <c r="HY55" s="158"/>
      <c r="HZ55" s="158"/>
      <c r="IA55" s="158"/>
      <c r="IB55" s="158"/>
      <c r="IC55" s="158"/>
      <c r="ID55" s="158"/>
      <c r="IE55" s="158"/>
      <c r="IF55" s="158"/>
      <c r="IG55" s="158"/>
      <c r="IH55" s="158"/>
      <c r="II55" s="158"/>
      <c r="IJ55" s="158"/>
      <c r="IK55" s="158"/>
      <c r="IL55" s="158"/>
      <c r="IM55" s="158"/>
      <c r="IN55" s="158"/>
      <c r="IO55" s="158"/>
      <c r="IP55" s="158"/>
      <c r="IQ55" s="158"/>
      <c r="IR55" s="158"/>
      <c r="IS55" s="158"/>
      <c r="IT55" s="158"/>
      <c r="IU55" s="158"/>
      <c r="IV55" s="158"/>
      <c r="IW55" s="158"/>
      <c r="IX55" s="158"/>
      <c r="IY55" s="158"/>
      <c r="IZ55" s="158"/>
      <c r="JA55" s="158"/>
      <c r="JB55" s="158"/>
      <c r="JC55" s="158"/>
      <c r="JD55" s="158"/>
      <c r="JE55" s="158"/>
      <c r="JF55" s="158"/>
      <c r="JG55" s="158"/>
      <c r="JH55" s="158"/>
      <c r="JI55" s="158"/>
      <c r="JJ55" s="158"/>
      <c r="JK55" s="158"/>
      <c r="JL55" s="158"/>
      <c r="JM55" s="158"/>
      <c r="JN55" s="158"/>
      <c r="JO55" s="158"/>
      <c r="JP55" s="158"/>
      <c r="JQ55" s="158"/>
      <c r="JR55" s="158"/>
      <c r="JS55" s="158"/>
      <c r="JT55" s="158"/>
      <c r="JU55" s="158"/>
      <c r="JV55" s="158"/>
      <c r="JW55" s="158"/>
      <c r="JX55" s="158"/>
      <c r="JY55" s="158"/>
      <c r="JZ55" s="158"/>
      <c r="KA55" s="158"/>
      <c r="KB55" s="158"/>
      <c r="KC55" s="158"/>
      <c r="KD55" s="158"/>
      <c r="KE55" s="158"/>
      <c r="KF55" s="158"/>
      <c r="KG55" s="158"/>
      <c r="KH55" s="158"/>
      <c r="KI55" s="158"/>
      <c r="KJ55" s="158"/>
      <c r="KK55" s="158"/>
      <c r="KL55" s="158"/>
      <c r="KM55" s="158"/>
      <c r="KN55" s="158"/>
      <c r="KO55" s="158"/>
      <c r="KP55" s="158"/>
      <c r="KQ55" s="158"/>
      <c r="KR55" s="158"/>
      <c r="KS55" s="158"/>
      <c r="KT55" s="158"/>
      <c r="KU55" s="158"/>
      <c r="KV55" s="158"/>
      <c r="KW55" s="158"/>
      <c r="KX55" s="158"/>
      <c r="KY55" s="158"/>
      <c r="KZ55" s="158"/>
      <c r="LA55" s="158"/>
      <c r="LB55" s="158"/>
      <c r="LC55" s="158"/>
      <c r="LD55" s="158"/>
      <c r="LE55" s="158"/>
      <c r="LF55" s="158"/>
      <c r="LG55" s="158"/>
      <c r="LH55" s="158"/>
      <c r="LI55" s="158"/>
      <c r="LJ55" s="158"/>
      <c r="LK55" s="158"/>
      <c r="LL55" s="158"/>
      <c r="LM55" s="158"/>
      <c r="LN55" s="158"/>
      <c r="LO55" s="158"/>
      <c r="LP55" s="158"/>
      <c r="LQ55" s="158"/>
      <c r="LR55" s="158"/>
      <c r="LS55" s="158"/>
      <c r="LT55" s="158"/>
      <c r="LU55" s="158"/>
      <c r="LV55" s="158"/>
      <c r="LW55" s="158"/>
      <c r="LX55" s="159"/>
      <c r="LY55" s="158"/>
      <c r="LZ55" s="158"/>
      <c r="MA55" s="158"/>
      <c r="MB55" s="158"/>
      <c r="MC55" s="158"/>
      <c r="MD55" s="158"/>
      <c r="ME55" s="158"/>
      <c r="MF55" s="158"/>
      <c r="MG55" s="158"/>
      <c r="MH55" s="158"/>
      <c r="MI55" s="158"/>
      <c r="MJ55" s="158"/>
      <c r="MK55" s="158"/>
      <c r="ML55" s="158"/>
      <c r="MM55" s="158"/>
      <c r="MN55" s="158"/>
      <c r="MO55" s="158"/>
      <c r="MP55" s="158"/>
      <c r="MQ55" s="158"/>
      <c r="MR55" s="158"/>
      <c r="MS55" s="158"/>
      <c r="MT55" s="158"/>
      <c r="MU55" s="158"/>
      <c r="MV55" s="158"/>
      <c r="MW55" s="158"/>
      <c r="MX55" s="158"/>
      <c r="MY55" s="158"/>
      <c r="MZ55" s="158"/>
      <c r="NA55" s="158"/>
      <c r="NB55" s="158"/>
      <c r="NC55" s="158"/>
      <c r="ND55" s="158"/>
      <c r="NE55" s="158"/>
      <c r="NF55" s="158"/>
      <c r="NG55" s="158"/>
      <c r="NH55" s="158"/>
      <c r="NI55" s="158"/>
      <c r="NJ55" s="158"/>
      <c r="NK55" s="158"/>
      <c r="NL55" s="158"/>
      <c r="NM55" s="158"/>
      <c r="NN55" s="158"/>
      <c r="NO55" s="158"/>
      <c r="NP55" s="158"/>
      <c r="NQ55" s="158"/>
      <c r="NR55" s="158"/>
      <c r="NS55" s="158"/>
      <c r="NT55" s="158"/>
      <c r="NU55" s="158"/>
      <c r="NV55" s="160"/>
      <c r="NW55" s="160"/>
      <c r="NX55" s="160"/>
      <c r="NY55" s="160"/>
      <c r="NZ55" s="160"/>
      <c r="OA55" s="160"/>
      <c r="OB55" s="160"/>
      <c r="OC55" s="160"/>
      <c r="OD55" s="160"/>
      <c r="OE55" s="160"/>
      <c r="OF55" s="160"/>
      <c r="OG55" s="160"/>
      <c r="OH55" s="160"/>
      <c r="OI55" s="160"/>
      <c r="OJ55" s="160"/>
      <c r="OK55" s="160"/>
      <c r="OL55" s="160"/>
      <c r="OM55" s="160"/>
      <c r="ON55" s="160"/>
      <c r="OO55" s="160"/>
      <c r="OP55" s="160"/>
      <c r="OQ55" s="160"/>
      <c r="OR55" s="165"/>
      <c r="OS55" s="160"/>
      <c r="OT55" s="160"/>
      <c r="OU55" s="160"/>
      <c r="OV55" s="160"/>
      <c r="OW55" s="160"/>
      <c r="OX55" s="160"/>
      <c r="OY55" s="160"/>
      <c r="OZ55" s="160"/>
      <c r="PA55" s="160"/>
      <c r="PB55" s="164"/>
      <c r="PC55" s="160"/>
      <c r="PD55" s="160"/>
      <c r="PE55" s="160"/>
      <c r="PF55" s="164"/>
      <c r="PG55" s="160"/>
      <c r="PH55" s="160"/>
      <c r="PI55" s="160"/>
      <c r="PJ55" s="164"/>
      <c r="PK55" s="160"/>
      <c r="PL55" s="160"/>
      <c r="PM55" s="160"/>
      <c r="PN55" s="164"/>
      <c r="PO55" s="160"/>
      <c r="PP55" s="160"/>
      <c r="PQ55" s="160"/>
      <c r="PR55" s="164"/>
      <c r="PS55" s="160"/>
      <c r="PT55" s="160"/>
      <c r="PU55" s="160"/>
      <c r="PV55" s="164"/>
      <c r="PW55" s="160"/>
      <c r="PX55" s="160"/>
      <c r="PY55" s="160"/>
      <c r="PZ55" s="164"/>
      <c r="QA55" s="160"/>
      <c r="QB55" s="160"/>
      <c r="QC55" s="160"/>
      <c r="QD55" s="163"/>
      <c r="QE55" s="160"/>
      <c r="QF55" s="158"/>
      <c r="QG55" s="158"/>
      <c r="QH55" s="158"/>
      <c r="QI55" s="158"/>
      <c r="QJ55" s="158"/>
      <c r="QK55" s="158"/>
      <c r="QL55" s="158"/>
      <c r="QM55" s="158"/>
      <c r="QN55" s="158"/>
      <c r="QO55" s="158"/>
      <c r="QP55" s="158"/>
      <c r="QQ55" s="158"/>
      <c r="QR55" s="158"/>
      <c r="QS55" s="158"/>
      <c r="QT55" s="158"/>
      <c r="QU55" s="158"/>
      <c r="QV55" s="158"/>
      <c r="QW55" s="158"/>
      <c r="QX55" s="158"/>
      <c r="QY55" s="158"/>
      <c r="QZ55" s="158"/>
      <c r="RA55" s="158"/>
      <c r="RB55" s="158"/>
      <c r="RC55" s="158"/>
      <c r="RD55" s="158"/>
      <c r="RE55" s="158"/>
      <c r="RF55" s="158"/>
      <c r="RG55" s="158"/>
      <c r="RH55" s="158"/>
      <c r="RI55" s="158"/>
      <c r="RJ55" s="158"/>
      <c r="RK55" s="158"/>
      <c r="RL55" s="158"/>
      <c r="RM55" s="158"/>
      <c r="RN55" s="158"/>
      <c r="RO55" s="158"/>
      <c r="RP55" s="158"/>
      <c r="RQ55" s="158"/>
      <c r="RR55" s="158"/>
      <c r="RS55" s="158"/>
      <c r="RT55" s="158"/>
      <c r="RU55" s="158"/>
      <c r="RV55" s="158"/>
      <c r="RW55" s="158"/>
      <c r="RX55" s="158"/>
      <c r="RY55" s="158"/>
      <c r="RZ55" s="158"/>
      <c r="SA55" s="158"/>
      <c r="SB55" s="158"/>
      <c r="SC55" s="158"/>
      <c r="SD55" s="158"/>
      <c r="SE55" s="158"/>
      <c r="SF55" s="158"/>
      <c r="SG55" s="158"/>
      <c r="SH55" s="158"/>
      <c r="SI55" s="158"/>
      <c r="SJ55" s="158"/>
      <c r="SK55" s="158"/>
      <c r="SL55" s="158"/>
      <c r="SM55" s="158"/>
      <c r="SN55" s="158"/>
      <c r="SO55" s="158"/>
      <c r="SP55" s="158"/>
      <c r="SQ55" s="158"/>
      <c r="SR55" s="158"/>
      <c r="SS55" s="158"/>
      <c r="ST55" s="158"/>
      <c r="SU55" s="158"/>
      <c r="SV55" s="158"/>
      <c r="SW55" s="158"/>
      <c r="SX55" s="158"/>
      <c r="SY55" s="158"/>
      <c r="SZ55" s="158"/>
      <c r="TA55" s="158"/>
      <c r="TB55" s="158"/>
      <c r="TC55" s="158"/>
      <c r="TD55" s="158"/>
      <c r="TE55" s="158"/>
      <c r="TF55" s="158"/>
      <c r="TG55" s="158"/>
      <c r="TH55" s="160"/>
      <c r="TI55" s="160"/>
      <c r="TJ55" s="160"/>
      <c r="TK55" s="160"/>
      <c r="TL55" s="160"/>
      <c r="TM55" s="160"/>
      <c r="TN55" s="160"/>
      <c r="TO55" s="160"/>
      <c r="TP55" s="158"/>
      <c r="TQ55" s="158"/>
      <c r="TR55" s="158"/>
      <c r="TS55" s="160"/>
      <c r="TT55" s="160"/>
      <c r="TU55" s="160"/>
      <c r="TV55" s="160"/>
      <c r="TW55" s="160"/>
      <c r="TX55" s="160"/>
      <c r="TY55" s="160"/>
      <c r="TZ55" s="160"/>
      <c r="UA55" s="160"/>
      <c r="UB55" s="160"/>
      <c r="UC55" s="160"/>
    </row>
    <row r="56" spans="1:549" hidden="1" x14ac:dyDescent="0.25">
      <c r="A56" s="154"/>
      <c r="B56" s="155"/>
      <c r="C56" s="156"/>
      <c r="D56" s="157"/>
      <c r="E56" s="158"/>
      <c r="F56" s="158"/>
      <c r="G56" s="158"/>
      <c r="H56" s="159"/>
      <c r="I56" s="158"/>
      <c r="J56" s="158"/>
      <c r="K56" s="158"/>
      <c r="L56" s="159"/>
      <c r="M56" s="158"/>
      <c r="N56" s="158"/>
      <c r="O56" s="159"/>
      <c r="P56" s="158"/>
      <c r="Q56" s="158"/>
      <c r="R56" s="158"/>
      <c r="S56" s="158"/>
      <c r="T56" s="159"/>
      <c r="U56" s="158"/>
      <c r="V56" s="158"/>
      <c r="W56" s="158"/>
      <c r="X56" s="159"/>
      <c r="Y56" s="158"/>
      <c r="Z56" s="158"/>
      <c r="AA56" s="159"/>
      <c r="AB56" s="158"/>
      <c r="AC56" s="158"/>
      <c r="AD56" s="159"/>
      <c r="AE56" s="158"/>
      <c r="AF56" s="158"/>
      <c r="AG56" s="158"/>
      <c r="AH56" s="159"/>
      <c r="AI56" s="158"/>
      <c r="AJ56" s="158"/>
      <c r="AK56" s="158"/>
      <c r="AL56" s="159"/>
      <c r="AM56" s="158"/>
      <c r="AN56" s="158"/>
      <c r="AO56" s="158"/>
      <c r="AP56" s="159"/>
      <c r="AQ56" s="158"/>
      <c r="AR56" s="158"/>
      <c r="AS56" s="158"/>
      <c r="AT56" s="158"/>
      <c r="AU56" s="159"/>
      <c r="AV56" s="158"/>
      <c r="AW56" s="158"/>
      <c r="AX56" s="158"/>
      <c r="AY56" s="158"/>
      <c r="AZ56" s="158"/>
      <c r="BA56" s="158"/>
      <c r="BB56" s="158"/>
      <c r="BC56" s="158"/>
      <c r="BD56" s="159"/>
      <c r="BE56" s="158"/>
      <c r="BF56" s="158"/>
      <c r="BG56" s="158"/>
      <c r="BH56" s="158"/>
      <c r="BI56" s="158"/>
      <c r="BJ56" s="158"/>
      <c r="BK56" s="158"/>
      <c r="BL56" s="159"/>
      <c r="BM56" s="158"/>
      <c r="BN56" s="158"/>
      <c r="BO56" s="158"/>
      <c r="BP56" s="158"/>
      <c r="BQ56" s="158"/>
      <c r="BR56" s="158"/>
      <c r="BS56" s="159"/>
      <c r="BT56" s="158"/>
      <c r="BU56" s="158"/>
      <c r="BV56" s="158"/>
      <c r="BW56" s="159"/>
      <c r="BX56" s="158"/>
      <c r="BY56" s="158"/>
      <c r="BZ56" s="159"/>
      <c r="CA56" s="158"/>
      <c r="CB56" s="158"/>
      <c r="CC56" s="159"/>
      <c r="CD56" s="158"/>
      <c r="CE56" s="158"/>
      <c r="CF56" s="158"/>
      <c r="CG56" s="158"/>
      <c r="CH56" s="158"/>
      <c r="CI56" s="158"/>
      <c r="CJ56" s="158"/>
      <c r="CK56" s="158"/>
      <c r="CL56" s="159"/>
      <c r="CM56" s="158"/>
      <c r="CN56" s="158"/>
      <c r="CO56" s="158"/>
      <c r="CP56" s="158"/>
      <c r="CQ56" s="159"/>
      <c r="CR56" s="158"/>
      <c r="CS56" s="158"/>
      <c r="CT56" s="158"/>
      <c r="CU56" s="158"/>
      <c r="CV56" s="158"/>
      <c r="CW56" s="158"/>
      <c r="CX56" s="159"/>
      <c r="CY56" s="158"/>
      <c r="CZ56" s="158"/>
      <c r="DA56" s="158"/>
      <c r="DB56" s="159"/>
      <c r="DC56" s="158"/>
      <c r="DD56" s="158"/>
      <c r="DE56" s="159"/>
      <c r="DF56" s="158"/>
      <c r="DG56" s="158"/>
      <c r="DH56" s="159"/>
      <c r="DI56" s="158"/>
      <c r="DJ56" s="158"/>
      <c r="DK56" s="159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9"/>
      <c r="DX56" s="158"/>
      <c r="DY56" s="158"/>
      <c r="DZ56" s="158"/>
      <c r="EA56" s="159"/>
      <c r="EB56" s="158"/>
      <c r="EC56" s="158"/>
      <c r="ED56" s="158"/>
      <c r="EE56" s="158"/>
      <c r="EF56" s="158"/>
      <c r="EG56" s="158"/>
      <c r="EH56" s="159"/>
      <c r="EI56" s="158"/>
      <c r="EJ56" s="158"/>
      <c r="EK56" s="158"/>
      <c r="EL56" s="159"/>
      <c r="EM56" s="158"/>
      <c r="EN56" s="158"/>
      <c r="EO56" s="159"/>
      <c r="EP56" s="158"/>
      <c r="EQ56" s="158"/>
      <c r="ER56" s="159"/>
      <c r="ES56" s="158"/>
      <c r="ET56" s="158"/>
      <c r="EU56" s="159"/>
      <c r="EV56" s="158"/>
      <c r="EW56" s="158"/>
      <c r="EX56" s="158"/>
      <c r="EY56" s="158"/>
      <c r="EZ56" s="158"/>
      <c r="FA56" s="158"/>
      <c r="FB56" s="158"/>
      <c r="FC56" s="158"/>
      <c r="FD56" s="158"/>
      <c r="FE56" s="158"/>
      <c r="FF56" s="158"/>
      <c r="FG56" s="159"/>
      <c r="FH56" s="158"/>
      <c r="FI56" s="158"/>
      <c r="FJ56" s="158"/>
      <c r="FK56" s="159"/>
      <c r="FL56" s="158"/>
      <c r="FM56" s="158"/>
      <c r="FN56" s="158"/>
      <c r="FO56" s="158"/>
      <c r="FP56" s="158"/>
      <c r="FQ56" s="158"/>
      <c r="FR56" s="159"/>
      <c r="FS56" s="158"/>
      <c r="FT56" s="158"/>
      <c r="FU56" s="158"/>
      <c r="FV56" s="159"/>
      <c r="FW56" s="158"/>
      <c r="FX56" s="158"/>
      <c r="FY56" s="159"/>
      <c r="FZ56" s="158"/>
      <c r="GA56" s="158"/>
      <c r="GB56" s="159"/>
      <c r="GC56" s="158"/>
      <c r="GD56" s="158"/>
      <c r="GE56" s="159"/>
      <c r="GF56" s="158"/>
      <c r="GG56" s="158"/>
      <c r="GH56" s="158"/>
      <c r="GI56" s="158"/>
      <c r="GJ56" s="158"/>
      <c r="GK56" s="160"/>
      <c r="GL56" s="160"/>
      <c r="GM56" s="160"/>
      <c r="GN56" s="161"/>
      <c r="GO56" s="158"/>
      <c r="GP56" s="158"/>
      <c r="GQ56" s="158"/>
      <c r="GR56" s="159"/>
      <c r="GS56" s="158"/>
      <c r="GT56" s="158"/>
      <c r="GU56" s="158"/>
      <c r="GV56" s="158"/>
      <c r="GW56" s="159"/>
      <c r="GX56" s="158"/>
      <c r="GY56" s="158"/>
      <c r="GZ56" s="158"/>
      <c r="HA56" s="158"/>
      <c r="HB56" s="159"/>
      <c r="HC56" s="158"/>
      <c r="HD56" s="158"/>
      <c r="HE56" s="158"/>
      <c r="HF56" s="158"/>
      <c r="HG56" s="159"/>
      <c r="HH56" s="158"/>
      <c r="HI56" s="158"/>
      <c r="HJ56" s="158"/>
      <c r="HK56" s="158"/>
      <c r="HL56" s="159"/>
      <c r="HM56" s="158"/>
      <c r="HN56" s="158"/>
      <c r="HO56" s="158"/>
      <c r="HP56" s="158"/>
      <c r="HQ56" s="159"/>
      <c r="HR56" s="158"/>
      <c r="HS56" s="160"/>
      <c r="HT56" s="160"/>
      <c r="HU56" s="160"/>
      <c r="HV56" s="161"/>
      <c r="HW56" s="158"/>
      <c r="HX56" s="158"/>
      <c r="HY56" s="158"/>
      <c r="HZ56" s="159"/>
      <c r="IA56" s="158"/>
      <c r="IB56" s="158"/>
      <c r="IC56" s="158"/>
      <c r="ID56" s="158"/>
      <c r="IE56" s="159"/>
      <c r="IF56" s="158"/>
      <c r="IG56" s="158"/>
      <c r="IH56" s="158"/>
      <c r="II56" s="158"/>
      <c r="IJ56" s="159"/>
      <c r="IK56" s="158"/>
      <c r="IL56" s="158"/>
      <c r="IM56" s="158"/>
      <c r="IN56" s="158"/>
      <c r="IO56" s="159"/>
      <c r="IP56" s="158"/>
      <c r="IQ56" s="158"/>
      <c r="IR56" s="158"/>
      <c r="IS56" s="158"/>
      <c r="IT56" s="159"/>
      <c r="IU56" s="158"/>
      <c r="IV56" s="158"/>
      <c r="IW56" s="158"/>
      <c r="IX56" s="159"/>
      <c r="IY56" s="158"/>
      <c r="IZ56" s="158"/>
      <c r="JA56" s="158"/>
      <c r="JB56" s="159"/>
      <c r="JC56" s="158"/>
      <c r="JD56" s="158"/>
      <c r="JE56" s="158"/>
      <c r="JF56" s="159"/>
      <c r="JG56" s="158"/>
      <c r="JH56" s="158"/>
      <c r="JI56" s="158"/>
      <c r="JJ56" s="158"/>
      <c r="JK56" s="158"/>
      <c r="JL56" s="158"/>
      <c r="JM56" s="158"/>
      <c r="JN56" s="158"/>
      <c r="JO56" s="158"/>
      <c r="JP56" s="158"/>
      <c r="JQ56" s="158"/>
      <c r="JR56" s="158"/>
      <c r="JS56" s="158"/>
      <c r="JT56" s="158"/>
      <c r="JU56" s="158"/>
      <c r="JV56" s="158"/>
      <c r="JW56" s="158"/>
      <c r="JX56" s="158"/>
      <c r="JY56" s="158"/>
      <c r="JZ56" s="158"/>
      <c r="KA56" s="158"/>
      <c r="KB56" s="158"/>
      <c r="KC56" s="158"/>
      <c r="KD56" s="158"/>
      <c r="KE56" s="158"/>
      <c r="KF56" s="158"/>
      <c r="KG56" s="158"/>
      <c r="KH56" s="158"/>
      <c r="KI56" s="158"/>
      <c r="KJ56" s="158"/>
      <c r="KK56" s="158"/>
      <c r="KL56" s="158"/>
      <c r="KM56" s="158"/>
      <c r="KN56" s="158"/>
      <c r="KO56" s="158"/>
      <c r="KP56" s="158"/>
      <c r="KQ56" s="158"/>
      <c r="KR56" s="158"/>
      <c r="KS56" s="158"/>
      <c r="KT56" s="158"/>
      <c r="KU56" s="158"/>
      <c r="KV56" s="158"/>
      <c r="KW56" s="158"/>
      <c r="KX56" s="158"/>
      <c r="KY56" s="158"/>
      <c r="KZ56" s="159"/>
      <c r="LA56" s="158"/>
      <c r="LB56" s="158"/>
      <c r="LC56" s="158"/>
      <c r="LD56" s="159"/>
      <c r="LE56" s="158"/>
      <c r="LF56" s="158"/>
      <c r="LG56" s="158"/>
      <c r="LH56" s="159"/>
      <c r="LI56" s="158"/>
      <c r="LJ56" s="158"/>
      <c r="LK56" s="158"/>
      <c r="LL56" s="159"/>
      <c r="LM56" s="158"/>
      <c r="LN56" s="158"/>
      <c r="LO56" s="158"/>
      <c r="LP56" s="159"/>
      <c r="LQ56" s="158"/>
      <c r="LR56" s="158"/>
      <c r="LS56" s="158"/>
      <c r="LT56" s="159"/>
      <c r="LU56" s="159"/>
      <c r="LV56" s="159"/>
      <c r="LW56" s="159"/>
      <c r="LX56" s="159"/>
      <c r="LY56" s="158"/>
      <c r="LZ56" s="158"/>
      <c r="MA56" s="158"/>
      <c r="MB56" s="159"/>
      <c r="MC56" s="158"/>
      <c r="MD56" s="159"/>
      <c r="ME56" s="158"/>
      <c r="MF56" s="159"/>
      <c r="MG56" s="158"/>
      <c r="MH56" s="159"/>
      <c r="MI56" s="158"/>
      <c r="MJ56" s="159"/>
      <c r="MK56" s="158"/>
      <c r="ML56" s="159"/>
      <c r="MM56" s="158"/>
      <c r="MN56" s="158"/>
      <c r="MO56" s="158"/>
      <c r="MP56" s="158"/>
      <c r="MQ56" s="158"/>
      <c r="MR56" s="158"/>
      <c r="MS56" s="158"/>
      <c r="MT56" s="158"/>
      <c r="MU56" s="158"/>
      <c r="MV56" s="158"/>
      <c r="MW56" s="159"/>
      <c r="MX56" s="158"/>
      <c r="MY56" s="158"/>
      <c r="MZ56" s="158"/>
      <c r="NA56" s="159"/>
      <c r="NB56" s="158"/>
      <c r="NC56" s="158"/>
      <c r="ND56" s="158"/>
      <c r="NE56" s="159"/>
      <c r="NF56" s="158"/>
      <c r="NG56" s="158"/>
      <c r="NH56" s="158"/>
      <c r="NI56" s="159"/>
      <c r="NJ56" s="158"/>
      <c r="NK56" s="158"/>
      <c r="NL56" s="158"/>
      <c r="NM56" s="159"/>
      <c r="NN56" s="158"/>
      <c r="NO56" s="158"/>
      <c r="NP56" s="158"/>
      <c r="NQ56" s="159"/>
      <c r="NR56" s="158"/>
      <c r="NS56" s="158"/>
      <c r="NT56" s="158"/>
      <c r="NU56" s="159"/>
      <c r="NV56" s="160"/>
      <c r="NW56" s="160"/>
      <c r="NX56" s="160"/>
      <c r="NY56" s="161"/>
      <c r="NZ56" s="160"/>
      <c r="OA56" s="160"/>
      <c r="OB56" s="160"/>
      <c r="OC56" s="160"/>
      <c r="OD56" s="163"/>
      <c r="OE56" s="163"/>
      <c r="OF56" s="163"/>
      <c r="OG56" s="163"/>
      <c r="OH56" s="163"/>
      <c r="OI56" s="163"/>
      <c r="OJ56" s="163"/>
      <c r="OK56" s="163"/>
      <c r="OL56" s="163"/>
      <c r="OM56" s="163"/>
      <c r="ON56" s="163"/>
      <c r="OO56" s="163"/>
      <c r="OP56" s="163"/>
      <c r="OQ56" s="163"/>
      <c r="OR56" s="163"/>
      <c r="OX56" s="163"/>
      <c r="PB56" s="164"/>
      <c r="PF56" s="164"/>
      <c r="PJ56" s="164"/>
      <c r="PN56" s="164"/>
      <c r="PR56" s="164"/>
      <c r="PV56" s="164"/>
      <c r="PZ56" s="164"/>
      <c r="QA56" s="158"/>
      <c r="QB56" s="158"/>
      <c r="QD56" s="163"/>
      <c r="QF56" s="158"/>
      <c r="QG56" s="158"/>
      <c r="QH56" s="158"/>
      <c r="QI56" s="158"/>
      <c r="QJ56" s="158"/>
      <c r="QK56" s="158"/>
      <c r="QL56" s="159"/>
      <c r="QM56" s="158"/>
      <c r="QN56" s="158"/>
      <c r="QO56" s="158"/>
      <c r="QP56" s="158"/>
      <c r="QQ56" s="158"/>
      <c r="QR56" s="158"/>
      <c r="QS56" s="159"/>
      <c r="QT56" s="158"/>
      <c r="QU56" s="158"/>
      <c r="QV56" s="158"/>
      <c r="QW56" s="158"/>
      <c r="QX56" s="158"/>
      <c r="QY56" s="158"/>
      <c r="QZ56" s="159"/>
      <c r="RA56" s="158"/>
      <c r="RB56" s="158"/>
      <c r="RC56" s="158"/>
      <c r="RD56" s="158"/>
      <c r="RE56" s="158"/>
      <c r="RF56" s="158"/>
      <c r="RG56" s="159"/>
      <c r="RH56" s="158"/>
      <c r="RI56" s="158"/>
      <c r="RJ56" s="158"/>
      <c r="RK56" s="158"/>
      <c r="RL56" s="158"/>
      <c r="RM56" s="158"/>
      <c r="RN56" s="159"/>
      <c r="RO56" s="158"/>
      <c r="RP56" s="158"/>
      <c r="RQ56" s="158"/>
      <c r="RR56" s="158"/>
      <c r="RS56" s="158"/>
      <c r="RT56" s="158"/>
      <c r="RU56" s="159"/>
      <c r="RV56" s="158"/>
      <c r="RW56" s="158"/>
      <c r="RX56" s="158"/>
      <c r="RY56" s="158"/>
      <c r="RZ56" s="158"/>
      <c r="SA56" s="158"/>
      <c r="SB56" s="158"/>
      <c r="SC56" s="159"/>
      <c r="SD56" s="158"/>
      <c r="SE56" s="158"/>
      <c r="SF56" s="158"/>
      <c r="SG56" s="159"/>
      <c r="SH56" s="158"/>
      <c r="SI56" s="158"/>
      <c r="SJ56" s="158"/>
      <c r="SK56" s="158"/>
      <c r="SL56" s="158"/>
      <c r="SM56" s="158"/>
      <c r="SN56" s="159"/>
      <c r="SO56" s="158"/>
      <c r="SP56" s="158"/>
      <c r="SQ56" s="158"/>
      <c r="SR56" s="159"/>
      <c r="SS56" s="158"/>
      <c r="ST56" s="158"/>
      <c r="SU56" s="159"/>
      <c r="SV56" s="158"/>
      <c r="SW56" s="158"/>
      <c r="SX56" s="159"/>
      <c r="SY56" s="158"/>
      <c r="SZ56" s="158"/>
      <c r="TA56" s="159"/>
      <c r="TB56" s="158"/>
      <c r="TC56" s="158"/>
      <c r="TD56" s="158"/>
      <c r="TE56" s="158"/>
      <c r="TF56" s="158"/>
      <c r="TG56" s="158"/>
      <c r="TP56" s="158"/>
      <c r="TQ56" s="158"/>
      <c r="TR56" s="158"/>
    </row>
    <row r="57" spans="1:549" hidden="1" x14ac:dyDescent="0.25">
      <c r="A57" s="154"/>
      <c r="B57" s="155"/>
      <c r="C57" s="156"/>
      <c r="D57" s="166"/>
      <c r="E57" s="158"/>
      <c r="F57" s="158"/>
      <c r="G57" s="158"/>
      <c r="H57" s="159"/>
      <c r="I57" s="158"/>
      <c r="J57" s="158"/>
      <c r="K57" s="158"/>
      <c r="L57" s="159"/>
      <c r="M57" s="158"/>
      <c r="N57" s="158"/>
      <c r="O57" s="159"/>
      <c r="P57" s="158"/>
      <c r="Q57" s="158"/>
      <c r="R57" s="158"/>
      <c r="S57" s="158"/>
      <c r="T57" s="159"/>
      <c r="U57" s="158"/>
      <c r="V57" s="158"/>
      <c r="W57" s="158"/>
      <c r="X57" s="159"/>
      <c r="Y57" s="158"/>
      <c r="Z57" s="158"/>
      <c r="AA57" s="159"/>
      <c r="AB57" s="158"/>
      <c r="AC57" s="158"/>
      <c r="AD57" s="159"/>
      <c r="AE57" s="158"/>
      <c r="AF57" s="158"/>
      <c r="AG57" s="158"/>
      <c r="AH57" s="159"/>
      <c r="AI57" s="158"/>
      <c r="AJ57" s="158"/>
      <c r="AK57" s="158"/>
      <c r="AL57" s="159"/>
      <c r="AM57" s="158"/>
      <c r="AN57" s="158"/>
      <c r="AO57" s="158"/>
      <c r="AP57" s="159"/>
      <c r="AQ57" s="158"/>
      <c r="AR57" s="158"/>
      <c r="AS57" s="158"/>
      <c r="AT57" s="158"/>
      <c r="AU57" s="159"/>
      <c r="AV57" s="158"/>
      <c r="AW57" s="158"/>
      <c r="AX57" s="158"/>
      <c r="AY57" s="158"/>
      <c r="AZ57" s="158"/>
      <c r="BA57" s="158"/>
      <c r="BB57" s="158"/>
      <c r="BC57" s="158"/>
      <c r="BD57" s="159"/>
      <c r="BE57" s="158"/>
      <c r="BF57" s="158"/>
      <c r="BG57" s="158"/>
      <c r="BH57" s="158"/>
      <c r="BI57" s="158"/>
      <c r="BJ57" s="158"/>
      <c r="BK57" s="158"/>
      <c r="BL57" s="159"/>
      <c r="BM57" s="158"/>
      <c r="BN57" s="158"/>
      <c r="BO57" s="158"/>
      <c r="BP57" s="158"/>
      <c r="BQ57" s="158"/>
      <c r="BR57" s="158"/>
      <c r="BS57" s="159"/>
      <c r="BT57" s="158"/>
      <c r="BU57" s="158"/>
      <c r="BV57" s="158"/>
      <c r="BW57" s="159"/>
      <c r="BX57" s="158"/>
      <c r="BY57" s="158"/>
      <c r="BZ57" s="159"/>
      <c r="CA57" s="158"/>
      <c r="CB57" s="158"/>
      <c r="CC57" s="159"/>
      <c r="CD57" s="158"/>
      <c r="CE57" s="158"/>
      <c r="CF57" s="158"/>
      <c r="CG57" s="158"/>
      <c r="CH57" s="158"/>
      <c r="CI57" s="158"/>
      <c r="CJ57" s="158"/>
      <c r="CK57" s="158"/>
      <c r="CL57" s="159"/>
      <c r="CM57" s="158"/>
      <c r="CN57" s="158"/>
      <c r="CO57" s="158"/>
      <c r="CP57" s="158"/>
      <c r="CQ57" s="159"/>
      <c r="CR57" s="158"/>
      <c r="CS57" s="158"/>
      <c r="CT57" s="158"/>
      <c r="CU57" s="158"/>
      <c r="CV57" s="158"/>
      <c r="CW57" s="158"/>
      <c r="CX57" s="159"/>
      <c r="CY57" s="158"/>
      <c r="CZ57" s="158"/>
      <c r="DA57" s="158"/>
      <c r="DB57" s="159"/>
      <c r="DC57" s="158"/>
      <c r="DD57" s="158"/>
      <c r="DE57" s="159"/>
      <c r="DF57" s="158"/>
      <c r="DG57" s="158"/>
      <c r="DH57" s="159"/>
      <c r="DI57" s="158"/>
      <c r="DJ57" s="158"/>
      <c r="DK57" s="159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9"/>
      <c r="DX57" s="158"/>
      <c r="DY57" s="158"/>
      <c r="DZ57" s="158"/>
      <c r="EA57" s="159"/>
      <c r="EB57" s="158"/>
      <c r="EC57" s="158"/>
      <c r="ED57" s="158"/>
      <c r="EE57" s="158"/>
      <c r="EF57" s="158"/>
      <c r="EG57" s="158"/>
      <c r="EH57" s="159"/>
      <c r="EI57" s="158"/>
      <c r="EJ57" s="158"/>
      <c r="EK57" s="158"/>
      <c r="EL57" s="159"/>
      <c r="EM57" s="158"/>
      <c r="EN57" s="158"/>
      <c r="EO57" s="159"/>
      <c r="EP57" s="158"/>
      <c r="EQ57" s="158"/>
      <c r="ER57" s="159"/>
      <c r="ES57" s="158"/>
      <c r="ET57" s="158"/>
      <c r="EU57" s="159"/>
      <c r="EV57" s="158"/>
      <c r="EW57" s="158"/>
      <c r="EX57" s="158"/>
      <c r="EY57" s="158"/>
      <c r="EZ57" s="158"/>
      <c r="FA57" s="158"/>
      <c r="FB57" s="158"/>
      <c r="FC57" s="158"/>
      <c r="FD57" s="158"/>
      <c r="FE57" s="158"/>
      <c r="FF57" s="158"/>
      <c r="FG57" s="159"/>
      <c r="FH57" s="158"/>
      <c r="FI57" s="158"/>
      <c r="FJ57" s="158"/>
      <c r="FK57" s="159"/>
      <c r="FL57" s="158"/>
      <c r="FM57" s="158"/>
      <c r="FN57" s="158"/>
      <c r="FO57" s="158"/>
      <c r="FP57" s="158"/>
      <c r="FQ57" s="158"/>
      <c r="FR57" s="159"/>
      <c r="FS57" s="158"/>
      <c r="FT57" s="158"/>
      <c r="FU57" s="158"/>
      <c r="FV57" s="159"/>
      <c r="FW57" s="158"/>
      <c r="FX57" s="158"/>
      <c r="FY57" s="159"/>
      <c r="FZ57" s="158"/>
      <c r="GA57" s="158"/>
      <c r="GB57" s="159"/>
      <c r="GC57" s="158"/>
      <c r="GD57" s="158"/>
      <c r="GE57" s="159"/>
      <c r="GF57" s="158"/>
      <c r="GG57" s="158"/>
      <c r="GH57" s="158"/>
      <c r="GI57" s="158"/>
      <c r="GJ57" s="158"/>
      <c r="GK57" s="160"/>
      <c r="GL57" s="160"/>
      <c r="GM57" s="160"/>
      <c r="GN57" s="161"/>
      <c r="GO57" s="158"/>
      <c r="GP57" s="158"/>
      <c r="GQ57" s="158"/>
      <c r="GR57" s="159"/>
      <c r="GS57" s="158"/>
      <c r="GT57" s="158"/>
      <c r="GU57" s="158"/>
      <c r="GV57" s="158"/>
      <c r="GW57" s="159"/>
      <c r="GX57" s="158"/>
      <c r="GY57" s="158"/>
      <c r="GZ57" s="158"/>
      <c r="HA57" s="158"/>
      <c r="HB57" s="159"/>
      <c r="HC57" s="158"/>
      <c r="HD57" s="158"/>
      <c r="HE57" s="158"/>
      <c r="HF57" s="158"/>
      <c r="HG57" s="159"/>
      <c r="HH57" s="158"/>
      <c r="HI57" s="158"/>
      <c r="HJ57" s="158"/>
      <c r="HK57" s="158"/>
      <c r="HL57" s="159"/>
      <c r="HM57" s="158"/>
      <c r="HN57" s="158"/>
      <c r="HO57" s="158"/>
      <c r="HP57" s="158"/>
      <c r="HQ57" s="159"/>
      <c r="HR57" s="158"/>
      <c r="HS57" s="160"/>
      <c r="HT57" s="160"/>
      <c r="HU57" s="160"/>
      <c r="HV57" s="161"/>
      <c r="HW57" s="158"/>
      <c r="HX57" s="158"/>
      <c r="HY57" s="158"/>
      <c r="HZ57" s="159"/>
      <c r="IA57" s="158"/>
      <c r="IB57" s="158"/>
      <c r="IC57" s="158"/>
      <c r="ID57" s="158"/>
      <c r="IE57" s="159"/>
      <c r="IF57" s="158"/>
      <c r="IG57" s="158"/>
      <c r="IH57" s="158"/>
      <c r="II57" s="158"/>
      <c r="IJ57" s="159"/>
      <c r="IK57" s="158"/>
      <c r="IL57" s="158"/>
      <c r="IM57" s="158"/>
      <c r="IN57" s="158"/>
      <c r="IO57" s="159"/>
      <c r="IP57" s="158"/>
      <c r="IQ57" s="158"/>
      <c r="IR57" s="158"/>
      <c r="IS57" s="158"/>
      <c r="IT57" s="159"/>
      <c r="IU57" s="158"/>
      <c r="IV57" s="158"/>
      <c r="IW57" s="158"/>
      <c r="IX57" s="159"/>
      <c r="IY57" s="158"/>
      <c r="IZ57" s="158"/>
      <c r="JA57" s="158"/>
      <c r="JB57" s="159"/>
      <c r="JC57" s="158"/>
      <c r="JD57" s="158"/>
      <c r="JE57" s="158"/>
      <c r="JF57" s="159"/>
      <c r="JG57" s="158"/>
      <c r="JH57" s="158"/>
      <c r="JI57" s="158"/>
      <c r="JJ57" s="158"/>
      <c r="JK57" s="158"/>
      <c r="JL57" s="158"/>
      <c r="JM57" s="158"/>
      <c r="JN57" s="158"/>
      <c r="JO57" s="158"/>
      <c r="JP57" s="158"/>
      <c r="JQ57" s="158"/>
      <c r="JR57" s="158"/>
      <c r="JS57" s="158"/>
      <c r="JT57" s="158"/>
      <c r="JU57" s="158"/>
      <c r="JV57" s="158"/>
      <c r="JW57" s="158"/>
      <c r="JX57" s="158"/>
      <c r="JY57" s="158"/>
      <c r="JZ57" s="158"/>
      <c r="KA57" s="158"/>
      <c r="KB57" s="158"/>
      <c r="KC57" s="158"/>
      <c r="KD57" s="158"/>
      <c r="KE57" s="158"/>
      <c r="KF57" s="158"/>
      <c r="KG57" s="158"/>
      <c r="KH57" s="158"/>
      <c r="KI57" s="158"/>
      <c r="KJ57" s="158"/>
      <c r="KK57" s="158"/>
      <c r="KL57" s="158"/>
      <c r="KM57" s="158"/>
      <c r="KN57" s="158"/>
      <c r="KO57" s="158"/>
      <c r="KP57" s="158"/>
      <c r="KQ57" s="158"/>
      <c r="KR57" s="158"/>
      <c r="KS57" s="158"/>
      <c r="KT57" s="158"/>
      <c r="KU57" s="158"/>
      <c r="KV57" s="158"/>
      <c r="KW57" s="158"/>
      <c r="KX57" s="158"/>
      <c r="KY57" s="158"/>
      <c r="KZ57" s="159"/>
      <c r="LA57" s="158"/>
      <c r="LB57" s="158"/>
      <c r="LC57" s="158"/>
      <c r="LD57" s="159"/>
      <c r="LE57" s="158"/>
      <c r="LF57" s="158"/>
      <c r="LG57" s="158"/>
      <c r="LH57" s="159"/>
      <c r="LI57" s="158"/>
      <c r="LJ57" s="158"/>
      <c r="LK57" s="158"/>
      <c r="LL57" s="159"/>
      <c r="LM57" s="158"/>
      <c r="LN57" s="158"/>
      <c r="LO57" s="158"/>
      <c r="LP57" s="159"/>
      <c r="LQ57" s="158"/>
      <c r="LR57" s="158"/>
      <c r="LS57" s="158"/>
      <c r="LT57" s="159"/>
      <c r="LU57" s="159"/>
      <c r="LV57" s="159"/>
      <c r="LW57" s="159"/>
      <c r="LX57" s="159"/>
      <c r="LY57" s="158"/>
      <c r="LZ57" s="158"/>
      <c r="MA57" s="158"/>
      <c r="MB57" s="159"/>
      <c r="MC57" s="158"/>
      <c r="MD57" s="159"/>
      <c r="ME57" s="158"/>
      <c r="MF57" s="159"/>
      <c r="MG57" s="158"/>
      <c r="MH57" s="159"/>
      <c r="MI57" s="158"/>
      <c r="MJ57" s="159"/>
      <c r="MK57" s="158"/>
      <c r="ML57" s="159"/>
      <c r="MM57" s="158"/>
      <c r="MN57" s="158"/>
      <c r="MO57" s="158"/>
      <c r="MP57" s="158"/>
      <c r="MQ57" s="158"/>
      <c r="MR57" s="158"/>
      <c r="MS57" s="158"/>
      <c r="MT57" s="158"/>
      <c r="MU57" s="158"/>
      <c r="MV57" s="158"/>
      <c r="MW57" s="159"/>
      <c r="MX57" s="158"/>
      <c r="MY57" s="158"/>
      <c r="MZ57" s="158"/>
      <c r="NA57" s="159"/>
      <c r="NB57" s="158"/>
      <c r="NC57" s="158"/>
      <c r="ND57" s="158"/>
      <c r="NE57" s="159"/>
      <c r="NF57" s="158"/>
      <c r="NG57" s="158"/>
      <c r="NH57" s="158"/>
      <c r="NI57" s="159"/>
      <c r="NJ57" s="158"/>
      <c r="NK57" s="158"/>
      <c r="NL57" s="158"/>
      <c r="NM57" s="159"/>
      <c r="NN57" s="158"/>
      <c r="NO57" s="158"/>
      <c r="NP57" s="158"/>
      <c r="NQ57" s="159"/>
      <c r="NR57" s="158"/>
      <c r="NS57" s="158"/>
      <c r="NT57" s="158"/>
      <c r="NU57" s="159"/>
      <c r="NV57" s="160"/>
      <c r="NW57" s="160"/>
      <c r="NX57" s="160"/>
      <c r="NY57" s="161"/>
      <c r="NZ57" s="160"/>
      <c r="OA57" s="160"/>
      <c r="OB57" s="160"/>
      <c r="OC57" s="160"/>
      <c r="OD57" s="163"/>
      <c r="OE57" s="163"/>
      <c r="OF57" s="163"/>
      <c r="OG57" s="163"/>
      <c r="OH57" s="163"/>
      <c r="OI57" s="163"/>
      <c r="OJ57" s="163"/>
      <c r="OK57" s="163"/>
      <c r="OL57" s="163"/>
      <c r="OM57" s="163"/>
      <c r="ON57" s="163"/>
      <c r="OO57" s="163"/>
      <c r="OP57" s="163"/>
      <c r="OQ57" s="163"/>
      <c r="OR57" s="163"/>
      <c r="OX57" s="163"/>
      <c r="PB57" s="164"/>
      <c r="PF57" s="164"/>
      <c r="PJ57" s="164"/>
      <c r="PN57" s="164"/>
      <c r="PR57" s="164"/>
      <c r="PV57" s="164"/>
      <c r="PZ57" s="164"/>
      <c r="QA57" s="158"/>
      <c r="QB57" s="158"/>
      <c r="QD57" s="163"/>
      <c r="QF57" s="158"/>
      <c r="QG57" s="158"/>
      <c r="QH57" s="158"/>
      <c r="QI57" s="158"/>
      <c r="QJ57" s="158"/>
      <c r="QK57" s="158"/>
      <c r="QL57" s="159"/>
      <c r="QM57" s="158"/>
      <c r="QN57" s="158"/>
      <c r="QO57" s="158"/>
      <c r="QP57" s="158"/>
      <c r="QQ57" s="158"/>
      <c r="QR57" s="158"/>
      <c r="QS57" s="159"/>
      <c r="QT57" s="158"/>
      <c r="QU57" s="158"/>
      <c r="QV57" s="158"/>
      <c r="QW57" s="158"/>
      <c r="QX57" s="158"/>
      <c r="QY57" s="158"/>
      <c r="QZ57" s="159"/>
      <c r="RA57" s="158"/>
      <c r="RB57" s="158"/>
      <c r="RC57" s="158"/>
      <c r="RD57" s="158"/>
      <c r="RE57" s="158"/>
      <c r="RF57" s="158"/>
      <c r="RG57" s="159"/>
      <c r="RH57" s="158"/>
      <c r="RI57" s="158"/>
      <c r="RJ57" s="158"/>
      <c r="RK57" s="158"/>
      <c r="RL57" s="158"/>
      <c r="RM57" s="158"/>
      <c r="RN57" s="159"/>
      <c r="RO57" s="158"/>
      <c r="RP57" s="158"/>
      <c r="RQ57" s="158"/>
      <c r="RR57" s="158"/>
      <c r="RS57" s="158"/>
      <c r="RT57" s="158"/>
      <c r="RU57" s="159"/>
      <c r="RV57" s="158"/>
      <c r="RW57" s="158"/>
      <c r="RX57" s="158"/>
      <c r="RY57" s="158"/>
      <c r="RZ57" s="158"/>
      <c r="SA57" s="158"/>
      <c r="SB57" s="158"/>
      <c r="SC57" s="159"/>
      <c r="SD57" s="158"/>
      <c r="SE57" s="158"/>
      <c r="SF57" s="158"/>
      <c r="SG57" s="159"/>
      <c r="SH57" s="158"/>
      <c r="SI57" s="158"/>
      <c r="SJ57" s="158"/>
      <c r="SK57" s="158"/>
      <c r="SL57" s="158"/>
      <c r="SM57" s="158"/>
      <c r="SN57" s="159"/>
      <c r="SO57" s="158"/>
      <c r="SP57" s="158"/>
      <c r="SQ57" s="158"/>
      <c r="SR57" s="159"/>
      <c r="SS57" s="158"/>
      <c r="ST57" s="158"/>
      <c r="SU57" s="159"/>
      <c r="SV57" s="158"/>
      <c r="SW57" s="158"/>
      <c r="SX57" s="159"/>
      <c r="SY57" s="158"/>
      <c r="SZ57" s="158"/>
      <c r="TA57" s="159"/>
      <c r="TB57" s="158"/>
      <c r="TC57" s="158"/>
      <c r="TD57" s="158"/>
      <c r="TE57" s="158"/>
      <c r="TF57" s="158"/>
      <c r="TG57" s="158"/>
      <c r="TP57" s="158"/>
      <c r="TQ57" s="158"/>
      <c r="TR57" s="158"/>
    </row>
    <row r="58" spans="1:549" hidden="1" x14ac:dyDescent="0.25">
      <c r="A58" s="154"/>
      <c r="B58" s="155"/>
      <c r="C58" s="156"/>
      <c r="D58" s="157"/>
      <c r="E58" s="158"/>
      <c r="F58" s="158"/>
      <c r="G58" s="158"/>
      <c r="H58" s="159"/>
      <c r="I58" s="158"/>
      <c r="J58" s="158"/>
      <c r="K58" s="158"/>
      <c r="L58" s="159"/>
      <c r="M58" s="158"/>
      <c r="N58" s="158"/>
      <c r="O58" s="159"/>
      <c r="P58" s="158"/>
      <c r="Q58" s="158"/>
      <c r="R58" s="158"/>
      <c r="S58" s="158"/>
      <c r="T58" s="159"/>
      <c r="U58" s="158"/>
      <c r="V58" s="158"/>
      <c r="W58" s="158"/>
      <c r="X58" s="159"/>
      <c r="Y58" s="158"/>
      <c r="Z58" s="158"/>
      <c r="AA58" s="159"/>
      <c r="AB58" s="158"/>
      <c r="AC58" s="158"/>
      <c r="AD58" s="159"/>
      <c r="AE58" s="158"/>
      <c r="AF58" s="158"/>
      <c r="AG58" s="158"/>
      <c r="AH58" s="159"/>
      <c r="AI58" s="158"/>
      <c r="AJ58" s="158"/>
      <c r="AK58" s="158"/>
      <c r="AL58" s="159"/>
      <c r="AM58" s="158"/>
      <c r="AN58" s="158"/>
      <c r="AO58" s="158"/>
      <c r="AP58" s="159"/>
      <c r="AQ58" s="158"/>
      <c r="AR58" s="158"/>
      <c r="AS58" s="158"/>
      <c r="AT58" s="158"/>
      <c r="AU58" s="159"/>
      <c r="AV58" s="158"/>
      <c r="AW58" s="158"/>
      <c r="AX58" s="158"/>
      <c r="AY58" s="158"/>
      <c r="AZ58" s="158"/>
      <c r="BA58" s="158"/>
      <c r="BB58" s="158"/>
      <c r="BC58" s="158"/>
      <c r="BD58" s="159"/>
      <c r="BE58" s="158"/>
      <c r="BF58" s="158"/>
      <c r="BG58" s="158"/>
      <c r="BH58" s="158"/>
      <c r="BI58" s="158"/>
      <c r="BJ58" s="158"/>
      <c r="BK58" s="158"/>
      <c r="BL58" s="159"/>
      <c r="BM58" s="158"/>
      <c r="BN58" s="158"/>
      <c r="BO58" s="158"/>
      <c r="BP58" s="158"/>
      <c r="BQ58" s="158"/>
      <c r="BR58" s="158"/>
      <c r="BS58" s="159"/>
      <c r="BT58" s="158"/>
      <c r="BU58" s="158"/>
      <c r="BV58" s="158"/>
      <c r="BW58" s="159"/>
      <c r="BX58" s="158"/>
      <c r="BY58" s="158"/>
      <c r="BZ58" s="159"/>
      <c r="CA58" s="158"/>
      <c r="CB58" s="158"/>
      <c r="CC58" s="159"/>
      <c r="CD58" s="158"/>
      <c r="CE58" s="158"/>
      <c r="CF58" s="158"/>
      <c r="CG58" s="158"/>
      <c r="CH58" s="158"/>
      <c r="CI58" s="158"/>
      <c r="CJ58" s="158"/>
      <c r="CK58" s="158"/>
      <c r="CL58" s="159"/>
      <c r="CM58" s="158"/>
      <c r="CN58" s="158"/>
      <c r="CO58" s="158"/>
      <c r="CP58" s="158"/>
      <c r="CQ58" s="159"/>
      <c r="CR58" s="158"/>
      <c r="CS58" s="158"/>
      <c r="CT58" s="158"/>
      <c r="CU58" s="158"/>
      <c r="CV58" s="158"/>
      <c r="CW58" s="158"/>
      <c r="CX58" s="159"/>
      <c r="CY58" s="158"/>
      <c r="CZ58" s="158"/>
      <c r="DA58" s="158"/>
      <c r="DB58" s="159"/>
      <c r="DC58" s="158"/>
      <c r="DD58" s="158"/>
      <c r="DE58" s="159"/>
      <c r="DF58" s="158"/>
      <c r="DG58" s="158"/>
      <c r="DH58" s="159"/>
      <c r="DI58" s="158"/>
      <c r="DJ58" s="158"/>
      <c r="DK58" s="159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9"/>
      <c r="DX58" s="158"/>
      <c r="DY58" s="158"/>
      <c r="DZ58" s="158"/>
      <c r="EA58" s="159"/>
      <c r="EB58" s="158"/>
      <c r="EC58" s="158"/>
      <c r="ED58" s="158"/>
      <c r="EE58" s="158"/>
      <c r="EF58" s="158"/>
      <c r="EG58" s="158"/>
      <c r="EH58" s="159"/>
      <c r="EI58" s="158"/>
      <c r="EJ58" s="158"/>
      <c r="EK58" s="158"/>
      <c r="EL58" s="159"/>
      <c r="EM58" s="158"/>
      <c r="EN58" s="158"/>
      <c r="EO58" s="159"/>
      <c r="EP58" s="158"/>
      <c r="EQ58" s="158"/>
      <c r="ER58" s="159"/>
      <c r="ES58" s="158"/>
      <c r="ET58" s="158"/>
      <c r="EU58" s="159"/>
      <c r="EV58" s="158"/>
      <c r="EW58" s="158"/>
      <c r="EX58" s="158"/>
      <c r="EY58" s="158"/>
      <c r="EZ58" s="158"/>
      <c r="FA58" s="158"/>
      <c r="FB58" s="158"/>
      <c r="FC58" s="158"/>
      <c r="FD58" s="158"/>
      <c r="FE58" s="158"/>
      <c r="FF58" s="158"/>
      <c r="FG58" s="159"/>
      <c r="FH58" s="158"/>
      <c r="FI58" s="158"/>
      <c r="FJ58" s="158"/>
      <c r="FK58" s="159"/>
      <c r="FL58" s="158"/>
      <c r="FM58" s="158"/>
      <c r="FN58" s="158"/>
      <c r="FO58" s="158"/>
      <c r="FP58" s="158"/>
      <c r="FQ58" s="158"/>
      <c r="FR58" s="159"/>
      <c r="FS58" s="158"/>
      <c r="FT58" s="158"/>
      <c r="FU58" s="158"/>
      <c r="FV58" s="159"/>
      <c r="FW58" s="158"/>
      <c r="FX58" s="158"/>
      <c r="FY58" s="159"/>
      <c r="FZ58" s="158"/>
      <c r="GA58" s="158"/>
      <c r="GB58" s="159"/>
      <c r="GC58" s="158"/>
      <c r="GD58" s="158"/>
      <c r="GE58" s="159"/>
      <c r="GF58" s="158"/>
      <c r="GG58" s="158"/>
      <c r="GH58" s="158"/>
      <c r="GI58" s="158"/>
      <c r="GJ58" s="158"/>
      <c r="GK58" s="160"/>
      <c r="GL58" s="160"/>
      <c r="GM58" s="160"/>
      <c r="GN58" s="161"/>
      <c r="GO58" s="158"/>
      <c r="GP58" s="158"/>
      <c r="GQ58" s="158"/>
      <c r="GR58" s="159"/>
      <c r="GS58" s="158"/>
      <c r="GT58" s="158"/>
      <c r="GU58" s="158"/>
      <c r="GV58" s="158"/>
      <c r="GW58" s="159"/>
      <c r="GX58" s="158"/>
      <c r="GY58" s="158"/>
      <c r="GZ58" s="158"/>
      <c r="HA58" s="158"/>
      <c r="HB58" s="159"/>
      <c r="HC58" s="158"/>
      <c r="HD58" s="158"/>
      <c r="HE58" s="158"/>
      <c r="HF58" s="158"/>
      <c r="HG58" s="159"/>
      <c r="HH58" s="158"/>
      <c r="HI58" s="158"/>
      <c r="HJ58" s="158"/>
      <c r="HK58" s="158"/>
      <c r="HL58" s="159"/>
      <c r="HM58" s="158"/>
      <c r="HN58" s="158"/>
      <c r="HO58" s="158"/>
      <c r="HP58" s="158"/>
      <c r="HQ58" s="159"/>
      <c r="HR58" s="158"/>
      <c r="HS58" s="160"/>
      <c r="HT58" s="160"/>
      <c r="HU58" s="160"/>
      <c r="HV58" s="161"/>
      <c r="HW58" s="158"/>
      <c r="HX58" s="158"/>
      <c r="HY58" s="158"/>
      <c r="HZ58" s="159"/>
      <c r="IA58" s="158"/>
      <c r="IB58" s="158"/>
      <c r="IC58" s="158"/>
      <c r="ID58" s="158"/>
      <c r="IE58" s="159"/>
      <c r="IF58" s="158"/>
      <c r="IG58" s="158"/>
      <c r="IH58" s="158"/>
      <c r="II58" s="158"/>
      <c r="IJ58" s="159"/>
      <c r="IK58" s="158"/>
      <c r="IL58" s="158"/>
      <c r="IM58" s="158"/>
      <c r="IN58" s="158"/>
      <c r="IO58" s="159"/>
      <c r="IP58" s="158"/>
      <c r="IQ58" s="158"/>
      <c r="IR58" s="158"/>
      <c r="IS58" s="158"/>
      <c r="IT58" s="159"/>
      <c r="IU58" s="158"/>
      <c r="IV58" s="158"/>
      <c r="IW58" s="158"/>
      <c r="IX58" s="159"/>
      <c r="IY58" s="158"/>
      <c r="IZ58" s="158"/>
      <c r="JA58" s="158"/>
      <c r="JB58" s="159"/>
      <c r="JC58" s="158"/>
      <c r="JD58" s="158"/>
      <c r="JE58" s="158"/>
      <c r="JF58" s="159"/>
      <c r="JG58" s="158"/>
      <c r="JH58" s="158"/>
      <c r="JI58" s="158"/>
      <c r="JJ58" s="158"/>
      <c r="JK58" s="158"/>
      <c r="JL58" s="158"/>
      <c r="JM58" s="158"/>
      <c r="JN58" s="158"/>
      <c r="JO58" s="158"/>
      <c r="JP58" s="158"/>
      <c r="JQ58" s="158"/>
      <c r="JR58" s="158"/>
      <c r="JS58" s="158"/>
      <c r="JT58" s="158"/>
      <c r="JU58" s="158"/>
      <c r="JV58" s="158"/>
      <c r="JW58" s="158"/>
      <c r="JX58" s="158"/>
      <c r="JY58" s="158"/>
      <c r="JZ58" s="158"/>
      <c r="KA58" s="158"/>
      <c r="KB58" s="158"/>
      <c r="KC58" s="158"/>
      <c r="KD58" s="158"/>
      <c r="KE58" s="158"/>
      <c r="KF58" s="158"/>
      <c r="KG58" s="158"/>
      <c r="KH58" s="158"/>
      <c r="KI58" s="158"/>
      <c r="KJ58" s="158"/>
      <c r="KK58" s="158"/>
      <c r="KL58" s="158"/>
      <c r="KM58" s="158"/>
      <c r="KN58" s="158"/>
      <c r="KO58" s="158"/>
      <c r="KP58" s="158"/>
      <c r="KQ58" s="158"/>
      <c r="KR58" s="158"/>
      <c r="KS58" s="158"/>
      <c r="KT58" s="158"/>
      <c r="KU58" s="158"/>
      <c r="KV58" s="158"/>
      <c r="KW58" s="158"/>
      <c r="KX58" s="158"/>
      <c r="KY58" s="158"/>
      <c r="KZ58" s="159"/>
      <c r="LA58" s="158"/>
      <c r="LB58" s="158"/>
      <c r="LC58" s="158"/>
      <c r="LD58" s="159"/>
      <c r="LE58" s="158"/>
      <c r="LF58" s="158"/>
      <c r="LG58" s="158"/>
      <c r="LH58" s="159"/>
      <c r="LI58" s="158"/>
      <c r="LJ58" s="158"/>
      <c r="LK58" s="158"/>
      <c r="LL58" s="159"/>
      <c r="LM58" s="158"/>
      <c r="LN58" s="158"/>
      <c r="LO58" s="158"/>
      <c r="LP58" s="159"/>
      <c r="LQ58" s="158"/>
      <c r="LR58" s="158"/>
      <c r="LS58" s="158"/>
      <c r="LT58" s="159"/>
      <c r="LU58" s="159"/>
      <c r="LV58" s="159"/>
      <c r="LW58" s="159"/>
      <c r="LX58" s="159"/>
      <c r="LY58" s="158"/>
      <c r="LZ58" s="158"/>
      <c r="MA58" s="158"/>
      <c r="MB58" s="159"/>
      <c r="MC58" s="158"/>
      <c r="MD58" s="159"/>
      <c r="ME58" s="158"/>
      <c r="MF58" s="159"/>
      <c r="MG58" s="158"/>
      <c r="MH58" s="159"/>
      <c r="MI58" s="158"/>
      <c r="MJ58" s="159"/>
      <c r="MK58" s="158"/>
      <c r="ML58" s="159"/>
      <c r="MM58" s="158"/>
      <c r="MN58" s="158"/>
      <c r="MO58" s="158"/>
      <c r="MP58" s="158"/>
      <c r="MQ58" s="158"/>
      <c r="MR58" s="158"/>
      <c r="MS58" s="158"/>
      <c r="MT58" s="158"/>
      <c r="MU58" s="158"/>
      <c r="MV58" s="158"/>
      <c r="MW58" s="159"/>
      <c r="MX58" s="158"/>
      <c r="MY58" s="158"/>
      <c r="MZ58" s="158"/>
      <c r="NA58" s="159"/>
      <c r="NB58" s="158"/>
      <c r="NC58" s="158"/>
      <c r="ND58" s="158"/>
      <c r="NE58" s="159"/>
      <c r="NF58" s="158"/>
      <c r="NG58" s="158"/>
      <c r="NH58" s="158"/>
      <c r="NI58" s="159"/>
      <c r="NJ58" s="158"/>
      <c r="NK58" s="158"/>
      <c r="NL58" s="158"/>
      <c r="NM58" s="159"/>
      <c r="NN58" s="158"/>
      <c r="NO58" s="158"/>
      <c r="NP58" s="158"/>
      <c r="NQ58" s="159"/>
      <c r="NR58" s="158"/>
      <c r="NS58" s="158"/>
      <c r="NT58" s="158"/>
      <c r="NU58" s="159"/>
      <c r="NV58" s="160"/>
      <c r="NW58" s="160"/>
      <c r="NX58" s="160"/>
      <c r="NY58" s="161"/>
      <c r="NZ58" s="160"/>
      <c r="OA58" s="160"/>
      <c r="OB58" s="160"/>
      <c r="OC58" s="160"/>
      <c r="OD58" s="163"/>
      <c r="OE58" s="163"/>
      <c r="OF58" s="163"/>
      <c r="OG58" s="163"/>
      <c r="OH58" s="163"/>
      <c r="OI58" s="163"/>
      <c r="OJ58" s="163"/>
      <c r="OK58" s="163"/>
      <c r="OL58" s="163"/>
      <c r="OM58" s="163"/>
      <c r="ON58" s="163"/>
      <c r="OO58" s="163"/>
      <c r="OP58" s="163"/>
      <c r="OQ58" s="163"/>
      <c r="OR58" s="163"/>
      <c r="OX58" s="163"/>
      <c r="PB58" s="164"/>
      <c r="PF58" s="164"/>
      <c r="PJ58" s="164"/>
      <c r="PN58" s="164"/>
      <c r="PR58" s="164"/>
      <c r="PV58" s="164"/>
      <c r="PZ58" s="164"/>
      <c r="QA58" s="158"/>
      <c r="QB58" s="158"/>
      <c r="QD58" s="163"/>
      <c r="QF58" s="158"/>
      <c r="QG58" s="158"/>
      <c r="QH58" s="158"/>
      <c r="QI58" s="158"/>
      <c r="QJ58" s="158"/>
      <c r="QK58" s="158"/>
      <c r="QL58" s="159"/>
      <c r="QM58" s="158"/>
      <c r="QN58" s="158"/>
      <c r="QO58" s="158"/>
      <c r="QP58" s="158"/>
      <c r="QQ58" s="158"/>
      <c r="QR58" s="158"/>
      <c r="QS58" s="159"/>
      <c r="QT58" s="158"/>
      <c r="QU58" s="158"/>
      <c r="QV58" s="158"/>
      <c r="QW58" s="158"/>
      <c r="QX58" s="158"/>
      <c r="QY58" s="158"/>
      <c r="QZ58" s="159"/>
      <c r="RA58" s="158"/>
      <c r="RB58" s="158"/>
      <c r="RC58" s="158"/>
      <c r="RD58" s="158"/>
      <c r="RE58" s="158"/>
      <c r="RF58" s="158"/>
      <c r="RG58" s="159"/>
      <c r="RH58" s="158"/>
      <c r="RI58" s="158"/>
      <c r="RJ58" s="158"/>
      <c r="RK58" s="158"/>
      <c r="RL58" s="158"/>
      <c r="RM58" s="158"/>
      <c r="RN58" s="159"/>
      <c r="RO58" s="158"/>
      <c r="RP58" s="158"/>
      <c r="RQ58" s="158"/>
      <c r="RR58" s="158"/>
      <c r="RS58" s="158"/>
      <c r="RT58" s="158"/>
      <c r="RU58" s="159"/>
      <c r="RV58" s="158"/>
      <c r="RW58" s="158"/>
      <c r="RX58" s="158"/>
      <c r="RY58" s="158"/>
      <c r="RZ58" s="158"/>
      <c r="SA58" s="158"/>
      <c r="SB58" s="158"/>
      <c r="SC58" s="159"/>
      <c r="SD58" s="158"/>
      <c r="SE58" s="158"/>
      <c r="SF58" s="158"/>
      <c r="SG58" s="159"/>
      <c r="SH58" s="158"/>
      <c r="SI58" s="158"/>
      <c r="SJ58" s="158"/>
      <c r="SK58" s="158"/>
      <c r="SL58" s="158"/>
      <c r="SM58" s="158"/>
      <c r="SN58" s="159"/>
      <c r="SO58" s="158"/>
      <c r="SP58" s="158"/>
      <c r="SQ58" s="158"/>
      <c r="SR58" s="159"/>
      <c r="SS58" s="158"/>
      <c r="ST58" s="158"/>
      <c r="SU58" s="159"/>
      <c r="SV58" s="158"/>
      <c r="SW58" s="158"/>
      <c r="SX58" s="159"/>
      <c r="SY58" s="158"/>
      <c r="SZ58" s="158"/>
      <c r="TA58" s="159"/>
      <c r="TB58" s="158"/>
      <c r="TC58" s="158"/>
      <c r="TD58" s="158"/>
      <c r="TE58" s="158"/>
      <c r="TF58" s="158"/>
      <c r="TG58" s="158"/>
      <c r="TP58" s="158"/>
      <c r="TQ58" s="158"/>
      <c r="TR58" s="158"/>
    </row>
    <row r="59" spans="1:549" x14ac:dyDescent="0.25">
      <c r="A59" s="154"/>
      <c r="B59" s="155"/>
      <c r="C59" s="156"/>
      <c r="D59" s="157"/>
      <c r="E59" s="158"/>
      <c r="F59" s="158"/>
      <c r="G59" s="158"/>
      <c r="H59" s="159"/>
      <c r="I59" s="158"/>
      <c r="J59" s="158"/>
      <c r="K59" s="158"/>
      <c r="L59" s="159"/>
      <c r="M59" s="158"/>
      <c r="N59" s="158"/>
      <c r="O59" s="159"/>
      <c r="P59" s="158"/>
      <c r="Q59" s="158"/>
      <c r="R59" s="158"/>
      <c r="S59" s="158"/>
      <c r="T59" s="159"/>
      <c r="U59" s="158"/>
      <c r="V59" s="158"/>
      <c r="W59" s="158"/>
      <c r="X59" s="159"/>
      <c r="Y59" s="158"/>
      <c r="Z59" s="158"/>
      <c r="AA59" s="159"/>
      <c r="AB59" s="158"/>
      <c r="AC59" s="158"/>
      <c r="AD59" s="159"/>
      <c r="AE59" s="158"/>
      <c r="AF59" s="158"/>
      <c r="AG59" s="158"/>
      <c r="AH59" s="159"/>
      <c r="AI59" s="158"/>
      <c r="AJ59" s="158"/>
      <c r="AK59" s="158"/>
      <c r="AL59" s="159"/>
      <c r="AM59" s="158"/>
      <c r="AN59" s="158"/>
      <c r="AO59" s="158"/>
      <c r="AP59" s="159"/>
      <c r="AQ59" s="158"/>
      <c r="AR59" s="158"/>
      <c r="AS59" s="158"/>
      <c r="AT59" s="158"/>
      <c r="AU59" s="159"/>
      <c r="AV59" s="158"/>
      <c r="AW59" s="158"/>
      <c r="AX59" s="158"/>
      <c r="AY59" s="158"/>
      <c r="AZ59" s="158"/>
      <c r="BA59" s="158"/>
      <c r="BB59" s="158"/>
      <c r="BC59" s="158"/>
      <c r="BD59" s="159"/>
      <c r="BE59" s="158"/>
      <c r="BF59" s="158"/>
      <c r="BG59" s="158"/>
      <c r="BH59" s="158"/>
      <c r="BI59" s="158"/>
      <c r="BJ59" s="158"/>
      <c r="BK59" s="158"/>
      <c r="BL59" s="159"/>
      <c r="BM59" s="158"/>
      <c r="BN59" s="158"/>
      <c r="BO59" s="158"/>
      <c r="BP59" s="158"/>
      <c r="BQ59" s="158"/>
      <c r="BR59" s="158"/>
      <c r="BS59" s="159"/>
      <c r="BT59" s="158"/>
      <c r="BU59" s="158"/>
      <c r="BV59" s="158"/>
      <c r="BW59" s="159"/>
      <c r="BX59" s="158"/>
      <c r="BY59" s="158"/>
      <c r="BZ59" s="159"/>
      <c r="CA59" s="158"/>
      <c r="CB59" s="158"/>
      <c r="CC59" s="159"/>
      <c r="CD59" s="158"/>
      <c r="CE59" s="158"/>
      <c r="CF59" s="158"/>
      <c r="CG59" s="158"/>
      <c r="CH59" s="158"/>
      <c r="CI59" s="158"/>
      <c r="CJ59" s="158"/>
      <c r="CK59" s="158"/>
      <c r="CL59" s="159"/>
      <c r="CM59" s="158"/>
      <c r="CN59" s="158"/>
      <c r="CO59" s="158"/>
      <c r="CP59" s="158"/>
      <c r="CQ59" s="159"/>
      <c r="CR59" s="158"/>
      <c r="CS59" s="158"/>
      <c r="CT59" s="158"/>
      <c r="CU59" s="158"/>
      <c r="CV59" s="158"/>
      <c r="CW59" s="158"/>
      <c r="CX59" s="159"/>
      <c r="CY59" s="158"/>
      <c r="CZ59" s="158"/>
      <c r="DA59" s="158"/>
      <c r="DB59" s="159"/>
      <c r="DC59" s="158"/>
      <c r="DD59" s="158"/>
      <c r="DE59" s="159"/>
      <c r="DF59" s="158"/>
      <c r="DG59" s="158"/>
      <c r="DH59" s="159"/>
      <c r="DI59" s="158"/>
      <c r="DJ59" s="158"/>
      <c r="DK59" s="159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9"/>
      <c r="DX59" s="158"/>
      <c r="DY59" s="158"/>
      <c r="DZ59" s="158"/>
      <c r="EA59" s="159"/>
      <c r="EB59" s="158"/>
      <c r="EC59" s="158"/>
      <c r="ED59" s="158"/>
      <c r="EE59" s="158"/>
      <c r="EF59" s="158"/>
      <c r="EG59" s="158"/>
      <c r="EH59" s="159"/>
      <c r="EI59" s="158"/>
      <c r="EJ59" s="158"/>
      <c r="EK59" s="158"/>
      <c r="EL59" s="159"/>
      <c r="EM59" s="158"/>
      <c r="EN59" s="158"/>
      <c r="EO59" s="159"/>
      <c r="EP59" s="158"/>
      <c r="EQ59" s="158"/>
      <c r="ER59" s="159"/>
      <c r="ES59" s="158"/>
      <c r="ET59" s="158"/>
      <c r="EU59" s="159"/>
      <c r="EV59" s="158"/>
      <c r="EW59" s="158"/>
      <c r="EX59" s="158"/>
      <c r="EY59" s="158"/>
      <c r="EZ59" s="158"/>
      <c r="FA59" s="158"/>
      <c r="FB59" s="158"/>
      <c r="FC59" s="158"/>
      <c r="FD59" s="158"/>
      <c r="FE59" s="158"/>
      <c r="FF59" s="158"/>
      <c r="FG59" s="159"/>
      <c r="FH59" s="158"/>
      <c r="FI59" s="158"/>
      <c r="FJ59" s="158"/>
      <c r="FK59" s="159"/>
      <c r="FL59" s="158"/>
      <c r="FM59" s="158"/>
      <c r="FN59" s="158"/>
      <c r="FO59" s="158"/>
      <c r="FP59" s="158"/>
      <c r="FQ59" s="158"/>
      <c r="FR59" s="159"/>
      <c r="FS59" s="158"/>
      <c r="FT59" s="158"/>
      <c r="FU59" s="158"/>
      <c r="FV59" s="159"/>
      <c r="FW59" s="158"/>
      <c r="FX59" s="158"/>
      <c r="FY59" s="159"/>
      <c r="FZ59" s="158"/>
      <c r="GA59" s="158"/>
      <c r="GB59" s="159"/>
      <c r="GC59" s="158"/>
      <c r="GD59" s="158"/>
      <c r="GE59" s="159"/>
      <c r="GF59" s="158"/>
      <c r="GG59" s="158"/>
      <c r="GH59" s="158"/>
      <c r="GI59" s="158"/>
      <c r="GJ59" s="158"/>
      <c r="GK59" s="160"/>
      <c r="GL59" s="160"/>
      <c r="GM59" s="160"/>
      <c r="GN59" s="161"/>
      <c r="GO59" s="158"/>
      <c r="GP59" s="158"/>
      <c r="GQ59" s="158"/>
      <c r="GR59" s="159"/>
      <c r="GS59" s="158"/>
      <c r="GT59" s="158"/>
      <c r="GU59" s="158"/>
      <c r="GV59" s="158"/>
      <c r="GW59" s="159"/>
      <c r="GX59" s="158"/>
      <c r="GY59" s="158"/>
      <c r="GZ59" s="158"/>
      <c r="HA59" s="158"/>
      <c r="HB59" s="159"/>
      <c r="HC59" s="158"/>
      <c r="HD59" s="158"/>
      <c r="HE59" s="158"/>
      <c r="HF59" s="158"/>
      <c r="HG59" s="159"/>
      <c r="HH59" s="158"/>
      <c r="HI59" s="158"/>
      <c r="HJ59" s="158"/>
      <c r="HK59" s="158"/>
      <c r="HL59" s="159"/>
      <c r="HM59" s="158"/>
      <c r="HN59" s="158"/>
      <c r="HO59" s="158"/>
      <c r="HP59" s="158"/>
      <c r="HQ59" s="159"/>
      <c r="HR59" s="158"/>
      <c r="HS59" s="160"/>
      <c r="HT59" s="160"/>
      <c r="HU59" s="160"/>
      <c r="HV59" s="161"/>
      <c r="HW59" s="158"/>
      <c r="HX59" s="158"/>
      <c r="HY59" s="158"/>
      <c r="HZ59" s="159"/>
      <c r="IA59" s="158"/>
      <c r="IB59" s="158"/>
      <c r="IC59" s="158"/>
      <c r="ID59" s="158"/>
      <c r="IE59" s="159"/>
      <c r="IF59" s="158"/>
      <c r="IG59" s="158"/>
      <c r="IH59" s="158"/>
      <c r="II59" s="158"/>
      <c r="IJ59" s="159"/>
      <c r="IK59" s="158"/>
      <c r="IL59" s="158"/>
      <c r="IM59" s="158"/>
      <c r="IN59" s="158"/>
      <c r="IO59" s="159"/>
      <c r="IP59" s="158"/>
      <c r="IQ59" s="158"/>
      <c r="IR59" s="158"/>
      <c r="IS59" s="158"/>
      <c r="IT59" s="159"/>
      <c r="IU59" s="158"/>
      <c r="IV59" s="158"/>
      <c r="IW59" s="158"/>
      <c r="IX59" s="159"/>
      <c r="IY59" s="158"/>
      <c r="IZ59" s="158"/>
      <c r="JA59" s="158"/>
      <c r="JB59" s="159"/>
      <c r="JC59" s="158"/>
      <c r="JD59" s="158"/>
      <c r="JE59" s="158"/>
      <c r="JF59" s="159"/>
      <c r="JG59" s="158"/>
      <c r="JH59" s="158"/>
      <c r="JI59" s="158"/>
      <c r="JJ59" s="158"/>
      <c r="JK59" s="158"/>
      <c r="JL59" s="158"/>
      <c r="JM59" s="158"/>
      <c r="JN59" s="158"/>
      <c r="JO59" s="158"/>
      <c r="JP59" s="158"/>
      <c r="JQ59" s="158"/>
      <c r="JR59" s="158"/>
      <c r="JS59" s="158"/>
      <c r="JT59" s="158"/>
      <c r="JU59" s="158"/>
      <c r="JV59" s="158"/>
      <c r="JW59" s="158"/>
      <c r="JX59" s="158"/>
      <c r="JY59" s="158"/>
      <c r="JZ59" s="158"/>
      <c r="KA59" s="158"/>
      <c r="KB59" s="158"/>
      <c r="KC59" s="158"/>
      <c r="KD59" s="158"/>
      <c r="KE59" s="158"/>
      <c r="KF59" s="158"/>
      <c r="KG59" s="158"/>
      <c r="KH59" s="158"/>
      <c r="KI59" s="158"/>
      <c r="KJ59" s="158"/>
      <c r="KK59" s="158"/>
      <c r="KL59" s="158"/>
      <c r="KM59" s="158"/>
      <c r="KN59" s="158"/>
      <c r="KO59" s="158"/>
      <c r="KP59" s="158"/>
      <c r="KQ59" s="158"/>
      <c r="KR59" s="158"/>
      <c r="KS59" s="158"/>
      <c r="KT59" s="158"/>
      <c r="KU59" s="158"/>
      <c r="KV59" s="158"/>
      <c r="KW59" s="158"/>
      <c r="KX59" s="158"/>
      <c r="KY59" s="158"/>
      <c r="KZ59" s="159"/>
      <c r="LA59" s="158"/>
      <c r="LB59" s="158"/>
      <c r="LC59" s="158"/>
      <c r="LD59" s="159"/>
      <c r="LE59" s="158"/>
      <c r="LF59" s="158"/>
      <c r="LG59" s="158"/>
      <c r="LH59" s="159"/>
      <c r="LI59" s="158"/>
      <c r="LJ59" s="158"/>
      <c r="LK59" s="158"/>
      <c r="LL59" s="159"/>
      <c r="LM59" s="158"/>
      <c r="LN59" s="158"/>
      <c r="LO59" s="158"/>
      <c r="LP59" s="159"/>
      <c r="LQ59" s="158"/>
      <c r="LR59" s="158"/>
      <c r="LS59" s="158"/>
      <c r="LT59" s="159"/>
      <c r="LU59" s="159"/>
      <c r="LV59" s="159"/>
      <c r="LW59" s="159"/>
      <c r="LX59" s="159"/>
      <c r="LY59" s="158"/>
      <c r="LZ59" s="158"/>
      <c r="MA59" s="158"/>
      <c r="MB59" s="159"/>
      <c r="MC59" s="158"/>
      <c r="MD59" s="159"/>
      <c r="ME59" s="158"/>
      <c r="MF59" s="159"/>
      <c r="MG59" s="158"/>
      <c r="MH59" s="159"/>
      <c r="MI59" s="158"/>
      <c r="MJ59" s="159"/>
      <c r="MK59" s="158"/>
      <c r="ML59" s="159"/>
      <c r="MM59" s="158"/>
      <c r="MN59" s="158"/>
      <c r="MO59" s="158"/>
      <c r="MP59" s="158"/>
      <c r="MQ59" s="158"/>
      <c r="MR59" s="158"/>
      <c r="MS59" s="158"/>
      <c r="MT59" s="158"/>
      <c r="MU59" s="158"/>
      <c r="MV59" s="158"/>
      <c r="MW59" s="159"/>
      <c r="MX59" s="158"/>
      <c r="MY59" s="158"/>
      <c r="MZ59" s="158"/>
      <c r="NA59" s="159"/>
      <c r="NB59" s="158"/>
      <c r="NC59" s="158"/>
      <c r="ND59" s="158"/>
      <c r="NE59" s="159"/>
      <c r="NF59" s="158"/>
      <c r="NG59" s="158"/>
      <c r="NH59" s="158"/>
      <c r="NI59" s="159"/>
      <c r="NJ59" s="158"/>
      <c r="NK59" s="158"/>
      <c r="NL59" s="158"/>
      <c r="NM59" s="159"/>
      <c r="NN59" s="158"/>
      <c r="NO59" s="158"/>
      <c r="NP59" s="158"/>
      <c r="NQ59" s="159"/>
      <c r="NR59" s="158"/>
      <c r="NS59" s="158"/>
      <c r="NT59" s="158"/>
      <c r="NU59" s="159"/>
      <c r="NV59" s="162"/>
      <c r="NW59" s="162"/>
      <c r="NX59" s="162"/>
      <c r="NY59" s="161"/>
      <c r="NZ59" s="162"/>
      <c r="OA59" s="162"/>
      <c r="OB59" s="162"/>
      <c r="OC59" s="162"/>
      <c r="OD59" s="163"/>
      <c r="OE59" s="163"/>
      <c r="OF59" s="163"/>
      <c r="OG59" s="163"/>
      <c r="OH59" s="163"/>
      <c r="OI59" s="163"/>
      <c r="OJ59" s="163"/>
      <c r="OK59" s="163"/>
      <c r="OL59" s="163"/>
      <c r="OM59" s="163"/>
      <c r="ON59" s="163"/>
      <c r="OO59" s="163"/>
      <c r="OP59" s="163"/>
      <c r="OQ59" s="163"/>
      <c r="OR59" s="163"/>
      <c r="OX59" s="163"/>
      <c r="PB59" s="164"/>
      <c r="PF59" s="164"/>
      <c r="PJ59" s="164"/>
      <c r="PN59" s="164"/>
      <c r="PR59" s="164"/>
      <c r="PV59" s="164"/>
      <c r="PZ59" s="164"/>
      <c r="QA59" s="158"/>
      <c r="QB59" s="158"/>
      <c r="QD59" s="163"/>
      <c r="QE59" s="158"/>
      <c r="QF59" s="158"/>
      <c r="QG59" s="158"/>
      <c r="QH59" s="158"/>
      <c r="QI59" s="158"/>
      <c r="QJ59" s="158"/>
      <c r="QK59" s="158"/>
      <c r="QL59" s="159"/>
      <c r="QM59" s="158"/>
      <c r="QN59" s="158"/>
      <c r="QO59" s="158"/>
      <c r="QP59" s="158"/>
      <c r="QQ59" s="158"/>
      <c r="QR59" s="158"/>
      <c r="QS59" s="159"/>
      <c r="QT59" s="158"/>
      <c r="QU59" s="158"/>
      <c r="QV59" s="158"/>
      <c r="QW59" s="158"/>
      <c r="QX59" s="158"/>
      <c r="QY59" s="158"/>
      <c r="QZ59" s="159"/>
      <c r="RA59" s="158"/>
      <c r="RB59" s="158"/>
      <c r="RC59" s="158"/>
      <c r="RD59" s="158"/>
      <c r="RE59" s="158"/>
      <c r="RF59" s="158"/>
      <c r="RG59" s="159"/>
      <c r="RH59" s="158"/>
      <c r="RI59" s="158"/>
      <c r="RJ59" s="158"/>
      <c r="RK59" s="158"/>
      <c r="RL59" s="158"/>
      <c r="RM59" s="158"/>
      <c r="RN59" s="159"/>
      <c r="RO59" s="158"/>
      <c r="RP59" s="158"/>
      <c r="RQ59" s="158"/>
      <c r="RR59" s="158"/>
      <c r="RS59" s="158"/>
      <c r="RT59" s="158"/>
      <c r="RU59" s="159"/>
      <c r="RV59" s="158"/>
      <c r="RW59" s="158"/>
      <c r="RX59" s="158"/>
      <c r="RY59" s="158"/>
      <c r="RZ59" s="158"/>
      <c r="SA59" s="158"/>
      <c r="SB59" s="158"/>
      <c r="SC59" s="159"/>
      <c r="SD59" s="158"/>
      <c r="SE59" s="158"/>
      <c r="SF59" s="158"/>
      <c r="SG59" s="159"/>
      <c r="SH59" s="158"/>
      <c r="SI59" s="158"/>
      <c r="SJ59" s="158"/>
      <c r="SK59" s="158"/>
      <c r="SL59" s="158"/>
      <c r="SM59" s="158"/>
      <c r="SN59" s="159"/>
      <c r="SO59" s="158"/>
      <c r="SP59" s="158"/>
      <c r="SQ59" s="158"/>
      <c r="SR59" s="159"/>
      <c r="SS59" s="158"/>
      <c r="ST59" s="158"/>
      <c r="SU59" s="159"/>
      <c r="SV59" s="158"/>
      <c r="SW59" s="158"/>
      <c r="SX59" s="159"/>
      <c r="SY59" s="158"/>
      <c r="SZ59" s="158"/>
      <c r="TA59" s="159"/>
      <c r="TB59" s="158"/>
      <c r="TC59" s="158"/>
      <c r="TD59" s="158"/>
      <c r="TE59" s="158"/>
      <c r="TF59" s="158"/>
      <c r="TG59" s="158"/>
      <c r="TP59" s="158"/>
      <c r="TQ59" s="158"/>
      <c r="TR59" s="158"/>
    </row>
    <row r="60" spans="1:549" hidden="1" x14ac:dyDescent="0.25">
      <c r="A60" s="139">
        <v>120305</v>
      </c>
      <c r="B60" s="140"/>
      <c r="C60" s="141"/>
      <c r="D60" s="142"/>
      <c r="E60" s="143">
        <f>SUM(E61:E64)</f>
        <v>0</v>
      </c>
      <c r="F60" s="143">
        <f t="shared" ref="F60:BQ60" si="728">SUM(F61:F64)</f>
        <v>0</v>
      </c>
      <c r="G60" s="143">
        <f t="shared" si="728"/>
        <v>0</v>
      </c>
      <c r="H60" s="143">
        <f t="shared" si="728"/>
        <v>0</v>
      </c>
      <c r="I60" s="143">
        <f t="shared" si="728"/>
        <v>0</v>
      </c>
      <c r="J60" s="143">
        <f t="shared" si="728"/>
        <v>0</v>
      </c>
      <c r="K60" s="143">
        <f t="shared" si="728"/>
        <v>0</v>
      </c>
      <c r="L60" s="143">
        <f t="shared" si="728"/>
        <v>0</v>
      </c>
      <c r="M60" s="143">
        <f t="shared" si="728"/>
        <v>0</v>
      </c>
      <c r="N60" s="143">
        <f t="shared" si="728"/>
        <v>0</v>
      </c>
      <c r="O60" s="143">
        <f t="shared" si="728"/>
        <v>0</v>
      </c>
      <c r="P60" s="143">
        <f t="shared" si="728"/>
        <v>0</v>
      </c>
      <c r="Q60" s="143">
        <f t="shared" si="728"/>
        <v>0</v>
      </c>
      <c r="R60" s="143">
        <f t="shared" si="728"/>
        <v>0</v>
      </c>
      <c r="S60" s="143">
        <f t="shared" si="728"/>
        <v>0</v>
      </c>
      <c r="T60" s="143">
        <f t="shared" si="728"/>
        <v>0</v>
      </c>
      <c r="U60" s="143">
        <f t="shared" si="728"/>
        <v>0</v>
      </c>
      <c r="V60" s="143">
        <f t="shared" si="728"/>
        <v>0</v>
      </c>
      <c r="W60" s="143">
        <f t="shared" si="728"/>
        <v>0</v>
      </c>
      <c r="X60" s="143">
        <f t="shared" si="728"/>
        <v>0</v>
      </c>
      <c r="Y60" s="143">
        <f t="shared" si="728"/>
        <v>0</v>
      </c>
      <c r="Z60" s="143">
        <f t="shared" si="728"/>
        <v>0</v>
      </c>
      <c r="AA60" s="143">
        <f t="shared" si="728"/>
        <v>0</v>
      </c>
      <c r="AB60" s="143">
        <f t="shared" si="728"/>
        <v>0</v>
      </c>
      <c r="AC60" s="143">
        <f t="shared" si="728"/>
        <v>0</v>
      </c>
      <c r="AD60" s="143">
        <f t="shared" si="728"/>
        <v>0</v>
      </c>
      <c r="AE60" s="143">
        <f t="shared" si="728"/>
        <v>0</v>
      </c>
      <c r="AF60" s="143">
        <f t="shared" si="728"/>
        <v>0</v>
      </c>
      <c r="AG60" s="143">
        <f t="shared" si="728"/>
        <v>0</v>
      </c>
      <c r="AH60" s="143">
        <f t="shared" si="728"/>
        <v>0</v>
      </c>
      <c r="AI60" s="143">
        <f t="shared" si="728"/>
        <v>0</v>
      </c>
      <c r="AJ60" s="143">
        <f t="shared" si="728"/>
        <v>0</v>
      </c>
      <c r="AK60" s="143">
        <f t="shared" si="728"/>
        <v>0</v>
      </c>
      <c r="AL60" s="143">
        <f t="shared" si="728"/>
        <v>0</v>
      </c>
      <c r="AM60" s="143">
        <f t="shared" si="728"/>
        <v>0</v>
      </c>
      <c r="AN60" s="143">
        <f t="shared" si="728"/>
        <v>0</v>
      </c>
      <c r="AO60" s="143">
        <f t="shared" si="728"/>
        <v>0</v>
      </c>
      <c r="AP60" s="143">
        <f t="shared" si="728"/>
        <v>0</v>
      </c>
      <c r="AQ60" s="143">
        <f t="shared" si="728"/>
        <v>0</v>
      </c>
      <c r="AR60" s="143">
        <f t="shared" si="728"/>
        <v>0</v>
      </c>
      <c r="AS60" s="143">
        <f t="shared" si="728"/>
        <v>0</v>
      </c>
      <c r="AT60" s="143">
        <f t="shared" si="728"/>
        <v>0</v>
      </c>
      <c r="AU60" s="143">
        <f t="shared" si="728"/>
        <v>0</v>
      </c>
      <c r="AV60" s="143">
        <f t="shared" si="728"/>
        <v>0</v>
      </c>
      <c r="AW60" s="143">
        <f t="shared" si="728"/>
        <v>0</v>
      </c>
      <c r="AX60" s="143">
        <f t="shared" si="728"/>
        <v>0</v>
      </c>
      <c r="AY60" s="143">
        <f t="shared" si="728"/>
        <v>0</v>
      </c>
      <c r="AZ60" s="143">
        <f t="shared" si="728"/>
        <v>0</v>
      </c>
      <c r="BA60" s="143">
        <f t="shared" si="728"/>
        <v>0</v>
      </c>
      <c r="BB60" s="143">
        <f t="shared" si="728"/>
        <v>0</v>
      </c>
      <c r="BC60" s="143">
        <f t="shared" si="728"/>
        <v>0</v>
      </c>
      <c r="BD60" s="143">
        <f t="shared" si="728"/>
        <v>0</v>
      </c>
      <c r="BE60" s="143">
        <f t="shared" si="728"/>
        <v>0</v>
      </c>
      <c r="BF60" s="143">
        <f t="shared" si="728"/>
        <v>0</v>
      </c>
      <c r="BG60" s="143">
        <f t="shared" si="728"/>
        <v>0</v>
      </c>
      <c r="BH60" s="143">
        <f t="shared" si="728"/>
        <v>0</v>
      </c>
      <c r="BI60" s="143">
        <f t="shared" si="728"/>
        <v>0</v>
      </c>
      <c r="BJ60" s="143">
        <f t="shared" si="728"/>
        <v>0</v>
      </c>
      <c r="BK60" s="143">
        <f t="shared" si="728"/>
        <v>0</v>
      </c>
      <c r="BL60" s="143">
        <f t="shared" si="728"/>
        <v>0</v>
      </c>
      <c r="BM60" s="143">
        <f t="shared" si="728"/>
        <v>0</v>
      </c>
      <c r="BN60" s="143">
        <f t="shared" si="728"/>
        <v>0</v>
      </c>
      <c r="BO60" s="143">
        <f t="shared" si="728"/>
        <v>0</v>
      </c>
      <c r="BP60" s="143">
        <f t="shared" si="728"/>
        <v>0</v>
      </c>
      <c r="BQ60" s="143">
        <f t="shared" si="728"/>
        <v>0</v>
      </c>
      <c r="BR60" s="143">
        <f t="shared" ref="BR60:EC60" si="729">SUM(BR61:BR64)</f>
        <v>0</v>
      </c>
      <c r="BS60" s="143">
        <f t="shared" si="729"/>
        <v>0</v>
      </c>
      <c r="BT60" s="143">
        <f t="shared" si="729"/>
        <v>0</v>
      </c>
      <c r="BU60" s="143">
        <f t="shared" si="729"/>
        <v>0</v>
      </c>
      <c r="BV60" s="143">
        <f t="shared" si="729"/>
        <v>0</v>
      </c>
      <c r="BW60" s="143">
        <f t="shared" si="729"/>
        <v>0</v>
      </c>
      <c r="BX60" s="143">
        <f t="shared" si="729"/>
        <v>0</v>
      </c>
      <c r="BY60" s="143">
        <f t="shared" si="729"/>
        <v>0</v>
      </c>
      <c r="BZ60" s="143">
        <f t="shared" si="729"/>
        <v>0</v>
      </c>
      <c r="CA60" s="143">
        <f t="shared" si="729"/>
        <v>0</v>
      </c>
      <c r="CB60" s="143">
        <f t="shared" si="729"/>
        <v>0</v>
      </c>
      <c r="CC60" s="143">
        <f t="shared" si="729"/>
        <v>0</v>
      </c>
      <c r="CD60" s="143">
        <f t="shared" si="729"/>
        <v>0</v>
      </c>
      <c r="CE60" s="143">
        <f t="shared" si="729"/>
        <v>0</v>
      </c>
      <c r="CF60" s="143">
        <f t="shared" si="729"/>
        <v>0</v>
      </c>
      <c r="CG60" s="143">
        <f t="shared" si="729"/>
        <v>0</v>
      </c>
      <c r="CH60" s="143">
        <f t="shared" si="729"/>
        <v>0</v>
      </c>
      <c r="CI60" s="143">
        <f t="shared" si="729"/>
        <v>0</v>
      </c>
      <c r="CJ60" s="143">
        <f t="shared" si="729"/>
        <v>0</v>
      </c>
      <c r="CK60" s="143">
        <f t="shared" si="729"/>
        <v>0</v>
      </c>
      <c r="CL60" s="143">
        <f t="shared" si="729"/>
        <v>0</v>
      </c>
      <c r="CM60" s="143">
        <f t="shared" si="729"/>
        <v>0</v>
      </c>
      <c r="CN60" s="143">
        <f t="shared" si="729"/>
        <v>0</v>
      </c>
      <c r="CO60" s="143">
        <f t="shared" si="729"/>
        <v>0</v>
      </c>
      <c r="CP60" s="143">
        <f t="shared" si="729"/>
        <v>0</v>
      </c>
      <c r="CQ60" s="143">
        <f t="shared" si="729"/>
        <v>0</v>
      </c>
      <c r="CR60" s="143">
        <f t="shared" si="729"/>
        <v>0</v>
      </c>
      <c r="CS60" s="143">
        <f t="shared" si="729"/>
        <v>0</v>
      </c>
      <c r="CT60" s="143">
        <f t="shared" si="729"/>
        <v>0</v>
      </c>
      <c r="CU60" s="143">
        <f t="shared" si="729"/>
        <v>0</v>
      </c>
      <c r="CV60" s="143">
        <f t="shared" si="729"/>
        <v>0</v>
      </c>
      <c r="CW60" s="143">
        <f t="shared" si="729"/>
        <v>0</v>
      </c>
      <c r="CX60" s="143">
        <f t="shared" si="729"/>
        <v>0</v>
      </c>
      <c r="CY60" s="143">
        <f t="shared" si="729"/>
        <v>0</v>
      </c>
      <c r="CZ60" s="143">
        <f t="shared" si="729"/>
        <v>0</v>
      </c>
      <c r="DA60" s="143">
        <f t="shared" si="729"/>
        <v>0</v>
      </c>
      <c r="DB60" s="143">
        <f t="shared" si="729"/>
        <v>0</v>
      </c>
      <c r="DC60" s="143">
        <f t="shared" si="729"/>
        <v>0</v>
      </c>
      <c r="DD60" s="143">
        <f t="shared" si="729"/>
        <v>0</v>
      </c>
      <c r="DE60" s="143">
        <f t="shared" si="729"/>
        <v>0</v>
      </c>
      <c r="DF60" s="143">
        <f t="shared" si="729"/>
        <v>0</v>
      </c>
      <c r="DG60" s="143">
        <f t="shared" si="729"/>
        <v>0</v>
      </c>
      <c r="DH60" s="143">
        <f t="shared" si="729"/>
        <v>0</v>
      </c>
      <c r="DI60" s="143">
        <f t="shared" si="729"/>
        <v>0</v>
      </c>
      <c r="DJ60" s="143">
        <f t="shared" si="729"/>
        <v>0</v>
      </c>
      <c r="DK60" s="143">
        <f t="shared" si="729"/>
        <v>0</v>
      </c>
      <c r="DL60" s="143">
        <f t="shared" si="729"/>
        <v>0</v>
      </c>
      <c r="DM60" s="143">
        <f t="shared" si="729"/>
        <v>0</v>
      </c>
      <c r="DN60" s="143">
        <f t="shared" si="729"/>
        <v>0</v>
      </c>
      <c r="DO60" s="143">
        <f t="shared" si="729"/>
        <v>0</v>
      </c>
      <c r="DP60" s="143">
        <f t="shared" si="729"/>
        <v>0</v>
      </c>
      <c r="DQ60" s="143">
        <f t="shared" si="729"/>
        <v>0</v>
      </c>
      <c r="DR60" s="143">
        <f t="shared" si="729"/>
        <v>0</v>
      </c>
      <c r="DS60" s="143">
        <f t="shared" si="729"/>
        <v>0</v>
      </c>
      <c r="DT60" s="143">
        <f t="shared" si="729"/>
        <v>0</v>
      </c>
      <c r="DU60" s="143">
        <f t="shared" si="729"/>
        <v>0</v>
      </c>
      <c r="DV60" s="143">
        <f t="shared" si="729"/>
        <v>0</v>
      </c>
      <c r="DW60" s="143">
        <f t="shared" si="729"/>
        <v>0</v>
      </c>
      <c r="DX60" s="143">
        <f t="shared" si="729"/>
        <v>0</v>
      </c>
      <c r="DY60" s="143">
        <f t="shared" si="729"/>
        <v>0</v>
      </c>
      <c r="DZ60" s="143">
        <f t="shared" si="729"/>
        <v>0</v>
      </c>
      <c r="EA60" s="143">
        <f t="shared" si="729"/>
        <v>0</v>
      </c>
      <c r="EB60" s="143">
        <f t="shared" si="729"/>
        <v>0</v>
      </c>
      <c r="EC60" s="143">
        <f t="shared" si="729"/>
        <v>0</v>
      </c>
      <c r="ED60" s="143">
        <f t="shared" ref="ED60:GU60" si="730">SUM(ED61:ED64)</f>
        <v>0</v>
      </c>
      <c r="EE60" s="143">
        <f t="shared" si="730"/>
        <v>0</v>
      </c>
      <c r="EF60" s="143">
        <f t="shared" si="730"/>
        <v>0</v>
      </c>
      <c r="EG60" s="143">
        <f t="shared" si="730"/>
        <v>0</v>
      </c>
      <c r="EH60" s="143">
        <f t="shared" si="730"/>
        <v>0</v>
      </c>
      <c r="EI60" s="143">
        <f t="shared" si="730"/>
        <v>0</v>
      </c>
      <c r="EJ60" s="143">
        <f t="shared" si="730"/>
        <v>0</v>
      </c>
      <c r="EK60" s="143">
        <f t="shared" si="730"/>
        <v>0</v>
      </c>
      <c r="EL60" s="143">
        <f t="shared" si="730"/>
        <v>0</v>
      </c>
      <c r="EM60" s="143">
        <f t="shared" si="730"/>
        <v>0</v>
      </c>
      <c r="EN60" s="143">
        <f t="shared" si="730"/>
        <v>0</v>
      </c>
      <c r="EO60" s="143">
        <f t="shared" si="730"/>
        <v>0</v>
      </c>
      <c r="EP60" s="143">
        <f t="shared" si="730"/>
        <v>0</v>
      </c>
      <c r="EQ60" s="143">
        <f t="shared" si="730"/>
        <v>0</v>
      </c>
      <c r="ER60" s="143">
        <f t="shared" si="730"/>
        <v>0</v>
      </c>
      <c r="ES60" s="143">
        <f t="shared" si="730"/>
        <v>0</v>
      </c>
      <c r="ET60" s="143">
        <f t="shared" si="730"/>
        <v>0</v>
      </c>
      <c r="EU60" s="143">
        <f t="shared" si="730"/>
        <v>0</v>
      </c>
      <c r="EV60" s="143">
        <f t="shared" si="730"/>
        <v>0</v>
      </c>
      <c r="EW60" s="143">
        <f t="shared" si="730"/>
        <v>0</v>
      </c>
      <c r="EX60" s="143">
        <f t="shared" si="730"/>
        <v>0</v>
      </c>
      <c r="EY60" s="143">
        <f t="shared" si="730"/>
        <v>0</v>
      </c>
      <c r="EZ60" s="143">
        <f t="shared" si="730"/>
        <v>0</v>
      </c>
      <c r="FA60" s="143">
        <f t="shared" si="730"/>
        <v>0</v>
      </c>
      <c r="FB60" s="143">
        <f t="shared" si="730"/>
        <v>0</v>
      </c>
      <c r="FC60" s="143">
        <f t="shared" si="730"/>
        <v>0</v>
      </c>
      <c r="FD60" s="143">
        <f t="shared" si="730"/>
        <v>0</v>
      </c>
      <c r="FE60" s="143">
        <f t="shared" si="730"/>
        <v>0</v>
      </c>
      <c r="FF60" s="143">
        <f t="shared" si="730"/>
        <v>0</v>
      </c>
      <c r="FG60" s="143">
        <f t="shared" si="730"/>
        <v>0</v>
      </c>
      <c r="FH60" s="143">
        <f t="shared" si="730"/>
        <v>0</v>
      </c>
      <c r="FI60" s="143">
        <f t="shared" si="730"/>
        <v>0</v>
      </c>
      <c r="FJ60" s="143">
        <f t="shared" si="730"/>
        <v>0</v>
      </c>
      <c r="FK60" s="143">
        <f t="shared" si="730"/>
        <v>0</v>
      </c>
      <c r="FL60" s="143">
        <f t="shared" si="730"/>
        <v>0</v>
      </c>
      <c r="FM60" s="143">
        <f t="shared" si="730"/>
        <v>0</v>
      </c>
      <c r="FN60" s="143">
        <f t="shared" si="730"/>
        <v>0</v>
      </c>
      <c r="FO60" s="143">
        <f t="shared" si="730"/>
        <v>0</v>
      </c>
      <c r="FP60" s="143">
        <f t="shared" si="730"/>
        <v>0</v>
      </c>
      <c r="FQ60" s="143">
        <f t="shared" si="730"/>
        <v>0</v>
      </c>
      <c r="FR60" s="143">
        <f t="shared" si="730"/>
        <v>0</v>
      </c>
      <c r="FS60" s="143">
        <f t="shared" si="730"/>
        <v>0</v>
      </c>
      <c r="FT60" s="143">
        <f t="shared" si="730"/>
        <v>0</v>
      </c>
      <c r="FU60" s="143">
        <f t="shared" si="730"/>
        <v>0</v>
      </c>
      <c r="FV60" s="143">
        <f t="shared" si="730"/>
        <v>0</v>
      </c>
      <c r="FW60" s="143">
        <f t="shared" si="730"/>
        <v>0</v>
      </c>
      <c r="FX60" s="143">
        <f t="shared" si="730"/>
        <v>0</v>
      </c>
      <c r="FY60" s="143">
        <f t="shared" si="730"/>
        <v>0</v>
      </c>
      <c r="FZ60" s="143">
        <f t="shared" si="730"/>
        <v>0</v>
      </c>
      <c r="GA60" s="143">
        <f t="shared" si="730"/>
        <v>0</v>
      </c>
      <c r="GB60" s="143">
        <f t="shared" si="730"/>
        <v>0</v>
      </c>
      <c r="GC60" s="143">
        <f t="shared" si="730"/>
        <v>0</v>
      </c>
      <c r="GD60" s="143">
        <f t="shared" si="730"/>
        <v>0</v>
      </c>
      <c r="GE60" s="143">
        <f t="shared" si="730"/>
        <v>0</v>
      </c>
      <c r="GF60" s="143">
        <f t="shared" si="730"/>
        <v>0</v>
      </c>
      <c r="GG60" s="144">
        <f t="shared" si="730"/>
        <v>0</v>
      </c>
      <c r="GH60" s="145">
        <f t="shared" si="730"/>
        <v>0</v>
      </c>
      <c r="GI60" s="145">
        <f t="shared" si="730"/>
        <v>0</v>
      </c>
      <c r="GJ60" s="143">
        <f t="shared" si="730"/>
        <v>0</v>
      </c>
      <c r="GK60" s="146">
        <f t="shared" si="730"/>
        <v>0</v>
      </c>
      <c r="GL60" s="146">
        <f t="shared" si="730"/>
        <v>0</v>
      </c>
      <c r="GM60" s="146">
        <f t="shared" si="730"/>
        <v>0</v>
      </c>
      <c r="GN60" s="147">
        <f t="shared" si="73"/>
        <v>0</v>
      </c>
      <c r="GO60" s="143">
        <f t="shared" si="730"/>
        <v>0</v>
      </c>
      <c r="GP60" s="143">
        <f t="shared" si="730"/>
        <v>0</v>
      </c>
      <c r="GQ60" s="143">
        <f t="shared" si="730"/>
        <v>0</v>
      </c>
      <c r="GR60" s="143">
        <f t="shared" si="730"/>
        <v>0</v>
      </c>
      <c r="GS60" s="143">
        <f t="shared" si="730"/>
        <v>0</v>
      </c>
      <c r="GT60" s="143">
        <f t="shared" si="730"/>
        <v>0</v>
      </c>
      <c r="GU60" s="143">
        <f t="shared" si="730"/>
        <v>0</v>
      </c>
      <c r="GV60" s="143">
        <f t="shared" ref="GV60:JK60" si="731">SUM(GV61:GV64)</f>
        <v>0</v>
      </c>
      <c r="GW60" s="143">
        <f t="shared" si="731"/>
        <v>0</v>
      </c>
      <c r="GX60" s="143">
        <f t="shared" si="731"/>
        <v>0</v>
      </c>
      <c r="GY60" s="143">
        <f t="shared" si="731"/>
        <v>0</v>
      </c>
      <c r="GZ60" s="143">
        <f t="shared" si="731"/>
        <v>0</v>
      </c>
      <c r="HA60" s="143">
        <f t="shared" si="731"/>
        <v>0</v>
      </c>
      <c r="HB60" s="143">
        <f t="shared" si="731"/>
        <v>0</v>
      </c>
      <c r="HC60" s="143">
        <f t="shared" si="731"/>
        <v>0</v>
      </c>
      <c r="HD60" s="143">
        <f t="shared" si="731"/>
        <v>0</v>
      </c>
      <c r="HE60" s="143">
        <f t="shared" si="731"/>
        <v>0</v>
      </c>
      <c r="HF60" s="143">
        <f t="shared" si="731"/>
        <v>0</v>
      </c>
      <c r="HG60" s="143">
        <f t="shared" si="731"/>
        <v>0</v>
      </c>
      <c r="HH60" s="143">
        <f t="shared" si="731"/>
        <v>0</v>
      </c>
      <c r="HI60" s="143">
        <f t="shared" si="731"/>
        <v>0</v>
      </c>
      <c r="HJ60" s="143">
        <f t="shared" si="731"/>
        <v>0</v>
      </c>
      <c r="HK60" s="143">
        <f t="shared" si="731"/>
        <v>0</v>
      </c>
      <c r="HL60" s="143">
        <f t="shared" si="731"/>
        <v>0</v>
      </c>
      <c r="HM60" s="143">
        <f t="shared" si="731"/>
        <v>0</v>
      </c>
      <c r="HN60" s="143">
        <f t="shared" si="731"/>
        <v>0</v>
      </c>
      <c r="HO60" s="143">
        <f t="shared" si="731"/>
        <v>0</v>
      </c>
      <c r="HP60" s="143">
        <f t="shared" si="731"/>
        <v>0</v>
      </c>
      <c r="HQ60" s="143">
        <f t="shared" si="731"/>
        <v>0</v>
      </c>
      <c r="HR60" s="143">
        <f t="shared" si="731"/>
        <v>0</v>
      </c>
      <c r="HS60" s="146">
        <f t="shared" si="731"/>
        <v>0</v>
      </c>
      <c r="HT60" s="146">
        <f t="shared" si="731"/>
        <v>0</v>
      </c>
      <c r="HU60" s="146">
        <f t="shared" si="731"/>
        <v>0</v>
      </c>
      <c r="HV60" s="147">
        <f t="shared" si="80"/>
        <v>0</v>
      </c>
      <c r="HW60" s="143">
        <f t="shared" si="731"/>
        <v>0</v>
      </c>
      <c r="HX60" s="143">
        <f t="shared" si="731"/>
        <v>0</v>
      </c>
      <c r="HY60" s="143">
        <f t="shared" si="731"/>
        <v>0</v>
      </c>
      <c r="HZ60" s="143">
        <f t="shared" si="731"/>
        <v>0</v>
      </c>
      <c r="IA60" s="143">
        <f t="shared" si="731"/>
        <v>0</v>
      </c>
      <c r="IB60" s="143">
        <f t="shared" si="731"/>
        <v>0</v>
      </c>
      <c r="IC60" s="143">
        <f t="shared" si="731"/>
        <v>0</v>
      </c>
      <c r="ID60" s="143">
        <f t="shared" si="731"/>
        <v>0</v>
      </c>
      <c r="IE60" s="143">
        <f t="shared" si="731"/>
        <v>0</v>
      </c>
      <c r="IF60" s="143">
        <f t="shared" si="731"/>
        <v>0</v>
      </c>
      <c r="IG60" s="143">
        <f t="shared" si="731"/>
        <v>0</v>
      </c>
      <c r="IH60" s="143">
        <f t="shared" si="731"/>
        <v>0</v>
      </c>
      <c r="II60" s="143">
        <f t="shared" si="731"/>
        <v>0</v>
      </c>
      <c r="IJ60" s="143">
        <f t="shared" si="731"/>
        <v>0</v>
      </c>
      <c r="IK60" s="143">
        <f t="shared" si="731"/>
        <v>0</v>
      </c>
      <c r="IL60" s="143">
        <f t="shared" si="731"/>
        <v>0</v>
      </c>
      <c r="IM60" s="143">
        <f t="shared" si="731"/>
        <v>0</v>
      </c>
      <c r="IN60" s="143">
        <f t="shared" si="731"/>
        <v>0</v>
      </c>
      <c r="IO60" s="143">
        <f t="shared" si="731"/>
        <v>0</v>
      </c>
      <c r="IP60" s="143">
        <f t="shared" si="731"/>
        <v>0</v>
      </c>
      <c r="IQ60" s="143">
        <f t="shared" si="731"/>
        <v>0</v>
      </c>
      <c r="IR60" s="143">
        <f t="shared" si="731"/>
        <v>0</v>
      </c>
      <c r="IS60" s="143">
        <f t="shared" si="731"/>
        <v>0</v>
      </c>
      <c r="IT60" s="143">
        <f t="shared" si="731"/>
        <v>0</v>
      </c>
      <c r="IU60" s="143">
        <f t="shared" si="731"/>
        <v>0</v>
      </c>
      <c r="IV60" s="143">
        <f t="shared" si="731"/>
        <v>0</v>
      </c>
      <c r="IW60" s="143">
        <f t="shared" si="731"/>
        <v>0</v>
      </c>
      <c r="IX60" s="143">
        <f t="shared" si="731"/>
        <v>0</v>
      </c>
      <c r="IY60" s="143">
        <f t="shared" si="731"/>
        <v>0</v>
      </c>
      <c r="IZ60" s="143">
        <f t="shared" si="731"/>
        <v>0</v>
      </c>
      <c r="JA60" s="143">
        <f t="shared" si="731"/>
        <v>0</v>
      </c>
      <c r="JB60" s="143">
        <f t="shared" si="731"/>
        <v>0</v>
      </c>
      <c r="JC60" s="143">
        <f t="shared" si="731"/>
        <v>0</v>
      </c>
      <c r="JD60" s="143">
        <f t="shared" si="731"/>
        <v>0</v>
      </c>
      <c r="JE60" s="143">
        <f t="shared" si="731"/>
        <v>0</v>
      </c>
      <c r="JF60" s="143">
        <f t="shared" si="731"/>
        <v>0</v>
      </c>
      <c r="JG60" s="143">
        <f t="shared" si="731"/>
        <v>0</v>
      </c>
      <c r="JH60" s="143">
        <f t="shared" si="731"/>
        <v>0</v>
      </c>
      <c r="JI60" s="143">
        <f t="shared" si="731"/>
        <v>0</v>
      </c>
      <c r="JJ60" s="143">
        <f t="shared" si="731"/>
        <v>0</v>
      </c>
      <c r="JK60" s="143">
        <f t="shared" si="731"/>
        <v>0</v>
      </c>
      <c r="JL60" s="143">
        <f t="shared" ref="JL60:MC60" si="732">SUM(JL61:JL64)</f>
        <v>0</v>
      </c>
      <c r="JM60" s="143">
        <f t="shared" si="732"/>
        <v>0</v>
      </c>
      <c r="JN60" s="143">
        <f t="shared" si="732"/>
        <v>0</v>
      </c>
      <c r="JO60" s="143">
        <f t="shared" si="732"/>
        <v>0</v>
      </c>
      <c r="JP60" s="143">
        <f t="shared" si="732"/>
        <v>0</v>
      </c>
      <c r="JQ60" s="143">
        <f t="shared" si="732"/>
        <v>0</v>
      </c>
      <c r="JR60" s="143">
        <f t="shared" si="732"/>
        <v>0</v>
      </c>
      <c r="JS60" s="143">
        <f t="shared" si="732"/>
        <v>0</v>
      </c>
      <c r="JT60" s="143">
        <f t="shared" si="732"/>
        <v>0</v>
      </c>
      <c r="JU60" s="143">
        <f t="shared" si="732"/>
        <v>0</v>
      </c>
      <c r="JV60" s="143">
        <f t="shared" si="732"/>
        <v>0</v>
      </c>
      <c r="JW60" s="143">
        <f t="shared" si="732"/>
        <v>0</v>
      </c>
      <c r="JX60" s="143">
        <f t="shared" si="732"/>
        <v>0</v>
      </c>
      <c r="JY60" s="143">
        <f t="shared" si="732"/>
        <v>0</v>
      </c>
      <c r="JZ60" s="143">
        <f t="shared" si="732"/>
        <v>0</v>
      </c>
      <c r="KA60" s="143">
        <f t="shared" si="732"/>
        <v>0</v>
      </c>
      <c r="KB60" s="143">
        <f t="shared" si="732"/>
        <v>0</v>
      </c>
      <c r="KC60" s="143">
        <f t="shared" si="732"/>
        <v>0</v>
      </c>
      <c r="KD60" s="143">
        <f t="shared" si="732"/>
        <v>0</v>
      </c>
      <c r="KE60" s="143">
        <f t="shared" si="732"/>
        <v>0</v>
      </c>
      <c r="KF60" s="143">
        <f t="shared" si="732"/>
        <v>0</v>
      </c>
      <c r="KG60" s="143">
        <f t="shared" si="732"/>
        <v>0</v>
      </c>
      <c r="KH60" s="143">
        <f t="shared" si="732"/>
        <v>0</v>
      </c>
      <c r="KI60" s="143">
        <f t="shared" si="732"/>
        <v>0</v>
      </c>
      <c r="KJ60" s="143">
        <f t="shared" si="732"/>
        <v>0</v>
      </c>
      <c r="KK60" s="143">
        <f t="shared" si="732"/>
        <v>0</v>
      </c>
      <c r="KL60" s="143">
        <f t="shared" si="732"/>
        <v>0</v>
      </c>
      <c r="KM60" s="143">
        <f t="shared" si="732"/>
        <v>0</v>
      </c>
      <c r="KN60" s="143">
        <f t="shared" si="732"/>
        <v>0</v>
      </c>
      <c r="KO60" s="143">
        <f t="shared" si="732"/>
        <v>0</v>
      </c>
      <c r="KP60" s="143">
        <f t="shared" si="732"/>
        <v>0</v>
      </c>
      <c r="KQ60" s="143">
        <f t="shared" si="732"/>
        <v>0</v>
      </c>
      <c r="KR60" s="143">
        <f t="shared" si="732"/>
        <v>0</v>
      </c>
      <c r="KS60" s="143">
        <f t="shared" si="732"/>
        <v>0</v>
      </c>
      <c r="KT60" s="143">
        <f t="shared" si="732"/>
        <v>0</v>
      </c>
      <c r="KU60" s="143">
        <f t="shared" si="732"/>
        <v>0</v>
      </c>
      <c r="KV60" s="143">
        <f t="shared" si="732"/>
        <v>0</v>
      </c>
      <c r="KW60" s="143">
        <f t="shared" si="732"/>
        <v>0</v>
      </c>
      <c r="KX60" s="143">
        <f t="shared" si="732"/>
        <v>0</v>
      </c>
      <c r="KY60" s="143">
        <f t="shared" si="732"/>
        <v>0</v>
      </c>
      <c r="KZ60" s="143">
        <f t="shared" si="732"/>
        <v>0</v>
      </c>
      <c r="LA60" s="143">
        <f t="shared" si="732"/>
        <v>0</v>
      </c>
      <c r="LB60" s="143">
        <f t="shared" si="732"/>
        <v>0</v>
      </c>
      <c r="LC60" s="143">
        <f t="shared" si="732"/>
        <v>0</v>
      </c>
      <c r="LD60" s="143">
        <f t="shared" si="732"/>
        <v>0</v>
      </c>
      <c r="LE60" s="143">
        <f t="shared" si="732"/>
        <v>0</v>
      </c>
      <c r="LF60" s="143">
        <f t="shared" si="732"/>
        <v>0</v>
      </c>
      <c r="LG60" s="143">
        <f t="shared" si="732"/>
        <v>0</v>
      </c>
      <c r="LH60" s="143">
        <f t="shared" si="732"/>
        <v>0</v>
      </c>
      <c r="LI60" s="143">
        <f t="shared" si="732"/>
        <v>0</v>
      </c>
      <c r="LJ60" s="143">
        <f t="shared" si="732"/>
        <v>0</v>
      </c>
      <c r="LK60" s="143">
        <f t="shared" si="732"/>
        <v>0</v>
      </c>
      <c r="LL60" s="143">
        <f t="shared" si="732"/>
        <v>0</v>
      </c>
      <c r="LM60" s="143">
        <f t="shared" si="732"/>
        <v>0</v>
      </c>
      <c r="LN60" s="143">
        <f t="shared" si="732"/>
        <v>0</v>
      </c>
      <c r="LO60" s="143">
        <f t="shared" si="732"/>
        <v>0</v>
      </c>
      <c r="LP60" s="143">
        <f t="shared" si="732"/>
        <v>0</v>
      </c>
      <c r="LQ60" s="143">
        <f t="shared" si="732"/>
        <v>0</v>
      </c>
      <c r="LR60" s="143">
        <f t="shared" si="732"/>
        <v>0</v>
      </c>
      <c r="LS60" s="143">
        <f t="shared" si="732"/>
        <v>0</v>
      </c>
      <c r="LT60" s="143">
        <f t="shared" si="732"/>
        <v>0</v>
      </c>
      <c r="LU60" s="143">
        <f t="shared" si="732"/>
        <v>0</v>
      </c>
      <c r="LV60" s="143">
        <f t="shared" si="732"/>
        <v>0</v>
      </c>
      <c r="LW60" s="143">
        <f t="shared" si="732"/>
        <v>0</v>
      </c>
      <c r="LX60" s="45">
        <f t="shared" si="96"/>
        <v>0</v>
      </c>
      <c r="LY60" s="143">
        <f t="shared" si="732"/>
        <v>0</v>
      </c>
      <c r="LZ60" s="143">
        <f t="shared" si="732"/>
        <v>0</v>
      </c>
      <c r="MA60" s="143">
        <f t="shared" si="732"/>
        <v>0</v>
      </c>
      <c r="MB60" s="143">
        <f t="shared" si="732"/>
        <v>0</v>
      </c>
      <c r="MC60" s="143">
        <f t="shared" si="732"/>
        <v>0</v>
      </c>
      <c r="MD60" s="143">
        <f t="shared" ref="MD60:NX60" si="733">SUM(MD61:MD64)</f>
        <v>0</v>
      </c>
      <c r="ME60" s="143">
        <f t="shared" si="733"/>
        <v>0</v>
      </c>
      <c r="MF60" s="143">
        <f t="shared" si="733"/>
        <v>0</v>
      </c>
      <c r="MG60" s="143">
        <f t="shared" si="733"/>
        <v>0</v>
      </c>
      <c r="MH60" s="143">
        <f t="shared" si="733"/>
        <v>0</v>
      </c>
      <c r="MI60" s="143">
        <f t="shared" si="733"/>
        <v>0</v>
      </c>
      <c r="MJ60" s="143">
        <f t="shared" si="733"/>
        <v>0</v>
      </c>
      <c r="MK60" s="143">
        <f t="shared" si="733"/>
        <v>0</v>
      </c>
      <c r="ML60" s="143">
        <f t="shared" si="733"/>
        <v>0</v>
      </c>
      <c r="MM60" s="143">
        <f t="shared" si="733"/>
        <v>0</v>
      </c>
      <c r="MN60" s="143">
        <f t="shared" si="733"/>
        <v>0</v>
      </c>
      <c r="MO60" s="143">
        <f t="shared" si="733"/>
        <v>0</v>
      </c>
      <c r="MP60" s="143">
        <f t="shared" si="733"/>
        <v>0</v>
      </c>
      <c r="MQ60" s="143">
        <f t="shared" si="733"/>
        <v>0</v>
      </c>
      <c r="MR60" s="143">
        <f t="shared" si="733"/>
        <v>0</v>
      </c>
      <c r="MS60" s="143">
        <f t="shared" si="733"/>
        <v>0</v>
      </c>
      <c r="MT60" s="143">
        <f t="shared" si="733"/>
        <v>0</v>
      </c>
      <c r="MU60" s="143">
        <f t="shared" si="733"/>
        <v>0</v>
      </c>
      <c r="MV60" s="143">
        <f t="shared" si="733"/>
        <v>0</v>
      </c>
      <c r="MW60" s="143">
        <f t="shared" si="733"/>
        <v>0</v>
      </c>
      <c r="MX60" s="143">
        <f t="shared" si="733"/>
        <v>0</v>
      </c>
      <c r="MY60" s="143">
        <f t="shared" si="733"/>
        <v>0</v>
      </c>
      <c r="MZ60" s="143">
        <f t="shared" si="733"/>
        <v>0</v>
      </c>
      <c r="NA60" s="143">
        <f t="shared" si="733"/>
        <v>0</v>
      </c>
      <c r="NB60" s="143">
        <f t="shared" si="733"/>
        <v>0</v>
      </c>
      <c r="NC60" s="143">
        <f t="shared" si="733"/>
        <v>0</v>
      </c>
      <c r="ND60" s="143">
        <f t="shared" si="733"/>
        <v>0</v>
      </c>
      <c r="NE60" s="143">
        <f t="shared" si="733"/>
        <v>0</v>
      </c>
      <c r="NF60" s="143">
        <f t="shared" si="733"/>
        <v>0</v>
      </c>
      <c r="NG60" s="143">
        <f t="shared" si="733"/>
        <v>0</v>
      </c>
      <c r="NH60" s="143">
        <f t="shared" si="733"/>
        <v>0</v>
      </c>
      <c r="NI60" s="143">
        <f t="shared" si="733"/>
        <v>0</v>
      </c>
      <c r="NJ60" s="143">
        <f t="shared" si="733"/>
        <v>0</v>
      </c>
      <c r="NK60" s="143">
        <f t="shared" si="733"/>
        <v>0</v>
      </c>
      <c r="NL60" s="143">
        <f t="shared" si="733"/>
        <v>0</v>
      </c>
      <c r="NM60" s="143">
        <f t="shared" si="733"/>
        <v>0</v>
      </c>
      <c r="NN60" s="143">
        <f t="shared" si="733"/>
        <v>0</v>
      </c>
      <c r="NO60" s="143">
        <f t="shared" si="733"/>
        <v>0</v>
      </c>
      <c r="NP60" s="143">
        <f t="shared" si="733"/>
        <v>0</v>
      </c>
      <c r="NQ60" s="143">
        <f t="shared" si="733"/>
        <v>0</v>
      </c>
      <c r="NR60" s="143">
        <f t="shared" si="733"/>
        <v>0</v>
      </c>
      <c r="NS60" s="143">
        <f t="shared" si="733"/>
        <v>0</v>
      </c>
      <c r="NT60" s="143">
        <f t="shared" si="733"/>
        <v>0</v>
      </c>
      <c r="NU60" s="143">
        <f t="shared" si="733"/>
        <v>0</v>
      </c>
      <c r="NV60" s="148">
        <f t="shared" si="733"/>
        <v>0</v>
      </c>
      <c r="NW60" s="148">
        <f t="shared" si="733"/>
        <v>0</v>
      </c>
      <c r="NX60" s="148">
        <f t="shared" si="733"/>
        <v>0</v>
      </c>
      <c r="NY60" s="148">
        <f>SUM(NV60:NX60)</f>
        <v>0</v>
      </c>
      <c r="NZ60" s="148">
        <f t="shared" ref="NZ60:OQ60" si="734">SUM(NZ61:NZ64)</f>
        <v>0</v>
      </c>
      <c r="OA60" s="148">
        <f t="shared" si="734"/>
        <v>0</v>
      </c>
      <c r="OB60" s="148">
        <f t="shared" si="734"/>
        <v>0</v>
      </c>
      <c r="OC60" s="148">
        <f>SUM(NZ60:OB60)</f>
        <v>0</v>
      </c>
      <c r="OD60" s="148">
        <f t="shared" si="734"/>
        <v>0</v>
      </c>
      <c r="OE60" s="148">
        <f t="shared" si="734"/>
        <v>0</v>
      </c>
      <c r="OF60" s="148">
        <f t="shared" si="734"/>
        <v>0</v>
      </c>
      <c r="OG60" s="148">
        <f t="shared" si="734"/>
        <v>0</v>
      </c>
      <c r="OH60" s="148">
        <f t="shared" si="734"/>
        <v>0</v>
      </c>
      <c r="OI60" s="148">
        <f t="shared" si="734"/>
        <v>0</v>
      </c>
      <c r="OJ60" s="148">
        <f t="shared" si="734"/>
        <v>0</v>
      </c>
      <c r="OK60" s="148">
        <f t="shared" si="734"/>
        <v>0</v>
      </c>
      <c r="OL60" s="148">
        <f t="shared" si="734"/>
        <v>0</v>
      </c>
      <c r="OM60" s="148">
        <f t="shared" si="734"/>
        <v>0</v>
      </c>
      <c r="ON60" s="148">
        <f t="shared" si="734"/>
        <v>0</v>
      </c>
      <c r="OO60" s="148">
        <f t="shared" si="734"/>
        <v>0</v>
      </c>
      <c r="OP60" s="148">
        <f t="shared" si="734"/>
        <v>0</v>
      </c>
      <c r="OQ60" s="148">
        <f t="shared" si="734"/>
        <v>0</v>
      </c>
      <c r="OR60" s="149">
        <f t="shared" ref="OR60:OR78" si="735">SUM(OD60:OQ60)</f>
        <v>0</v>
      </c>
      <c r="OS60" s="148">
        <f t="shared" ref="OS60:PA60" si="736">SUM(OS61:OS64)</f>
        <v>0</v>
      </c>
      <c r="OT60" s="148">
        <f t="shared" si="736"/>
        <v>0</v>
      </c>
      <c r="OU60" s="148">
        <f t="shared" si="736"/>
        <v>0</v>
      </c>
      <c r="OV60" s="148">
        <f t="shared" si="736"/>
        <v>0</v>
      </c>
      <c r="OW60" s="148">
        <f t="shared" si="736"/>
        <v>0</v>
      </c>
      <c r="OX60" s="148">
        <f>SUM(OS60:OW60)</f>
        <v>0</v>
      </c>
      <c r="OY60" s="148">
        <f t="shared" si="736"/>
        <v>0</v>
      </c>
      <c r="OZ60" s="148">
        <f t="shared" si="736"/>
        <v>0</v>
      </c>
      <c r="PA60" s="148">
        <f t="shared" si="736"/>
        <v>0</v>
      </c>
      <c r="PB60" s="150">
        <f>SUM(OY60:PA60)</f>
        <v>0</v>
      </c>
      <c r="PC60" s="148">
        <f t="shared" ref="PC60:PE60" si="737">SUM(PC61:PC64)</f>
        <v>0</v>
      </c>
      <c r="PD60" s="148">
        <f t="shared" si="737"/>
        <v>0</v>
      </c>
      <c r="PE60" s="148">
        <f t="shared" si="737"/>
        <v>0</v>
      </c>
      <c r="PF60" s="150">
        <f>SUM(PC60:PE60)</f>
        <v>0</v>
      </c>
      <c r="PG60" s="148">
        <f t="shared" ref="PG60:PI60" si="738">SUM(PG61:PG64)</f>
        <v>0</v>
      </c>
      <c r="PH60" s="148">
        <f t="shared" si="738"/>
        <v>0</v>
      </c>
      <c r="PI60" s="148">
        <f t="shared" si="738"/>
        <v>0</v>
      </c>
      <c r="PJ60" s="150">
        <f>SUM(PG60:PI60)</f>
        <v>0</v>
      </c>
      <c r="PK60" s="148">
        <f t="shared" ref="PK60:PM60" si="739">SUM(PK61:PK64)</f>
        <v>0</v>
      </c>
      <c r="PL60" s="148">
        <f t="shared" si="739"/>
        <v>0</v>
      </c>
      <c r="PM60" s="148">
        <f t="shared" si="739"/>
        <v>0</v>
      </c>
      <c r="PN60" s="150">
        <f>SUM(PK60:PM60)</f>
        <v>0</v>
      </c>
      <c r="PO60" s="148">
        <f t="shared" ref="PO60:PQ60" si="740">SUM(PO61:PO64)</f>
        <v>0</v>
      </c>
      <c r="PP60" s="148">
        <f t="shared" si="740"/>
        <v>0</v>
      </c>
      <c r="PQ60" s="148">
        <f t="shared" si="740"/>
        <v>0</v>
      </c>
      <c r="PR60" s="150">
        <f>SUM(PO60:PQ60)</f>
        <v>0</v>
      </c>
      <c r="PS60" s="148">
        <f t="shared" ref="PS60:PU60" si="741">SUM(PS61:PS64)</f>
        <v>0</v>
      </c>
      <c r="PT60" s="148">
        <f t="shared" si="741"/>
        <v>0</v>
      </c>
      <c r="PU60" s="148">
        <f t="shared" si="741"/>
        <v>0</v>
      </c>
      <c r="PV60" s="150">
        <f>SUM(PS60:PU60)</f>
        <v>0</v>
      </c>
      <c r="PW60" s="148">
        <f t="shared" ref="PW60:SH60" si="742">SUM(PW61:PW64)</f>
        <v>0</v>
      </c>
      <c r="PX60" s="148">
        <f t="shared" si="742"/>
        <v>0</v>
      </c>
      <c r="PY60" s="148">
        <f t="shared" si="742"/>
        <v>0</v>
      </c>
      <c r="PZ60" s="150">
        <f>SUM(PW60:PY60)</f>
        <v>0</v>
      </c>
      <c r="QA60" s="148">
        <f t="shared" si="742"/>
        <v>0</v>
      </c>
      <c r="QB60" s="148">
        <f t="shared" si="742"/>
        <v>0</v>
      </c>
      <c r="QC60" s="148">
        <f t="shared" si="742"/>
        <v>0</v>
      </c>
      <c r="QD60" s="151">
        <f t="shared" si="132"/>
        <v>0</v>
      </c>
      <c r="QE60" s="148">
        <f t="shared" si="742"/>
        <v>0</v>
      </c>
      <c r="QF60" s="143">
        <f t="shared" si="742"/>
        <v>0</v>
      </c>
      <c r="QG60" s="143">
        <f t="shared" si="742"/>
        <v>0</v>
      </c>
      <c r="QH60" s="143">
        <f t="shared" si="742"/>
        <v>0</v>
      </c>
      <c r="QI60" s="143">
        <f t="shared" si="742"/>
        <v>0</v>
      </c>
      <c r="QJ60" s="143">
        <f t="shared" si="742"/>
        <v>0</v>
      </c>
      <c r="QK60" s="143">
        <f t="shared" si="742"/>
        <v>0</v>
      </c>
      <c r="QL60" s="143">
        <f t="shared" si="742"/>
        <v>0</v>
      </c>
      <c r="QM60" s="143">
        <f t="shared" si="742"/>
        <v>0</v>
      </c>
      <c r="QN60" s="143">
        <f t="shared" si="742"/>
        <v>0</v>
      </c>
      <c r="QO60" s="143">
        <f t="shared" si="742"/>
        <v>0</v>
      </c>
      <c r="QP60" s="143">
        <f t="shared" si="742"/>
        <v>0</v>
      </c>
      <c r="QQ60" s="143">
        <f t="shared" si="742"/>
        <v>0</v>
      </c>
      <c r="QR60" s="143">
        <f t="shared" si="742"/>
        <v>0</v>
      </c>
      <c r="QS60" s="143">
        <f t="shared" si="742"/>
        <v>0</v>
      </c>
      <c r="QT60" s="143">
        <f t="shared" si="742"/>
        <v>0</v>
      </c>
      <c r="QU60" s="143">
        <f t="shared" si="742"/>
        <v>0</v>
      </c>
      <c r="QV60" s="143">
        <f t="shared" si="742"/>
        <v>0</v>
      </c>
      <c r="QW60" s="143">
        <f t="shared" si="742"/>
        <v>0</v>
      </c>
      <c r="QX60" s="143">
        <f t="shared" si="742"/>
        <v>0</v>
      </c>
      <c r="QY60" s="143">
        <f t="shared" si="742"/>
        <v>0</v>
      </c>
      <c r="QZ60" s="143">
        <f t="shared" si="742"/>
        <v>0</v>
      </c>
      <c r="RA60" s="143">
        <f t="shared" si="742"/>
        <v>0</v>
      </c>
      <c r="RB60" s="143">
        <f t="shared" si="742"/>
        <v>0</v>
      </c>
      <c r="RC60" s="143">
        <f t="shared" si="742"/>
        <v>0</v>
      </c>
      <c r="RD60" s="143">
        <f t="shared" si="742"/>
        <v>0</v>
      </c>
      <c r="RE60" s="143">
        <f t="shared" si="742"/>
        <v>0</v>
      </c>
      <c r="RF60" s="143">
        <f t="shared" si="742"/>
        <v>0</v>
      </c>
      <c r="RG60" s="143">
        <f t="shared" si="742"/>
        <v>0</v>
      </c>
      <c r="RH60" s="143">
        <f t="shared" si="742"/>
        <v>0</v>
      </c>
      <c r="RI60" s="143">
        <f t="shared" si="742"/>
        <v>0</v>
      </c>
      <c r="RJ60" s="143">
        <f t="shared" si="742"/>
        <v>0</v>
      </c>
      <c r="RK60" s="143">
        <f t="shared" si="742"/>
        <v>0</v>
      </c>
      <c r="RL60" s="143">
        <f t="shared" si="742"/>
        <v>0</v>
      </c>
      <c r="RM60" s="143">
        <f t="shared" si="742"/>
        <v>0</v>
      </c>
      <c r="RN60" s="143">
        <f t="shared" si="742"/>
        <v>0</v>
      </c>
      <c r="RO60" s="143">
        <f t="shared" si="742"/>
        <v>0</v>
      </c>
      <c r="RP60" s="143">
        <f t="shared" si="742"/>
        <v>0</v>
      </c>
      <c r="RQ60" s="143">
        <f t="shared" si="742"/>
        <v>0</v>
      </c>
      <c r="RR60" s="143">
        <f t="shared" si="742"/>
        <v>0</v>
      </c>
      <c r="RS60" s="143">
        <f t="shared" si="742"/>
        <v>0</v>
      </c>
      <c r="RT60" s="143">
        <f t="shared" si="742"/>
        <v>0</v>
      </c>
      <c r="RU60" s="143">
        <f t="shared" si="742"/>
        <v>0</v>
      </c>
      <c r="RV60" s="143">
        <f t="shared" si="742"/>
        <v>0</v>
      </c>
      <c r="RW60" s="143">
        <f t="shared" si="742"/>
        <v>0</v>
      </c>
      <c r="RX60" s="143">
        <f t="shared" si="742"/>
        <v>0</v>
      </c>
      <c r="RY60" s="143">
        <f t="shared" si="742"/>
        <v>0</v>
      </c>
      <c r="RZ60" s="143">
        <f t="shared" si="742"/>
        <v>0</v>
      </c>
      <c r="SA60" s="143">
        <f t="shared" si="742"/>
        <v>0</v>
      </c>
      <c r="SB60" s="143">
        <f t="shared" si="742"/>
        <v>0</v>
      </c>
      <c r="SC60" s="143">
        <f t="shared" si="742"/>
        <v>0</v>
      </c>
      <c r="SD60" s="143">
        <f t="shared" si="742"/>
        <v>0</v>
      </c>
      <c r="SE60" s="143">
        <f t="shared" si="742"/>
        <v>0</v>
      </c>
      <c r="SF60" s="143">
        <f t="shared" si="742"/>
        <v>0</v>
      </c>
      <c r="SG60" s="143">
        <f t="shared" si="742"/>
        <v>0</v>
      </c>
      <c r="SH60" s="143">
        <f t="shared" si="742"/>
        <v>0</v>
      </c>
      <c r="SI60" s="143">
        <f t="shared" ref="SI60:UC60" si="743">SUM(SI61:SI64)</f>
        <v>0</v>
      </c>
      <c r="SJ60" s="143">
        <f t="shared" si="743"/>
        <v>0</v>
      </c>
      <c r="SK60" s="143">
        <f t="shared" si="743"/>
        <v>0</v>
      </c>
      <c r="SL60" s="143">
        <f t="shared" si="743"/>
        <v>0</v>
      </c>
      <c r="SM60" s="143">
        <f t="shared" si="743"/>
        <v>0</v>
      </c>
      <c r="SN60" s="143">
        <f t="shared" si="743"/>
        <v>0</v>
      </c>
      <c r="SO60" s="143">
        <f t="shared" si="743"/>
        <v>0</v>
      </c>
      <c r="SP60" s="143">
        <f t="shared" si="743"/>
        <v>0</v>
      </c>
      <c r="SQ60" s="143">
        <f t="shared" si="743"/>
        <v>0</v>
      </c>
      <c r="SR60" s="143">
        <f t="shared" si="743"/>
        <v>0</v>
      </c>
      <c r="SS60" s="143">
        <f t="shared" si="743"/>
        <v>0</v>
      </c>
      <c r="ST60" s="143">
        <f t="shared" si="743"/>
        <v>0</v>
      </c>
      <c r="SU60" s="143">
        <f t="shared" si="743"/>
        <v>0</v>
      </c>
      <c r="SV60" s="143">
        <f t="shared" si="743"/>
        <v>0</v>
      </c>
      <c r="SW60" s="143">
        <f t="shared" si="743"/>
        <v>0</v>
      </c>
      <c r="SX60" s="143">
        <f t="shared" si="743"/>
        <v>0</v>
      </c>
      <c r="SY60" s="143">
        <f t="shared" si="743"/>
        <v>0</v>
      </c>
      <c r="SZ60" s="143">
        <f t="shared" si="743"/>
        <v>0</v>
      </c>
      <c r="TA60" s="143">
        <f t="shared" si="743"/>
        <v>0</v>
      </c>
      <c r="TB60" s="143">
        <f t="shared" si="743"/>
        <v>0</v>
      </c>
      <c r="TC60" s="144">
        <f t="shared" si="743"/>
        <v>0</v>
      </c>
      <c r="TD60" s="145">
        <f t="shared" si="743"/>
        <v>0</v>
      </c>
      <c r="TE60" s="145">
        <f t="shared" si="743"/>
        <v>0</v>
      </c>
      <c r="TF60" s="143">
        <f t="shared" si="743"/>
        <v>0</v>
      </c>
      <c r="TG60" s="143">
        <f t="shared" si="743"/>
        <v>0</v>
      </c>
      <c r="TH60" s="148">
        <f t="shared" si="743"/>
        <v>0</v>
      </c>
      <c r="TI60" s="148">
        <f t="shared" si="743"/>
        <v>0</v>
      </c>
      <c r="TJ60" s="148">
        <f t="shared" si="743"/>
        <v>0</v>
      </c>
      <c r="TK60" s="148">
        <f t="shared" si="743"/>
        <v>0</v>
      </c>
      <c r="TL60" s="148">
        <f t="shared" si="743"/>
        <v>0</v>
      </c>
      <c r="TM60" s="148">
        <f t="shared" si="743"/>
        <v>0</v>
      </c>
      <c r="TN60" s="148">
        <f t="shared" si="743"/>
        <v>0</v>
      </c>
      <c r="TO60" s="148">
        <f t="shared" si="743"/>
        <v>0</v>
      </c>
      <c r="TP60" s="143">
        <f t="shared" si="743"/>
        <v>0</v>
      </c>
      <c r="TQ60" s="143">
        <f t="shared" si="743"/>
        <v>0</v>
      </c>
      <c r="TR60" s="143">
        <f t="shared" si="743"/>
        <v>0</v>
      </c>
      <c r="TS60" s="148">
        <f t="shared" si="743"/>
        <v>0</v>
      </c>
      <c r="TT60" s="148">
        <f t="shared" si="743"/>
        <v>0</v>
      </c>
      <c r="TU60" s="148">
        <f t="shared" si="743"/>
        <v>0</v>
      </c>
      <c r="TV60" s="152">
        <f t="shared" si="743"/>
        <v>0</v>
      </c>
      <c r="TW60" s="148">
        <f t="shared" si="743"/>
        <v>0</v>
      </c>
      <c r="TX60" s="148">
        <f t="shared" si="743"/>
        <v>0</v>
      </c>
      <c r="TY60" s="148">
        <f t="shared" si="743"/>
        <v>0</v>
      </c>
      <c r="TZ60" s="153">
        <f t="shared" si="743"/>
        <v>0</v>
      </c>
      <c r="UA60" s="152">
        <f t="shared" si="743"/>
        <v>0</v>
      </c>
      <c r="UB60" s="148">
        <f t="shared" si="743"/>
        <v>0</v>
      </c>
      <c r="UC60" s="153">
        <f t="shared" si="743"/>
        <v>0</v>
      </c>
    </row>
    <row r="61" spans="1:549" s="4" customFormat="1" hidden="1" x14ac:dyDescent="0.25">
      <c r="A61" s="49">
        <v>120305201</v>
      </c>
      <c r="B61" s="50">
        <v>354</v>
      </c>
      <c r="C61" s="51"/>
      <c r="D61" s="52"/>
      <c r="E61" s="53"/>
      <c r="F61" s="54"/>
      <c r="G61" s="54"/>
      <c r="H61" s="55">
        <f t="shared" ref="H61" si="744">SUM(E61:G61)</f>
        <v>0</v>
      </c>
      <c r="I61" s="56"/>
      <c r="J61" s="54"/>
      <c r="K61" s="54"/>
      <c r="L61" s="55">
        <f t="shared" ref="L61" si="745">SUM(I61:K61)</f>
        <v>0</v>
      </c>
      <c r="M61" s="53"/>
      <c r="N61" s="53"/>
      <c r="O61" s="55">
        <f t="shared" ref="O61" si="746">SUM(M61:N61)</f>
        <v>0</v>
      </c>
      <c r="P61" s="53"/>
      <c r="Q61" s="56"/>
      <c r="R61" s="56"/>
      <c r="S61" s="56"/>
      <c r="T61" s="55">
        <f t="shared" ref="T61:T64" si="747">SUM(Q61:S61)</f>
        <v>0</v>
      </c>
      <c r="U61" s="54"/>
      <c r="V61" s="54"/>
      <c r="W61" s="54"/>
      <c r="X61" s="55">
        <f t="shared" ref="X61" si="748">SUM(V61:W61)</f>
        <v>0</v>
      </c>
      <c r="Y61" s="54"/>
      <c r="Z61" s="54"/>
      <c r="AA61" s="55">
        <f t="shared" ref="AA61" si="749">SUM(Y61:Z61)</f>
        <v>0</v>
      </c>
      <c r="AB61" s="54"/>
      <c r="AC61" s="54"/>
      <c r="AD61" s="55">
        <v>0</v>
      </c>
      <c r="AE61" s="54"/>
      <c r="AF61" s="56"/>
      <c r="AG61" s="56"/>
      <c r="AH61" s="55">
        <f t="shared" ref="AH61:AH68" si="750">SUM(AF61:AG61)</f>
        <v>0</v>
      </c>
      <c r="AI61" s="54"/>
      <c r="AJ61" s="56"/>
      <c r="AK61" s="56"/>
      <c r="AL61" s="55">
        <f t="shared" ref="AL61:AL64" si="751">SUM(AJ61:AK61)</f>
        <v>0</v>
      </c>
      <c r="AM61" s="54"/>
      <c r="AN61" s="56"/>
      <c r="AO61" s="56"/>
      <c r="AP61" s="55">
        <f t="shared" ref="AP61" si="752">SUM(AN61:AO61)</f>
        <v>0</v>
      </c>
      <c r="AQ61" s="54"/>
      <c r="AR61" s="54"/>
      <c r="AS61" s="54"/>
      <c r="AT61" s="54"/>
      <c r="AU61" s="55">
        <f t="shared" ref="AU61" si="753">SUM(AR61:AT61)</f>
        <v>0</v>
      </c>
      <c r="AV61" s="54"/>
      <c r="AW61" s="54"/>
      <c r="AX61" s="56"/>
      <c r="AY61" s="56"/>
      <c r="AZ61" s="57"/>
      <c r="BA61" s="57"/>
      <c r="BB61" s="54"/>
      <c r="BC61" s="58"/>
      <c r="BD61" s="55">
        <v>0</v>
      </c>
      <c r="BE61" s="54"/>
      <c r="BF61" s="56"/>
      <c r="BG61" s="56"/>
      <c r="BH61" s="56"/>
      <c r="BI61" s="56"/>
      <c r="BJ61" s="54"/>
      <c r="BK61" s="56"/>
      <c r="BL61" s="55">
        <v>0</v>
      </c>
      <c r="BM61" s="54"/>
      <c r="BN61" s="56"/>
      <c r="BO61" s="54"/>
      <c r="BP61" s="54"/>
      <c r="BQ61" s="54"/>
      <c r="BR61" s="56"/>
      <c r="BS61" s="55">
        <f t="shared" ref="BS61" si="754">SUM(BP61:BR61)</f>
        <v>0</v>
      </c>
      <c r="BT61" s="54"/>
      <c r="BU61" s="54"/>
      <c r="BV61" s="54"/>
      <c r="BW61" s="55">
        <v>0</v>
      </c>
      <c r="BX61" s="54"/>
      <c r="BY61" s="54"/>
      <c r="BZ61" s="55">
        <v>0</v>
      </c>
      <c r="CA61" s="54"/>
      <c r="CB61" s="54"/>
      <c r="CC61" s="55">
        <v>0</v>
      </c>
      <c r="CD61" s="54"/>
      <c r="CE61" s="54"/>
      <c r="CF61" s="56"/>
      <c r="CG61" s="56"/>
      <c r="CH61" s="56"/>
      <c r="CI61" s="54"/>
      <c r="CJ61" s="54"/>
      <c r="CK61" s="54"/>
      <c r="CL61" s="55">
        <v>0</v>
      </c>
      <c r="CM61" s="56"/>
      <c r="CN61" s="56"/>
      <c r="CO61" s="54"/>
      <c r="CP61" s="54"/>
      <c r="CQ61" s="55">
        <v>0</v>
      </c>
      <c r="CR61" s="54"/>
      <c r="CS61" s="54"/>
      <c r="CT61" s="54"/>
      <c r="CU61" s="54"/>
      <c r="CV61" s="54"/>
      <c r="CW61" s="54"/>
      <c r="CX61" s="18">
        <f t="shared" ref="CX61:CX67" si="755">SUM(CU61:CW61)</f>
        <v>0</v>
      </c>
      <c r="CY61" s="54"/>
      <c r="CZ61" s="54"/>
      <c r="DA61" s="54"/>
      <c r="DB61" s="18">
        <f t="shared" ref="DB61:DB68" si="756">SUM(CZ61:DA61)</f>
        <v>0</v>
      </c>
      <c r="DC61" s="54"/>
      <c r="DD61" s="54"/>
      <c r="DE61" s="18">
        <f t="shared" ref="DE61:DE68" si="757">SUM(DC61:DD61)</f>
        <v>0</v>
      </c>
      <c r="DF61" s="54"/>
      <c r="DG61" s="54"/>
      <c r="DH61" s="55">
        <v>0</v>
      </c>
      <c r="DI61" s="54"/>
      <c r="DJ61" s="54"/>
      <c r="DK61" s="55">
        <f t="shared" ref="DK61" si="758">SUM(DI61:DJ61)</f>
        <v>0</v>
      </c>
      <c r="DL61" s="54"/>
      <c r="DM61" s="54"/>
      <c r="DN61" s="59"/>
      <c r="DO61" s="54"/>
      <c r="DP61" s="54"/>
      <c r="DQ61" s="56"/>
      <c r="DR61" s="56"/>
      <c r="DS61" s="56"/>
      <c r="DT61" s="54"/>
      <c r="DU61" s="54"/>
      <c r="DV61" s="54"/>
      <c r="DW61" s="55">
        <v>0</v>
      </c>
      <c r="DX61" s="56"/>
      <c r="DY61" s="54"/>
      <c r="DZ61" s="54"/>
      <c r="EA61" s="55">
        <v>0</v>
      </c>
      <c r="EB61" s="54"/>
      <c r="EC61" s="54"/>
      <c r="ED61" s="54"/>
      <c r="EE61" s="54"/>
      <c r="EF61" s="54"/>
      <c r="EG61" s="54"/>
      <c r="EH61" s="55">
        <v>0</v>
      </c>
      <c r="EI61" s="54"/>
      <c r="EJ61" s="54"/>
      <c r="EK61" s="54"/>
      <c r="EL61" s="55">
        <v>0</v>
      </c>
      <c r="EM61" s="54"/>
      <c r="EN61" s="54"/>
      <c r="EO61" s="55">
        <v>0</v>
      </c>
      <c r="EP61" s="54"/>
      <c r="EQ61" s="54"/>
      <c r="ER61" s="55">
        <v>0</v>
      </c>
      <c r="ES61" s="54"/>
      <c r="ET61" s="54"/>
      <c r="EU61" s="55">
        <f t="shared" ref="EU61" si="759">SUM(ES61:ET61)</f>
        <v>0</v>
      </c>
      <c r="EV61" s="54"/>
      <c r="EW61" s="54"/>
      <c r="EX61" s="54"/>
      <c r="EY61" s="54"/>
      <c r="EZ61" s="54"/>
      <c r="FA61" s="56"/>
      <c r="FB61" s="56"/>
      <c r="FC61" s="56"/>
      <c r="FD61" s="54"/>
      <c r="FE61" s="54"/>
      <c r="FF61" s="54"/>
      <c r="FG61" s="55">
        <v>0</v>
      </c>
      <c r="FH61" s="54"/>
      <c r="FI61" s="54"/>
      <c r="FJ61" s="54"/>
      <c r="FK61" s="55">
        <f t="shared" ref="FK61" si="760">SUM(FI61:FJ61)</f>
        <v>0</v>
      </c>
      <c r="FL61" s="54"/>
      <c r="FM61" s="54"/>
      <c r="FN61" s="54"/>
      <c r="FO61" s="54"/>
      <c r="FP61" s="54"/>
      <c r="FQ61" s="58"/>
      <c r="FR61" s="55">
        <f t="shared" ref="FR61" si="761">SUM(FO61:FQ61)</f>
        <v>0</v>
      </c>
      <c r="FS61" s="54"/>
      <c r="FT61" s="54"/>
      <c r="FU61" s="54"/>
      <c r="FV61" s="55">
        <v>0</v>
      </c>
      <c r="FW61" s="54"/>
      <c r="FX61" s="54"/>
      <c r="FY61" s="55">
        <v>0</v>
      </c>
      <c r="FZ61" s="54"/>
      <c r="GA61" s="54"/>
      <c r="GB61" s="55">
        <v>0</v>
      </c>
      <c r="GC61" s="54"/>
      <c r="GD61" s="54"/>
      <c r="GE61" s="55">
        <f t="shared" ref="GE61" si="762">SUM(GC61:GD61)</f>
        <v>0</v>
      </c>
      <c r="GF61" s="54"/>
      <c r="GG61" s="60">
        <v>0</v>
      </c>
      <c r="GH61" s="61"/>
      <c r="GI61" s="60"/>
      <c r="GJ61" s="56"/>
      <c r="GK61" s="62"/>
      <c r="GL61" s="62"/>
      <c r="GM61" s="62"/>
      <c r="GN61" s="63">
        <v>0</v>
      </c>
      <c r="GO61" s="54"/>
      <c r="GP61" s="54"/>
      <c r="GQ61" s="54"/>
      <c r="GR61" s="55">
        <v>0</v>
      </c>
      <c r="GS61" s="54"/>
      <c r="GT61" s="54"/>
      <c r="GU61" s="54"/>
      <c r="GV61" s="54"/>
      <c r="GW61" s="55">
        <f t="shared" ref="GW61" si="763">SUM(GT61:GV61)</f>
        <v>0</v>
      </c>
      <c r="GX61" s="54"/>
      <c r="GY61" s="56"/>
      <c r="GZ61" s="56"/>
      <c r="HA61" s="58"/>
      <c r="HB61" s="55">
        <f t="shared" ref="HB61" si="764">SUM(GY61:HA61)</f>
        <v>0</v>
      </c>
      <c r="HC61" s="54"/>
      <c r="HD61" s="56"/>
      <c r="HE61" s="56"/>
      <c r="HF61" s="56"/>
      <c r="HG61" s="55">
        <f t="shared" ref="HG61" si="765">SUM(HD61:HF61)</f>
        <v>0</v>
      </c>
      <c r="HH61" s="54"/>
      <c r="HI61" s="56"/>
      <c r="HJ61" s="54"/>
      <c r="HK61" s="54"/>
      <c r="HL61" s="55">
        <v>0</v>
      </c>
      <c r="HM61" s="54"/>
      <c r="HN61" s="56"/>
      <c r="HO61" s="54"/>
      <c r="HP61" s="56"/>
      <c r="HQ61" s="55">
        <f t="shared" ref="HQ61" si="766">SUM(HN61:HP61)</f>
        <v>0</v>
      </c>
      <c r="HR61" s="54"/>
      <c r="HS61" s="64"/>
      <c r="HT61" s="64"/>
      <c r="HU61" s="64"/>
      <c r="HV61" s="63">
        <v>0</v>
      </c>
      <c r="HW61" s="54"/>
      <c r="HX61" s="54"/>
      <c r="HY61" s="54"/>
      <c r="HZ61" s="55">
        <f t="shared" ref="HZ61" si="767">SUM(HW61:HY61)</f>
        <v>0</v>
      </c>
      <c r="IA61" s="54"/>
      <c r="IB61" s="56"/>
      <c r="IC61" s="54"/>
      <c r="ID61" s="54"/>
      <c r="IE61" s="55">
        <f t="shared" ref="IE61" si="768">SUM(IB61:ID61)</f>
        <v>0</v>
      </c>
      <c r="IF61" s="54"/>
      <c r="IG61" s="56"/>
      <c r="IH61" s="56"/>
      <c r="II61" s="56"/>
      <c r="IJ61" s="55">
        <f t="shared" ref="IJ61" si="769">SUM(IG61:II61)</f>
        <v>0</v>
      </c>
      <c r="IK61" s="54"/>
      <c r="IL61" s="56"/>
      <c r="IM61" s="56"/>
      <c r="IN61" s="54"/>
      <c r="IO61" s="18">
        <f t="shared" ref="IO61:IO68" si="770">SUM(IL61:IN61)</f>
        <v>0</v>
      </c>
      <c r="IP61" s="54"/>
      <c r="IQ61" s="54"/>
      <c r="IR61" s="54"/>
      <c r="IS61" s="54"/>
      <c r="IT61" s="18">
        <f t="shared" ref="IT61:IT68" si="771">SUM(IQ61:IS61)</f>
        <v>0</v>
      </c>
      <c r="IU61" s="56"/>
      <c r="IV61" s="56"/>
      <c r="IW61" s="56"/>
      <c r="IX61" s="55">
        <f t="shared" ref="IX61:IX68" si="772">SUM(IU61:IW61)</f>
        <v>0</v>
      </c>
      <c r="IY61" s="56"/>
      <c r="IZ61" s="56"/>
      <c r="JA61" s="56"/>
      <c r="JB61" s="55">
        <f t="shared" ref="JB61:JB68" si="773">SUM(IY61:JA61)</f>
        <v>0</v>
      </c>
      <c r="JC61" s="56"/>
      <c r="JD61" s="56"/>
      <c r="JE61" s="56"/>
      <c r="JF61" s="55">
        <f t="shared" ref="JF61" si="774">SUM(JC61:JE61)</f>
        <v>0</v>
      </c>
      <c r="JG61" s="54"/>
      <c r="JH61" s="54"/>
      <c r="JI61" s="54"/>
      <c r="JJ61" s="56"/>
      <c r="JK61" s="56"/>
      <c r="JL61" s="56"/>
      <c r="JM61" s="56"/>
      <c r="JN61" s="56"/>
      <c r="JO61" s="56"/>
      <c r="JP61" s="56"/>
      <c r="JQ61" s="56"/>
      <c r="JR61" s="56"/>
      <c r="JS61" s="56"/>
      <c r="JT61" s="56"/>
      <c r="JU61" s="54"/>
      <c r="JV61" s="54"/>
      <c r="JW61" s="54"/>
      <c r="JX61" s="54"/>
      <c r="JY61" s="54"/>
      <c r="JZ61" s="54"/>
      <c r="KA61" s="54"/>
      <c r="KB61" s="54"/>
      <c r="KC61" s="54"/>
      <c r="KD61" s="54"/>
      <c r="KE61" s="56"/>
      <c r="KF61" s="54"/>
      <c r="KG61" s="54"/>
      <c r="KH61" s="54"/>
      <c r="KI61" s="65"/>
      <c r="KJ61" s="54"/>
      <c r="KK61" s="54"/>
      <c r="KL61" s="54"/>
      <c r="KM61" s="56"/>
      <c r="KN61" s="60"/>
      <c r="KO61" s="54"/>
      <c r="KP61" s="54"/>
      <c r="KQ61" s="54"/>
      <c r="KR61" s="54"/>
      <c r="KS61" s="54"/>
      <c r="KT61" s="54"/>
      <c r="KU61" s="56"/>
      <c r="KV61" s="54"/>
      <c r="KW61" s="54"/>
      <c r="KX61" s="54"/>
      <c r="KY61" s="54"/>
      <c r="KZ61" s="55">
        <v>0</v>
      </c>
      <c r="LA61" s="56"/>
      <c r="LB61" s="56"/>
      <c r="LC61" s="54"/>
      <c r="LD61" s="55">
        <f t="shared" ref="LD61:LD68" si="775">SUM(LA61:LC61)</f>
        <v>0</v>
      </c>
      <c r="LE61" s="56"/>
      <c r="LF61" s="56"/>
      <c r="LG61" s="56"/>
      <c r="LH61" s="55">
        <f t="shared" ref="LH61:LH64" si="776">SUM(LE61:LG61)</f>
        <v>0</v>
      </c>
      <c r="LI61" s="56"/>
      <c r="LJ61" s="56"/>
      <c r="LK61" s="56"/>
      <c r="LL61" s="55">
        <f t="shared" ref="LL61:LL68" si="777">SUM(LI61:LK61)</f>
        <v>0</v>
      </c>
      <c r="LM61" s="54"/>
      <c r="LN61" s="54"/>
      <c r="LO61" s="54"/>
      <c r="LP61" s="55">
        <f t="shared" ref="LP61" si="778">SUM(LM61:LO61)</f>
        <v>0</v>
      </c>
      <c r="LQ61" s="54"/>
      <c r="LR61" s="54"/>
      <c r="LS61" s="54"/>
      <c r="LT61" s="55">
        <v>0</v>
      </c>
      <c r="LU61" s="66"/>
      <c r="LV61" s="66"/>
      <c r="LW61" s="66"/>
      <c r="LX61" s="67">
        <v>0</v>
      </c>
      <c r="LY61" s="56"/>
      <c r="LZ61" s="56"/>
      <c r="MA61" s="54"/>
      <c r="MB61" s="55">
        <f t="shared" ref="MB61" si="779">SUM(LY61:MA61)</f>
        <v>0</v>
      </c>
      <c r="MC61" s="68"/>
      <c r="MD61" s="18">
        <f t="shared" ref="MD61:MD68" si="780">MC61</f>
        <v>0</v>
      </c>
      <c r="ME61" s="68"/>
      <c r="MF61" s="18">
        <f t="shared" ref="MF61:MF68" si="781">ME61</f>
        <v>0</v>
      </c>
      <c r="MG61" s="68"/>
      <c r="MH61" s="55">
        <f t="shared" ref="MH61:MH68" si="782">MG61</f>
        <v>0</v>
      </c>
      <c r="MI61" s="68"/>
      <c r="MJ61" s="18">
        <f t="shared" ref="MJ61:MJ68" si="783">MI61</f>
        <v>0</v>
      </c>
      <c r="MK61" s="68"/>
      <c r="ML61" s="55">
        <v>0</v>
      </c>
      <c r="MM61" s="54"/>
      <c r="MN61" s="54"/>
      <c r="MO61" s="54"/>
      <c r="MP61" s="54"/>
      <c r="MQ61" s="68"/>
      <c r="MR61" s="69"/>
      <c r="MS61" s="69"/>
      <c r="MT61" s="69"/>
      <c r="MU61" s="69"/>
      <c r="MV61" s="69"/>
      <c r="MW61" s="70">
        <v>0</v>
      </c>
      <c r="MX61" s="54"/>
      <c r="MY61" s="54"/>
      <c r="MZ61" s="54"/>
      <c r="NA61" s="70">
        <v>0</v>
      </c>
      <c r="NB61" s="54"/>
      <c r="NC61" s="54"/>
      <c r="ND61" s="54"/>
      <c r="NE61" s="55">
        <f t="shared" ref="NE61" si="784">SUM(NB61:ND61)</f>
        <v>0</v>
      </c>
      <c r="NF61" s="54"/>
      <c r="NG61" s="54"/>
      <c r="NH61" s="54"/>
      <c r="NI61" s="55">
        <f t="shared" ref="NI61" si="785">SUM(NF61:NH61)</f>
        <v>0</v>
      </c>
      <c r="NJ61" s="54"/>
      <c r="NK61" s="54"/>
      <c r="NL61" s="54"/>
      <c r="NM61" s="55">
        <f t="shared" ref="NM61" si="786">SUM(NJ61:NL61)</f>
        <v>0</v>
      </c>
      <c r="NN61" s="54"/>
      <c r="NO61" s="54"/>
      <c r="NP61" s="54"/>
      <c r="NQ61" s="55">
        <f t="shared" ref="NQ61" si="787">SUM(NN61:NP61)</f>
        <v>0</v>
      </c>
      <c r="NR61" s="54"/>
      <c r="NS61" s="54"/>
      <c r="NT61" s="54"/>
      <c r="NU61" s="55">
        <f t="shared" ref="NU61" si="788">SUM(NR61:NT61)</f>
        <v>0</v>
      </c>
      <c r="NV61" s="71"/>
      <c r="NW61" s="71"/>
      <c r="NX61" s="71"/>
      <c r="NY61" s="20">
        <f t="shared" ref="NY61:NY76" si="789">SUM(NV61:NX61)</f>
        <v>0</v>
      </c>
      <c r="NZ61" s="71"/>
      <c r="OA61" s="71"/>
      <c r="OB61" s="71"/>
      <c r="OC61" s="71"/>
      <c r="OD61" s="72"/>
      <c r="OE61" s="72"/>
      <c r="OF61" s="72"/>
      <c r="OG61" s="72"/>
      <c r="OH61" s="72"/>
      <c r="OI61" s="72"/>
      <c r="OJ61" s="72"/>
      <c r="OK61" s="72"/>
      <c r="OL61" s="72"/>
      <c r="OM61" s="72"/>
      <c r="ON61" s="72"/>
      <c r="OO61" s="72"/>
      <c r="OP61" s="72"/>
      <c r="OQ61" s="72"/>
      <c r="OR61" s="72">
        <f t="shared" si="735"/>
        <v>0</v>
      </c>
      <c r="OS61" s="73"/>
      <c r="OT61" s="73"/>
      <c r="OU61" s="73"/>
      <c r="OV61" s="73"/>
      <c r="OW61" s="73"/>
      <c r="OX61" s="74">
        <v>0</v>
      </c>
      <c r="OY61" s="75"/>
      <c r="OZ61" s="75"/>
      <c r="PA61" s="75"/>
      <c r="PB61" s="76">
        <v>0</v>
      </c>
      <c r="PC61" s="75"/>
      <c r="PD61" s="75"/>
      <c r="PE61" s="75"/>
      <c r="PF61" s="76">
        <v>0</v>
      </c>
      <c r="PG61" s="75"/>
      <c r="PH61" s="75"/>
      <c r="PI61" s="75"/>
      <c r="PJ61" s="76">
        <v>0</v>
      </c>
      <c r="PK61" s="75"/>
      <c r="PL61" s="75"/>
      <c r="PM61" s="75"/>
      <c r="PN61" s="76">
        <v>0</v>
      </c>
      <c r="PO61" s="75"/>
      <c r="PP61" s="75"/>
      <c r="PQ61" s="75"/>
      <c r="PR61" s="76">
        <v>0</v>
      </c>
      <c r="PS61" s="75"/>
      <c r="PT61" s="75"/>
      <c r="PU61" s="75"/>
      <c r="PV61" s="76">
        <v>0</v>
      </c>
      <c r="PW61" s="75"/>
      <c r="PX61" s="75"/>
      <c r="PY61" s="75"/>
      <c r="PZ61" s="76">
        <v>0</v>
      </c>
      <c r="QA61" s="53"/>
      <c r="QB61" s="53"/>
      <c r="QC61" s="75"/>
      <c r="QD61" s="77"/>
      <c r="QE61" s="53"/>
      <c r="QF61" s="54"/>
      <c r="QG61" s="54"/>
      <c r="QH61" s="54"/>
      <c r="QI61" s="54"/>
      <c r="QJ61" s="54"/>
      <c r="QK61" s="54"/>
      <c r="QL61" s="55">
        <f t="shared" ref="QL61" si="790">SUM(QF61:QK61)</f>
        <v>0</v>
      </c>
      <c r="QM61" s="54"/>
      <c r="QN61" s="54"/>
      <c r="QO61" s="54"/>
      <c r="QP61" s="54"/>
      <c r="QQ61" s="54"/>
      <c r="QR61" s="54"/>
      <c r="QS61" s="55">
        <f t="shared" ref="QS61" si="791">SUM(QM61:QR61)</f>
        <v>0</v>
      </c>
      <c r="QT61" s="54"/>
      <c r="QU61" s="54"/>
      <c r="QV61" s="54"/>
      <c r="QW61" s="54"/>
      <c r="QX61" s="54"/>
      <c r="QY61" s="54"/>
      <c r="QZ61" s="55">
        <f t="shared" ref="QZ61" si="792">SUM(QT61:QY61)</f>
        <v>0</v>
      </c>
      <c r="RA61" s="54"/>
      <c r="RB61" s="54"/>
      <c r="RC61" s="54"/>
      <c r="RD61" s="54"/>
      <c r="RE61" s="54"/>
      <c r="RF61" s="54"/>
      <c r="RG61" s="55">
        <f t="shared" ref="RG61" si="793">SUM(RA61:RF61)</f>
        <v>0</v>
      </c>
      <c r="RH61" s="54"/>
      <c r="RI61" s="54"/>
      <c r="RJ61" s="54"/>
      <c r="RK61" s="54"/>
      <c r="RL61" s="54"/>
      <c r="RM61" s="54"/>
      <c r="RN61" s="55">
        <f t="shared" ref="RN61" si="794">SUM(RH61:RM61)</f>
        <v>0</v>
      </c>
      <c r="RO61" s="54"/>
      <c r="RP61" s="54"/>
      <c r="RQ61" s="54"/>
      <c r="RR61" s="54"/>
      <c r="RS61" s="54"/>
      <c r="RT61" s="54"/>
      <c r="RU61" s="55">
        <f t="shared" ref="RU61" si="795">SUM(RO61:RT61)</f>
        <v>0</v>
      </c>
      <c r="RV61" s="54"/>
      <c r="RW61" s="56"/>
      <c r="RX61" s="56"/>
      <c r="RY61" s="56"/>
      <c r="RZ61" s="54"/>
      <c r="SA61" s="54"/>
      <c r="SB61" s="54"/>
      <c r="SC61" s="70">
        <f t="shared" ref="SC61" si="796">SUM(RZ61:SB61)</f>
        <v>0</v>
      </c>
      <c r="SD61" s="54"/>
      <c r="SE61" s="54"/>
      <c r="SF61" s="54"/>
      <c r="SG61" s="70">
        <f t="shared" ref="SG61" si="797">SUM(SE61:SF61)</f>
        <v>0</v>
      </c>
      <c r="SH61" s="54"/>
      <c r="SI61" s="54"/>
      <c r="SJ61" s="54"/>
      <c r="SK61" s="54"/>
      <c r="SL61" s="54"/>
      <c r="SM61" s="58"/>
      <c r="SN61" s="70">
        <f t="shared" ref="SN61" si="798">SUM(SK61:SM61)</f>
        <v>0</v>
      </c>
      <c r="SO61" s="54"/>
      <c r="SP61" s="54"/>
      <c r="SQ61" s="54"/>
      <c r="SR61" s="70">
        <f t="shared" ref="SR61" si="799">SUM(SP61:SQ61)</f>
        <v>0</v>
      </c>
      <c r="SS61" s="54"/>
      <c r="ST61" s="54"/>
      <c r="SU61" s="70">
        <f t="shared" ref="SU61" si="800">SUM(SS61:ST61)</f>
        <v>0</v>
      </c>
      <c r="SV61" s="54"/>
      <c r="SW61" s="54"/>
      <c r="SX61" s="70">
        <f t="shared" ref="SX61" si="801">SUM(SV61:SW61)</f>
        <v>0</v>
      </c>
      <c r="SY61" s="54"/>
      <c r="SZ61" s="54"/>
      <c r="TA61" s="70">
        <f t="shared" ref="TA61" si="802">SUM(SY61:SZ61)</f>
        <v>0</v>
      </c>
      <c r="TB61" s="54"/>
      <c r="TC61" s="60"/>
      <c r="TD61" s="61"/>
      <c r="TE61" s="60"/>
      <c r="TF61" s="56"/>
      <c r="TG61" s="56"/>
      <c r="TH61" s="75"/>
      <c r="TI61" s="75"/>
      <c r="TJ61" s="75"/>
      <c r="TK61" s="75"/>
      <c r="TL61" s="75"/>
      <c r="TM61" s="37"/>
      <c r="TN61" s="37"/>
      <c r="TO61" s="37"/>
      <c r="TP61" s="56"/>
      <c r="TQ61" s="56"/>
      <c r="TR61" s="56"/>
      <c r="TS61" s="73"/>
      <c r="TT61" s="73"/>
      <c r="TU61" s="73"/>
      <c r="TV61" s="78"/>
      <c r="TW61" s="79"/>
      <c r="TX61" s="79"/>
      <c r="TY61" s="79"/>
      <c r="TZ61" s="80"/>
      <c r="UA61" s="81"/>
      <c r="UB61" s="82"/>
      <c r="UC61" s="83"/>
    </row>
    <row r="62" spans="1:549" s="4" customFormat="1" hidden="1" x14ac:dyDescent="0.25">
      <c r="A62" s="49">
        <v>120305301</v>
      </c>
      <c r="B62" s="50">
        <v>355</v>
      </c>
      <c r="C62" s="51"/>
      <c r="D62" s="84"/>
      <c r="E62" s="53"/>
      <c r="F62" s="85"/>
      <c r="G62" s="85"/>
      <c r="H62" s="55">
        <v>0</v>
      </c>
      <c r="I62" s="86"/>
      <c r="J62" s="85"/>
      <c r="K62" s="85"/>
      <c r="L62" s="55">
        <v>0</v>
      </c>
      <c r="M62" s="87"/>
      <c r="N62" s="87"/>
      <c r="O62" s="55">
        <v>0</v>
      </c>
      <c r="P62" s="87"/>
      <c r="Q62" s="86"/>
      <c r="R62" s="86"/>
      <c r="S62" s="86"/>
      <c r="T62" s="55">
        <f t="shared" si="747"/>
        <v>0</v>
      </c>
      <c r="U62" s="85"/>
      <c r="V62" s="85"/>
      <c r="W62" s="85"/>
      <c r="X62" s="55">
        <v>0</v>
      </c>
      <c r="Y62" s="85"/>
      <c r="Z62" s="85"/>
      <c r="AA62" s="55">
        <v>0</v>
      </c>
      <c r="AB62" s="85"/>
      <c r="AC62" s="85"/>
      <c r="AD62" s="55">
        <v>0</v>
      </c>
      <c r="AE62" s="85"/>
      <c r="AF62" s="86"/>
      <c r="AG62" s="86"/>
      <c r="AH62" s="55">
        <f t="shared" si="750"/>
        <v>0</v>
      </c>
      <c r="AI62" s="85"/>
      <c r="AJ62" s="86"/>
      <c r="AK62" s="86"/>
      <c r="AL62" s="55">
        <f t="shared" si="751"/>
        <v>0</v>
      </c>
      <c r="AM62" s="85"/>
      <c r="AN62" s="86"/>
      <c r="AO62" s="86"/>
      <c r="AP62" s="55">
        <v>0</v>
      </c>
      <c r="AQ62" s="85"/>
      <c r="AR62" s="85"/>
      <c r="AS62" s="85"/>
      <c r="AT62" s="85"/>
      <c r="AU62" s="55">
        <v>0</v>
      </c>
      <c r="AV62" s="85"/>
      <c r="AW62" s="85"/>
      <c r="AX62" s="86"/>
      <c r="AY62" s="86"/>
      <c r="AZ62" s="88"/>
      <c r="BA62" s="88"/>
      <c r="BB62" s="85"/>
      <c r="BC62" s="85"/>
      <c r="BD62" s="55">
        <v>0</v>
      </c>
      <c r="BE62" s="85"/>
      <c r="BF62" s="86"/>
      <c r="BG62" s="86"/>
      <c r="BH62" s="86"/>
      <c r="BI62" s="86"/>
      <c r="BJ62" s="85"/>
      <c r="BK62" s="86"/>
      <c r="BL62" s="55">
        <v>0</v>
      </c>
      <c r="BM62" s="85"/>
      <c r="BN62" s="86"/>
      <c r="BO62" s="85"/>
      <c r="BP62" s="85"/>
      <c r="BQ62" s="85"/>
      <c r="BR62" s="86"/>
      <c r="BS62" s="55">
        <v>0</v>
      </c>
      <c r="BT62" s="85"/>
      <c r="BU62" s="85"/>
      <c r="BV62" s="85"/>
      <c r="BW62" s="55">
        <v>0</v>
      </c>
      <c r="BX62" s="85"/>
      <c r="BY62" s="85"/>
      <c r="BZ62" s="55">
        <v>0</v>
      </c>
      <c r="CA62" s="85"/>
      <c r="CB62" s="85"/>
      <c r="CC62" s="55">
        <v>0</v>
      </c>
      <c r="CD62" s="85"/>
      <c r="CE62" s="85"/>
      <c r="CF62" s="86"/>
      <c r="CG62" s="86"/>
      <c r="CH62" s="86"/>
      <c r="CI62" s="85"/>
      <c r="CJ62" s="85"/>
      <c r="CK62" s="85"/>
      <c r="CL62" s="55">
        <v>0</v>
      </c>
      <c r="CM62" s="86"/>
      <c r="CN62" s="86"/>
      <c r="CO62" s="85"/>
      <c r="CP62" s="85"/>
      <c r="CQ62" s="55">
        <v>0</v>
      </c>
      <c r="CR62" s="85"/>
      <c r="CS62" s="85"/>
      <c r="CT62" s="85"/>
      <c r="CU62" s="85"/>
      <c r="CV62" s="85"/>
      <c r="CW62" s="85"/>
      <c r="CX62" s="18">
        <f t="shared" si="755"/>
        <v>0</v>
      </c>
      <c r="CY62" s="85"/>
      <c r="CZ62" s="85"/>
      <c r="DA62" s="85"/>
      <c r="DB62" s="18">
        <f t="shared" si="756"/>
        <v>0</v>
      </c>
      <c r="DC62" s="85"/>
      <c r="DD62" s="85"/>
      <c r="DE62" s="18">
        <f t="shared" si="757"/>
        <v>0</v>
      </c>
      <c r="DF62" s="85"/>
      <c r="DG62" s="85"/>
      <c r="DH62" s="55">
        <v>0</v>
      </c>
      <c r="DI62" s="85"/>
      <c r="DJ62" s="85"/>
      <c r="DK62" s="55">
        <v>0</v>
      </c>
      <c r="DL62" s="85"/>
      <c r="DM62" s="85"/>
      <c r="DN62" s="89"/>
      <c r="DO62" s="85"/>
      <c r="DP62" s="85"/>
      <c r="DQ62" s="86"/>
      <c r="DR62" s="86"/>
      <c r="DS62" s="86"/>
      <c r="DT62" s="85"/>
      <c r="DU62" s="85"/>
      <c r="DV62" s="85"/>
      <c r="DW62" s="55">
        <v>0</v>
      </c>
      <c r="DX62" s="86"/>
      <c r="DY62" s="85"/>
      <c r="DZ62" s="85"/>
      <c r="EA62" s="55">
        <v>0</v>
      </c>
      <c r="EB62" s="85"/>
      <c r="EC62" s="85"/>
      <c r="ED62" s="85"/>
      <c r="EE62" s="85"/>
      <c r="EF62" s="85"/>
      <c r="EG62" s="85"/>
      <c r="EH62" s="55">
        <v>0</v>
      </c>
      <c r="EI62" s="85"/>
      <c r="EJ62" s="85"/>
      <c r="EK62" s="85"/>
      <c r="EL62" s="55">
        <v>0</v>
      </c>
      <c r="EM62" s="85"/>
      <c r="EN62" s="85"/>
      <c r="EO62" s="55">
        <v>0</v>
      </c>
      <c r="EP62" s="85"/>
      <c r="EQ62" s="85"/>
      <c r="ER62" s="55">
        <v>0</v>
      </c>
      <c r="ES62" s="85"/>
      <c r="ET62" s="85"/>
      <c r="EU62" s="55">
        <v>0</v>
      </c>
      <c r="EV62" s="85"/>
      <c r="EW62" s="85"/>
      <c r="EX62" s="85"/>
      <c r="EY62" s="85"/>
      <c r="EZ62" s="85"/>
      <c r="FA62" s="86"/>
      <c r="FB62" s="86"/>
      <c r="FC62" s="86"/>
      <c r="FD62" s="85"/>
      <c r="FE62" s="85"/>
      <c r="FF62" s="85"/>
      <c r="FG62" s="55">
        <v>0</v>
      </c>
      <c r="FH62" s="85"/>
      <c r="FI62" s="85"/>
      <c r="FJ62" s="85"/>
      <c r="FK62" s="55">
        <v>0</v>
      </c>
      <c r="FL62" s="85"/>
      <c r="FM62" s="85"/>
      <c r="FN62" s="85"/>
      <c r="FO62" s="85"/>
      <c r="FP62" s="85"/>
      <c r="FQ62" s="85"/>
      <c r="FR62" s="55">
        <v>0</v>
      </c>
      <c r="FS62" s="85"/>
      <c r="FT62" s="85"/>
      <c r="FU62" s="85"/>
      <c r="FV62" s="55">
        <v>0</v>
      </c>
      <c r="FW62" s="85"/>
      <c r="FX62" s="85"/>
      <c r="FY62" s="55">
        <v>0</v>
      </c>
      <c r="FZ62" s="85"/>
      <c r="GA62" s="85"/>
      <c r="GB62" s="55">
        <v>0</v>
      </c>
      <c r="GC62" s="85"/>
      <c r="GD62" s="85"/>
      <c r="GE62" s="55">
        <v>0</v>
      </c>
      <c r="GF62" s="85"/>
      <c r="GG62" s="60">
        <v>0</v>
      </c>
      <c r="GH62" s="61"/>
      <c r="GI62" s="60"/>
      <c r="GJ62" s="86"/>
      <c r="GK62" s="62"/>
      <c r="GL62" s="62"/>
      <c r="GM62" s="62"/>
      <c r="GN62" s="63">
        <v>0</v>
      </c>
      <c r="GO62" s="85"/>
      <c r="GP62" s="85"/>
      <c r="GQ62" s="85"/>
      <c r="GR62" s="55">
        <v>0</v>
      </c>
      <c r="GS62" s="85"/>
      <c r="GT62" s="85"/>
      <c r="GU62" s="85"/>
      <c r="GV62" s="85"/>
      <c r="GW62" s="55">
        <v>0</v>
      </c>
      <c r="GX62" s="85"/>
      <c r="GY62" s="86"/>
      <c r="GZ62" s="86"/>
      <c r="HA62" s="85"/>
      <c r="HB62" s="55">
        <v>0</v>
      </c>
      <c r="HC62" s="85"/>
      <c r="HD62" s="86"/>
      <c r="HE62" s="86"/>
      <c r="HF62" s="86"/>
      <c r="HG62" s="55">
        <v>0</v>
      </c>
      <c r="HH62" s="85"/>
      <c r="HI62" s="86"/>
      <c r="HJ62" s="85"/>
      <c r="HK62" s="85"/>
      <c r="HL62" s="55">
        <v>0</v>
      </c>
      <c r="HM62" s="85"/>
      <c r="HN62" s="86"/>
      <c r="HO62" s="85"/>
      <c r="HP62" s="86"/>
      <c r="HQ62" s="55">
        <v>0</v>
      </c>
      <c r="HR62" s="85"/>
      <c r="HS62" s="64"/>
      <c r="HT62" s="64"/>
      <c r="HU62" s="64"/>
      <c r="HV62" s="63">
        <v>0</v>
      </c>
      <c r="HW62" s="85"/>
      <c r="HX62" s="85"/>
      <c r="HY62" s="85"/>
      <c r="HZ62" s="55">
        <v>0</v>
      </c>
      <c r="IA62" s="85"/>
      <c r="IB62" s="56"/>
      <c r="IC62" s="85"/>
      <c r="ID62" s="85"/>
      <c r="IE62" s="55">
        <v>0</v>
      </c>
      <c r="IF62" s="85"/>
      <c r="IG62" s="56"/>
      <c r="IH62" s="56"/>
      <c r="II62" s="56"/>
      <c r="IJ62" s="55">
        <v>0</v>
      </c>
      <c r="IK62" s="85"/>
      <c r="IL62" s="56"/>
      <c r="IM62" s="56"/>
      <c r="IN62" s="85"/>
      <c r="IO62" s="18">
        <f t="shared" si="770"/>
        <v>0</v>
      </c>
      <c r="IP62" s="85"/>
      <c r="IQ62" s="85"/>
      <c r="IR62" s="85"/>
      <c r="IS62" s="85"/>
      <c r="IT62" s="18">
        <f t="shared" si="771"/>
        <v>0</v>
      </c>
      <c r="IU62" s="86"/>
      <c r="IV62" s="86"/>
      <c r="IW62" s="86"/>
      <c r="IX62" s="55">
        <f t="shared" si="772"/>
        <v>0</v>
      </c>
      <c r="IY62" s="86"/>
      <c r="IZ62" s="86"/>
      <c r="JA62" s="86"/>
      <c r="JB62" s="55">
        <f t="shared" si="773"/>
        <v>0</v>
      </c>
      <c r="JC62" s="86"/>
      <c r="JD62" s="86"/>
      <c r="JE62" s="86"/>
      <c r="JF62" s="55">
        <v>0</v>
      </c>
      <c r="JG62" s="85"/>
      <c r="JH62" s="85"/>
      <c r="JI62" s="85"/>
      <c r="JJ62" s="86"/>
      <c r="JK62" s="86"/>
      <c r="JL62" s="86"/>
      <c r="JM62" s="86"/>
      <c r="JN62" s="86"/>
      <c r="JO62" s="86"/>
      <c r="JP62" s="86"/>
      <c r="JQ62" s="86"/>
      <c r="JR62" s="86"/>
      <c r="JS62" s="86"/>
      <c r="JT62" s="86"/>
      <c r="JU62" s="85"/>
      <c r="JV62" s="85"/>
      <c r="JW62" s="85"/>
      <c r="JX62" s="85"/>
      <c r="JY62" s="85"/>
      <c r="JZ62" s="85"/>
      <c r="KA62" s="85"/>
      <c r="KB62" s="85"/>
      <c r="KC62" s="85"/>
      <c r="KD62" s="85"/>
      <c r="KE62" s="86"/>
      <c r="KF62" s="85"/>
      <c r="KG62" s="85"/>
      <c r="KH62" s="85"/>
      <c r="KI62" s="65"/>
      <c r="KJ62" s="85"/>
      <c r="KK62" s="85"/>
      <c r="KL62" s="85"/>
      <c r="KM62" s="86"/>
      <c r="KN62" s="60"/>
      <c r="KO62" s="85"/>
      <c r="KP62" s="85"/>
      <c r="KQ62" s="85"/>
      <c r="KR62" s="85"/>
      <c r="KS62" s="85"/>
      <c r="KT62" s="85"/>
      <c r="KU62" s="86"/>
      <c r="KV62" s="85"/>
      <c r="KW62" s="85"/>
      <c r="KX62" s="85"/>
      <c r="KY62" s="85"/>
      <c r="KZ62" s="55">
        <v>0</v>
      </c>
      <c r="LA62" s="86"/>
      <c r="LB62" s="86"/>
      <c r="LC62" s="85"/>
      <c r="LD62" s="55">
        <f t="shared" si="775"/>
        <v>0</v>
      </c>
      <c r="LE62" s="86"/>
      <c r="LF62" s="86"/>
      <c r="LG62" s="86"/>
      <c r="LH62" s="55">
        <f t="shared" si="776"/>
        <v>0</v>
      </c>
      <c r="LI62" s="86"/>
      <c r="LJ62" s="86"/>
      <c r="LK62" s="86"/>
      <c r="LL62" s="55">
        <f t="shared" si="777"/>
        <v>0</v>
      </c>
      <c r="LM62" s="85"/>
      <c r="LN62" s="85"/>
      <c r="LO62" s="85"/>
      <c r="LP62" s="55">
        <v>0</v>
      </c>
      <c r="LQ62" s="85"/>
      <c r="LR62" s="85"/>
      <c r="LS62" s="85"/>
      <c r="LT62" s="55">
        <v>0</v>
      </c>
      <c r="LU62" s="66"/>
      <c r="LV62" s="66"/>
      <c r="LW62" s="66"/>
      <c r="LX62" s="67">
        <v>0</v>
      </c>
      <c r="LY62" s="86"/>
      <c r="LZ62" s="86"/>
      <c r="MA62" s="85"/>
      <c r="MB62" s="55">
        <v>0</v>
      </c>
      <c r="MC62" s="90"/>
      <c r="MD62" s="18">
        <f t="shared" si="780"/>
        <v>0</v>
      </c>
      <c r="ME62" s="90"/>
      <c r="MF62" s="18">
        <f t="shared" si="781"/>
        <v>0</v>
      </c>
      <c r="MG62" s="90"/>
      <c r="MH62" s="55">
        <f t="shared" si="782"/>
        <v>0</v>
      </c>
      <c r="MI62" s="90"/>
      <c r="MJ62" s="18">
        <f t="shared" si="783"/>
        <v>0</v>
      </c>
      <c r="MK62" s="90"/>
      <c r="ML62" s="55">
        <v>0</v>
      </c>
      <c r="MM62" s="85"/>
      <c r="MN62" s="85"/>
      <c r="MO62" s="85"/>
      <c r="MP62" s="85"/>
      <c r="MQ62" s="90"/>
      <c r="MR62" s="85"/>
      <c r="MS62" s="85"/>
      <c r="MT62" s="85"/>
      <c r="MU62" s="85"/>
      <c r="MV62" s="58"/>
      <c r="MW62" s="55">
        <v>0</v>
      </c>
      <c r="MX62" s="85"/>
      <c r="MY62" s="85"/>
      <c r="MZ62" s="85"/>
      <c r="NA62" s="55">
        <v>0</v>
      </c>
      <c r="NB62" s="85"/>
      <c r="NC62" s="85"/>
      <c r="ND62" s="85"/>
      <c r="NE62" s="55">
        <v>0</v>
      </c>
      <c r="NF62" s="85"/>
      <c r="NG62" s="85"/>
      <c r="NH62" s="85"/>
      <c r="NI62" s="55">
        <v>0</v>
      </c>
      <c r="NJ62" s="85"/>
      <c r="NK62" s="85"/>
      <c r="NL62" s="85"/>
      <c r="NM62" s="55">
        <v>0</v>
      </c>
      <c r="NN62" s="85"/>
      <c r="NO62" s="85"/>
      <c r="NP62" s="85"/>
      <c r="NQ62" s="55">
        <v>0</v>
      </c>
      <c r="NR62" s="85"/>
      <c r="NS62" s="85"/>
      <c r="NT62" s="85"/>
      <c r="NU62" s="55">
        <v>0</v>
      </c>
      <c r="NV62" s="71"/>
      <c r="NW62" s="71"/>
      <c r="NX62" s="71"/>
      <c r="NY62" s="20">
        <f t="shared" si="789"/>
        <v>0</v>
      </c>
      <c r="NZ62" s="71"/>
      <c r="OA62" s="71"/>
      <c r="OB62" s="71"/>
      <c r="OC62" s="71"/>
      <c r="OD62" s="72"/>
      <c r="OE62" s="72"/>
      <c r="OF62" s="72"/>
      <c r="OG62" s="72"/>
      <c r="OH62" s="72"/>
      <c r="OI62" s="72"/>
      <c r="OJ62" s="72"/>
      <c r="OK62" s="72"/>
      <c r="OL62" s="72"/>
      <c r="OM62" s="72"/>
      <c r="ON62" s="72"/>
      <c r="OO62" s="72"/>
      <c r="OP62" s="72"/>
      <c r="OQ62" s="72"/>
      <c r="OR62" s="72">
        <f t="shared" si="735"/>
        <v>0</v>
      </c>
      <c r="OS62" s="73"/>
      <c r="OT62" s="73"/>
      <c r="OU62" s="73"/>
      <c r="OV62" s="73"/>
      <c r="OW62" s="73"/>
      <c r="OX62" s="74">
        <v>0</v>
      </c>
      <c r="OY62" s="75"/>
      <c r="OZ62" s="75"/>
      <c r="PA62" s="75"/>
      <c r="PB62" s="76">
        <v>0</v>
      </c>
      <c r="PC62" s="75"/>
      <c r="PD62" s="75"/>
      <c r="PE62" s="75"/>
      <c r="PF62" s="76">
        <v>0</v>
      </c>
      <c r="PG62" s="75"/>
      <c r="PH62" s="75"/>
      <c r="PI62" s="75"/>
      <c r="PJ62" s="76">
        <v>0</v>
      </c>
      <c r="PK62" s="75"/>
      <c r="PL62" s="75"/>
      <c r="PM62" s="75"/>
      <c r="PN62" s="76">
        <v>0</v>
      </c>
      <c r="PO62" s="75"/>
      <c r="PP62" s="75"/>
      <c r="PQ62" s="75"/>
      <c r="PR62" s="76">
        <v>0</v>
      </c>
      <c r="PS62" s="75"/>
      <c r="PT62" s="75"/>
      <c r="PU62" s="75"/>
      <c r="PV62" s="76">
        <v>0</v>
      </c>
      <c r="PW62" s="75"/>
      <c r="PX62" s="75"/>
      <c r="PY62" s="75"/>
      <c r="PZ62" s="76">
        <v>0</v>
      </c>
      <c r="QA62" s="87"/>
      <c r="QB62" s="87"/>
      <c r="QC62" s="75"/>
      <c r="QD62" s="77"/>
      <c r="QE62" s="87"/>
      <c r="QF62" s="85"/>
      <c r="QG62" s="85"/>
      <c r="QH62" s="85"/>
      <c r="QI62" s="85"/>
      <c r="QJ62" s="85"/>
      <c r="QK62" s="85"/>
      <c r="QL62" s="55">
        <v>0</v>
      </c>
      <c r="QM62" s="85"/>
      <c r="QN62" s="85"/>
      <c r="QO62" s="85"/>
      <c r="QP62" s="85"/>
      <c r="QQ62" s="85"/>
      <c r="QR62" s="85"/>
      <c r="QS62" s="55">
        <v>0</v>
      </c>
      <c r="QT62" s="85"/>
      <c r="QU62" s="85"/>
      <c r="QV62" s="85"/>
      <c r="QW62" s="85"/>
      <c r="QX62" s="85"/>
      <c r="QY62" s="85"/>
      <c r="QZ62" s="55">
        <v>0</v>
      </c>
      <c r="RA62" s="85"/>
      <c r="RB62" s="85"/>
      <c r="RC62" s="85"/>
      <c r="RD62" s="85"/>
      <c r="RE62" s="85"/>
      <c r="RF62" s="85"/>
      <c r="RG62" s="55">
        <v>0</v>
      </c>
      <c r="RH62" s="85"/>
      <c r="RI62" s="85"/>
      <c r="RJ62" s="85"/>
      <c r="RK62" s="85"/>
      <c r="RL62" s="85"/>
      <c r="RM62" s="85"/>
      <c r="RN62" s="55">
        <v>0</v>
      </c>
      <c r="RO62" s="85"/>
      <c r="RP62" s="85"/>
      <c r="RQ62" s="85"/>
      <c r="RR62" s="85"/>
      <c r="RS62" s="85"/>
      <c r="RT62" s="85"/>
      <c r="RU62" s="55">
        <v>0</v>
      </c>
      <c r="RV62" s="85"/>
      <c r="RW62" s="86"/>
      <c r="RX62" s="86"/>
      <c r="RY62" s="86"/>
      <c r="RZ62" s="85"/>
      <c r="SA62" s="85"/>
      <c r="SB62" s="85"/>
      <c r="SC62" s="55">
        <v>0</v>
      </c>
      <c r="SD62" s="85"/>
      <c r="SE62" s="85"/>
      <c r="SF62" s="85"/>
      <c r="SG62" s="55">
        <v>0</v>
      </c>
      <c r="SH62" s="85"/>
      <c r="SI62" s="85"/>
      <c r="SJ62" s="85"/>
      <c r="SK62" s="85"/>
      <c r="SL62" s="85"/>
      <c r="SM62" s="85"/>
      <c r="SN62" s="55">
        <v>0</v>
      </c>
      <c r="SO62" s="85"/>
      <c r="SP62" s="85"/>
      <c r="SQ62" s="85"/>
      <c r="SR62" s="55">
        <v>0</v>
      </c>
      <c r="SS62" s="85"/>
      <c r="ST62" s="85"/>
      <c r="SU62" s="55">
        <v>0</v>
      </c>
      <c r="SV62" s="85"/>
      <c r="SW62" s="85"/>
      <c r="SX62" s="55">
        <v>0</v>
      </c>
      <c r="SY62" s="85"/>
      <c r="SZ62" s="85"/>
      <c r="TA62" s="55">
        <v>0</v>
      </c>
      <c r="TB62" s="85"/>
      <c r="TC62" s="60"/>
      <c r="TD62" s="61"/>
      <c r="TE62" s="60"/>
      <c r="TF62" s="86"/>
      <c r="TG62" s="86"/>
      <c r="TH62" s="75"/>
      <c r="TI62" s="75"/>
      <c r="TJ62" s="75"/>
      <c r="TK62" s="75"/>
      <c r="TL62" s="75"/>
      <c r="TM62" s="37"/>
      <c r="TN62" s="37"/>
      <c r="TO62" s="37"/>
      <c r="TP62" s="86"/>
      <c r="TQ62" s="86"/>
      <c r="TR62" s="86"/>
      <c r="TS62" s="73"/>
      <c r="TT62" s="73"/>
      <c r="TU62" s="73"/>
      <c r="TV62" s="78"/>
      <c r="TW62" s="79"/>
      <c r="TX62" s="79"/>
      <c r="TY62" s="79"/>
      <c r="TZ62" s="80"/>
      <c r="UA62" s="81"/>
      <c r="UB62" s="82"/>
      <c r="UC62" s="83"/>
    </row>
    <row r="63" spans="1:549" s="4" customFormat="1" ht="15.75" hidden="1" x14ac:dyDescent="0.25">
      <c r="A63" s="91">
        <v>120305302</v>
      </c>
      <c r="B63" s="92">
        <v>356</v>
      </c>
      <c r="C63" s="93"/>
      <c r="D63" s="52"/>
      <c r="E63" s="53"/>
      <c r="F63" s="54"/>
      <c r="G63" s="54"/>
      <c r="H63" s="55">
        <v>0</v>
      </c>
      <c r="I63" s="94"/>
      <c r="J63" s="54"/>
      <c r="K63" s="54"/>
      <c r="L63" s="55">
        <v>0</v>
      </c>
      <c r="M63" s="95"/>
      <c r="N63" s="95"/>
      <c r="O63" s="55">
        <v>0</v>
      </c>
      <c r="P63" s="95"/>
      <c r="Q63" s="94"/>
      <c r="R63" s="94"/>
      <c r="S63" s="94"/>
      <c r="T63" s="55">
        <f t="shared" si="747"/>
        <v>0</v>
      </c>
      <c r="U63" s="54"/>
      <c r="V63" s="54"/>
      <c r="W63" s="54"/>
      <c r="X63" s="55">
        <v>0</v>
      </c>
      <c r="Y63" s="54"/>
      <c r="Z63" s="54"/>
      <c r="AA63" s="55">
        <v>0</v>
      </c>
      <c r="AB63" s="54"/>
      <c r="AC63" s="54"/>
      <c r="AD63" s="55">
        <v>0</v>
      </c>
      <c r="AE63" s="54"/>
      <c r="AF63" s="94"/>
      <c r="AG63" s="94"/>
      <c r="AH63" s="55">
        <f t="shared" si="750"/>
        <v>0</v>
      </c>
      <c r="AI63" s="54"/>
      <c r="AJ63" s="94"/>
      <c r="AK63" s="94"/>
      <c r="AL63" s="55">
        <f t="shared" si="751"/>
        <v>0</v>
      </c>
      <c r="AM63" s="54"/>
      <c r="AN63" s="94"/>
      <c r="AO63" s="94"/>
      <c r="AP63" s="55">
        <v>0</v>
      </c>
      <c r="AQ63" s="54"/>
      <c r="AR63" s="54"/>
      <c r="AS63" s="54"/>
      <c r="AT63" s="54"/>
      <c r="AU63" s="55">
        <v>0</v>
      </c>
      <c r="AV63" s="54"/>
      <c r="AW63" s="54"/>
      <c r="AX63" s="94"/>
      <c r="AY63" s="94"/>
      <c r="AZ63" s="96"/>
      <c r="BA63" s="96"/>
      <c r="BB63" s="54"/>
      <c r="BC63" s="54"/>
      <c r="BD63" s="55">
        <v>0</v>
      </c>
      <c r="BE63" s="54"/>
      <c r="BF63" s="94"/>
      <c r="BG63" s="94"/>
      <c r="BH63" s="94"/>
      <c r="BI63" s="94"/>
      <c r="BJ63" s="54"/>
      <c r="BK63" s="94"/>
      <c r="BL63" s="55">
        <v>0</v>
      </c>
      <c r="BM63" s="54"/>
      <c r="BN63" s="94"/>
      <c r="BO63" s="54"/>
      <c r="BP63" s="54"/>
      <c r="BQ63" s="54"/>
      <c r="BR63" s="94"/>
      <c r="BS63" s="55">
        <v>0</v>
      </c>
      <c r="BT63" s="54"/>
      <c r="BU63" s="54"/>
      <c r="BV63" s="54"/>
      <c r="BW63" s="55">
        <v>0</v>
      </c>
      <c r="BX63" s="54"/>
      <c r="BY63" s="54"/>
      <c r="BZ63" s="55">
        <v>0</v>
      </c>
      <c r="CA63" s="54"/>
      <c r="CB63" s="54"/>
      <c r="CC63" s="55">
        <v>0</v>
      </c>
      <c r="CD63" s="54"/>
      <c r="CE63" s="54"/>
      <c r="CF63" s="94"/>
      <c r="CG63" s="94"/>
      <c r="CH63" s="94"/>
      <c r="CI63" s="54"/>
      <c r="CJ63" s="54"/>
      <c r="CK63" s="54"/>
      <c r="CL63" s="55">
        <v>0</v>
      </c>
      <c r="CM63" s="94"/>
      <c r="CN63" s="94"/>
      <c r="CO63" s="54"/>
      <c r="CP63" s="54"/>
      <c r="CQ63" s="55">
        <v>0</v>
      </c>
      <c r="CR63" s="54"/>
      <c r="CS63" s="54"/>
      <c r="CT63" s="54"/>
      <c r="CU63" s="54"/>
      <c r="CV63" s="54"/>
      <c r="CW63" s="54"/>
      <c r="CX63" s="18">
        <f t="shared" si="755"/>
        <v>0</v>
      </c>
      <c r="CY63" s="54"/>
      <c r="CZ63" s="54"/>
      <c r="DA63" s="54"/>
      <c r="DB63" s="18">
        <f t="shared" si="756"/>
        <v>0</v>
      </c>
      <c r="DC63" s="54"/>
      <c r="DD63" s="54"/>
      <c r="DE63" s="18">
        <f t="shared" si="757"/>
        <v>0</v>
      </c>
      <c r="DF63" s="54"/>
      <c r="DG63" s="54"/>
      <c r="DH63" s="55">
        <v>0</v>
      </c>
      <c r="DI63" s="54"/>
      <c r="DJ63" s="54"/>
      <c r="DK63" s="55">
        <v>0</v>
      </c>
      <c r="DL63" s="54"/>
      <c r="DM63" s="54"/>
      <c r="DN63" s="97"/>
      <c r="DO63" s="54"/>
      <c r="DP63" s="54"/>
      <c r="DQ63" s="94"/>
      <c r="DR63" s="94"/>
      <c r="DS63" s="94"/>
      <c r="DT63" s="54"/>
      <c r="DU63" s="54"/>
      <c r="DV63" s="54"/>
      <c r="DW63" s="55">
        <v>0</v>
      </c>
      <c r="DX63" s="94"/>
      <c r="DY63" s="54"/>
      <c r="DZ63" s="54"/>
      <c r="EA63" s="55">
        <v>0</v>
      </c>
      <c r="EB63" s="54"/>
      <c r="EC63" s="54"/>
      <c r="ED63" s="54"/>
      <c r="EE63" s="54"/>
      <c r="EF63" s="54"/>
      <c r="EG63" s="54"/>
      <c r="EH63" s="55">
        <v>0</v>
      </c>
      <c r="EI63" s="54"/>
      <c r="EJ63" s="54"/>
      <c r="EK63" s="54"/>
      <c r="EL63" s="55">
        <v>0</v>
      </c>
      <c r="EM63" s="54"/>
      <c r="EN63" s="54"/>
      <c r="EO63" s="55">
        <v>0</v>
      </c>
      <c r="EP63" s="54"/>
      <c r="EQ63" s="54"/>
      <c r="ER63" s="55">
        <v>0</v>
      </c>
      <c r="ES63" s="54"/>
      <c r="ET63" s="54"/>
      <c r="EU63" s="55">
        <v>0</v>
      </c>
      <c r="EV63" s="54"/>
      <c r="EW63" s="54"/>
      <c r="EX63" s="54"/>
      <c r="EY63" s="54"/>
      <c r="EZ63" s="54"/>
      <c r="FA63" s="94"/>
      <c r="FB63" s="94"/>
      <c r="FC63" s="94"/>
      <c r="FD63" s="54"/>
      <c r="FE63" s="54"/>
      <c r="FF63" s="54"/>
      <c r="FG63" s="55">
        <v>0</v>
      </c>
      <c r="FH63" s="54"/>
      <c r="FI63" s="54"/>
      <c r="FJ63" s="54"/>
      <c r="FK63" s="55">
        <v>0</v>
      </c>
      <c r="FL63" s="54"/>
      <c r="FM63" s="54"/>
      <c r="FN63" s="54"/>
      <c r="FO63" s="54"/>
      <c r="FP63" s="54"/>
      <c r="FQ63" s="54"/>
      <c r="FR63" s="55">
        <v>0</v>
      </c>
      <c r="FS63" s="54"/>
      <c r="FT63" s="54"/>
      <c r="FU63" s="54"/>
      <c r="FV63" s="55">
        <v>0</v>
      </c>
      <c r="FW63" s="54"/>
      <c r="FX63" s="54"/>
      <c r="FY63" s="55">
        <v>0</v>
      </c>
      <c r="FZ63" s="54"/>
      <c r="GA63" s="54"/>
      <c r="GB63" s="55">
        <v>0</v>
      </c>
      <c r="GC63" s="54"/>
      <c r="GD63" s="54"/>
      <c r="GE63" s="55">
        <v>0</v>
      </c>
      <c r="GF63" s="54"/>
      <c r="GG63" s="98">
        <v>0</v>
      </c>
      <c r="GH63" s="99"/>
      <c r="GI63" s="98"/>
      <c r="GJ63" s="94"/>
      <c r="GK63" s="100"/>
      <c r="GL63" s="100"/>
      <c r="GM63" s="100"/>
      <c r="GN63" s="63">
        <v>0</v>
      </c>
      <c r="GO63" s="94"/>
      <c r="GP63" s="54"/>
      <c r="GQ63" s="54"/>
      <c r="GR63" s="55">
        <v>0</v>
      </c>
      <c r="GS63" s="54"/>
      <c r="GT63" s="54"/>
      <c r="GU63" s="54"/>
      <c r="GV63" s="54"/>
      <c r="GW63" s="55">
        <v>0</v>
      </c>
      <c r="GX63" s="54"/>
      <c r="GY63" s="94"/>
      <c r="GZ63" s="94"/>
      <c r="HA63" s="54"/>
      <c r="HB63" s="55">
        <v>0</v>
      </c>
      <c r="HC63" s="54"/>
      <c r="HD63" s="94"/>
      <c r="HE63" s="94"/>
      <c r="HF63" s="94"/>
      <c r="HG63" s="55">
        <v>0</v>
      </c>
      <c r="HH63" s="54"/>
      <c r="HI63" s="94"/>
      <c r="HJ63" s="54"/>
      <c r="HK63" s="54"/>
      <c r="HL63" s="55">
        <v>0</v>
      </c>
      <c r="HM63" s="54"/>
      <c r="HN63" s="94"/>
      <c r="HO63" s="54"/>
      <c r="HP63" s="101"/>
      <c r="HQ63" s="55">
        <v>0</v>
      </c>
      <c r="HR63" s="54"/>
      <c r="HS63" s="64"/>
      <c r="HT63" s="64"/>
      <c r="HU63" s="64"/>
      <c r="HV63" s="63">
        <v>0</v>
      </c>
      <c r="HW63" s="54"/>
      <c r="HX63" s="54"/>
      <c r="HY63" s="54"/>
      <c r="HZ63" s="55">
        <v>0</v>
      </c>
      <c r="IA63" s="54"/>
      <c r="IB63" s="94"/>
      <c r="IC63" s="54"/>
      <c r="ID63" s="54"/>
      <c r="IE63" s="55">
        <v>0</v>
      </c>
      <c r="IF63" s="54"/>
      <c r="IG63" s="94"/>
      <c r="IH63" s="94"/>
      <c r="II63" s="94"/>
      <c r="IJ63" s="55">
        <v>0</v>
      </c>
      <c r="IK63" s="54"/>
      <c r="IL63" s="94"/>
      <c r="IM63" s="94"/>
      <c r="IN63" s="54"/>
      <c r="IO63" s="18">
        <f t="shared" si="770"/>
        <v>0</v>
      </c>
      <c r="IP63" s="54"/>
      <c r="IQ63" s="94"/>
      <c r="IR63" s="54"/>
      <c r="IS63" s="54"/>
      <c r="IT63" s="18">
        <f t="shared" si="771"/>
        <v>0</v>
      </c>
      <c r="IU63" s="94"/>
      <c r="IV63" s="94"/>
      <c r="IW63" s="94"/>
      <c r="IX63" s="55">
        <f t="shared" si="772"/>
        <v>0</v>
      </c>
      <c r="IY63" s="94"/>
      <c r="IZ63" s="94"/>
      <c r="JA63" s="94"/>
      <c r="JB63" s="55">
        <f t="shared" si="773"/>
        <v>0</v>
      </c>
      <c r="JC63" s="94"/>
      <c r="JD63" s="94"/>
      <c r="JE63" s="94"/>
      <c r="JF63" s="55">
        <v>0</v>
      </c>
      <c r="JG63" s="54"/>
      <c r="JH63" s="54"/>
      <c r="JI63" s="54"/>
      <c r="JJ63" s="94"/>
      <c r="JK63" s="94"/>
      <c r="JL63" s="94"/>
      <c r="JM63" s="102"/>
      <c r="JN63" s="102"/>
      <c r="JO63" s="102"/>
      <c r="JP63" s="102"/>
      <c r="JQ63" s="102"/>
      <c r="JR63" s="94"/>
      <c r="JS63" s="94"/>
      <c r="JT63" s="94"/>
      <c r="JU63" s="54"/>
      <c r="JV63" s="54"/>
      <c r="JW63" s="54"/>
      <c r="JX63" s="54"/>
      <c r="JY63" s="54"/>
      <c r="JZ63" s="54"/>
      <c r="KA63" s="54"/>
      <c r="KB63" s="54"/>
      <c r="KC63" s="54"/>
      <c r="KD63" s="54"/>
      <c r="KE63" s="94"/>
      <c r="KF63" s="54"/>
      <c r="KG63" s="54"/>
      <c r="KH63" s="54"/>
      <c r="KI63" s="65"/>
      <c r="KJ63" s="54"/>
      <c r="KK63" s="54"/>
      <c r="KL63" s="54"/>
      <c r="KM63" s="94"/>
      <c r="KN63" s="98"/>
      <c r="KO63" s="54"/>
      <c r="KP63" s="54"/>
      <c r="KQ63" s="54"/>
      <c r="KR63" s="54"/>
      <c r="KS63" s="54"/>
      <c r="KT63" s="54"/>
      <c r="KU63" s="94"/>
      <c r="KV63" s="54"/>
      <c r="KW63" s="54"/>
      <c r="KX63" s="54"/>
      <c r="KY63" s="54"/>
      <c r="KZ63" s="55">
        <v>0</v>
      </c>
      <c r="LA63" s="94"/>
      <c r="LB63" s="94"/>
      <c r="LC63" s="54"/>
      <c r="LD63" s="55">
        <f t="shared" si="775"/>
        <v>0</v>
      </c>
      <c r="LE63" s="94"/>
      <c r="LF63" s="94"/>
      <c r="LG63" s="94"/>
      <c r="LH63" s="55">
        <f t="shared" si="776"/>
        <v>0</v>
      </c>
      <c r="LI63" s="94"/>
      <c r="LJ63" s="94"/>
      <c r="LK63" s="94"/>
      <c r="LL63" s="55">
        <f t="shared" si="777"/>
        <v>0</v>
      </c>
      <c r="LM63" s="54"/>
      <c r="LN63" s="54"/>
      <c r="LO63" s="54"/>
      <c r="LP63" s="55">
        <v>0</v>
      </c>
      <c r="LQ63" s="54"/>
      <c r="LR63" s="54"/>
      <c r="LS63" s="54"/>
      <c r="LT63" s="55">
        <v>0</v>
      </c>
      <c r="LU63" s="66"/>
      <c r="LV63" s="66"/>
      <c r="LW63" s="66"/>
      <c r="LX63" s="67">
        <v>0</v>
      </c>
      <c r="LY63" s="94"/>
      <c r="LZ63" s="94"/>
      <c r="MA63" s="54"/>
      <c r="MB63" s="55">
        <v>0</v>
      </c>
      <c r="MC63" s="103"/>
      <c r="MD63" s="18">
        <f t="shared" si="780"/>
        <v>0</v>
      </c>
      <c r="ME63" s="103"/>
      <c r="MF63" s="18">
        <f t="shared" si="781"/>
        <v>0</v>
      </c>
      <c r="MG63" s="103"/>
      <c r="MH63" s="55">
        <f t="shared" si="782"/>
        <v>0</v>
      </c>
      <c r="MI63" s="103"/>
      <c r="MJ63" s="18">
        <f t="shared" si="783"/>
        <v>0</v>
      </c>
      <c r="MK63" s="103"/>
      <c r="ML63" s="55">
        <v>0</v>
      </c>
      <c r="MM63" s="54"/>
      <c r="MN63" s="54"/>
      <c r="MO63" s="54"/>
      <c r="MP63" s="54"/>
      <c r="MQ63" s="103"/>
      <c r="MR63" s="54"/>
      <c r="MS63" s="54"/>
      <c r="MT63" s="54"/>
      <c r="MU63" s="54"/>
      <c r="MV63" s="54"/>
      <c r="MW63" s="70">
        <v>0</v>
      </c>
      <c r="MX63" s="54"/>
      <c r="MY63" s="54"/>
      <c r="MZ63" s="54"/>
      <c r="NA63" s="70">
        <v>0</v>
      </c>
      <c r="NB63" s="54"/>
      <c r="NC63" s="54"/>
      <c r="ND63" s="54"/>
      <c r="NE63" s="55">
        <v>0</v>
      </c>
      <c r="NF63" s="54"/>
      <c r="NG63" s="54"/>
      <c r="NH63" s="54"/>
      <c r="NI63" s="55">
        <v>0</v>
      </c>
      <c r="NJ63" s="54"/>
      <c r="NK63" s="54"/>
      <c r="NL63" s="54"/>
      <c r="NM63" s="55">
        <v>0</v>
      </c>
      <c r="NN63" s="54"/>
      <c r="NO63" s="54"/>
      <c r="NP63" s="54"/>
      <c r="NQ63" s="55">
        <v>0</v>
      </c>
      <c r="NR63" s="54"/>
      <c r="NS63" s="54"/>
      <c r="NT63" s="54"/>
      <c r="NU63" s="55">
        <v>0</v>
      </c>
      <c r="NV63" s="71"/>
      <c r="NW63" s="71"/>
      <c r="NX63" s="71"/>
      <c r="NY63" s="20">
        <f t="shared" si="789"/>
        <v>0</v>
      </c>
      <c r="NZ63" s="71"/>
      <c r="OA63" s="71"/>
      <c r="OB63" s="71"/>
      <c r="OC63" s="71"/>
      <c r="OD63" s="72"/>
      <c r="OE63" s="72"/>
      <c r="OF63" s="72"/>
      <c r="OG63" s="72"/>
      <c r="OH63" s="72"/>
      <c r="OI63" s="72"/>
      <c r="OJ63" s="72"/>
      <c r="OK63" s="72"/>
      <c r="OL63" s="72"/>
      <c r="OM63" s="72"/>
      <c r="ON63" s="72"/>
      <c r="OO63" s="72"/>
      <c r="OP63" s="72"/>
      <c r="OQ63" s="72"/>
      <c r="OR63" s="72">
        <f t="shared" si="735"/>
        <v>0</v>
      </c>
      <c r="OS63" s="73"/>
      <c r="OT63" s="73"/>
      <c r="OU63" s="73"/>
      <c r="OV63" s="73"/>
      <c r="OW63" s="73"/>
      <c r="OX63" s="74">
        <v>0</v>
      </c>
      <c r="OY63" s="75"/>
      <c r="OZ63" s="75"/>
      <c r="PA63" s="75"/>
      <c r="PB63" s="76">
        <v>0</v>
      </c>
      <c r="PC63" s="75"/>
      <c r="PD63" s="75"/>
      <c r="PE63" s="75"/>
      <c r="PF63" s="76">
        <v>0</v>
      </c>
      <c r="PG63" s="75"/>
      <c r="PH63" s="75"/>
      <c r="PI63" s="75"/>
      <c r="PJ63" s="76">
        <v>0</v>
      </c>
      <c r="PK63" s="75"/>
      <c r="PL63" s="75"/>
      <c r="PM63" s="75"/>
      <c r="PN63" s="76">
        <v>0</v>
      </c>
      <c r="PO63" s="75"/>
      <c r="PP63" s="75"/>
      <c r="PQ63" s="75"/>
      <c r="PR63" s="76">
        <v>0</v>
      </c>
      <c r="PS63" s="75"/>
      <c r="PT63" s="75"/>
      <c r="PU63" s="75"/>
      <c r="PV63" s="76">
        <v>0</v>
      </c>
      <c r="PW63" s="75"/>
      <c r="PX63" s="75"/>
      <c r="PY63" s="75"/>
      <c r="PZ63" s="76">
        <v>0</v>
      </c>
      <c r="QA63" s="95"/>
      <c r="QB63" s="95"/>
      <c r="QC63" s="75"/>
      <c r="QD63" s="77"/>
      <c r="QE63" s="95"/>
      <c r="QF63" s="54"/>
      <c r="QG63" s="54"/>
      <c r="QH63" s="54"/>
      <c r="QI63" s="54"/>
      <c r="QJ63" s="54"/>
      <c r="QK63" s="54"/>
      <c r="QL63" s="55">
        <v>0</v>
      </c>
      <c r="QM63" s="54"/>
      <c r="QN63" s="54"/>
      <c r="QO63" s="54"/>
      <c r="QP63" s="54"/>
      <c r="QQ63" s="54"/>
      <c r="QR63" s="54"/>
      <c r="QS63" s="55">
        <v>0</v>
      </c>
      <c r="QT63" s="54"/>
      <c r="QU63" s="54"/>
      <c r="QV63" s="54"/>
      <c r="QW63" s="54"/>
      <c r="QX63" s="54"/>
      <c r="QY63" s="54"/>
      <c r="QZ63" s="55">
        <v>0</v>
      </c>
      <c r="RA63" s="54"/>
      <c r="RB63" s="54"/>
      <c r="RC63" s="54"/>
      <c r="RD63" s="54"/>
      <c r="RE63" s="54"/>
      <c r="RF63" s="54"/>
      <c r="RG63" s="55">
        <v>0</v>
      </c>
      <c r="RH63" s="54"/>
      <c r="RI63" s="54"/>
      <c r="RJ63" s="54"/>
      <c r="RK63" s="54"/>
      <c r="RL63" s="54"/>
      <c r="RM63" s="54"/>
      <c r="RN63" s="55">
        <v>0</v>
      </c>
      <c r="RO63" s="54"/>
      <c r="RP63" s="54"/>
      <c r="RQ63" s="54"/>
      <c r="RR63" s="54"/>
      <c r="RS63" s="54"/>
      <c r="RT63" s="54"/>
      <c r="RU63" s="55">
        <v>0</v>
      </c>
      <c r="RV63" s="54"/>
      <c r="RW63" s="94"/>
      <c r="RX63" s="94"/>
      <c r="RY63" s="94"/>
      <c r="RZ63" s="54"/>
      <c r="SA63" s="54"/>
      <c r="SB63" s="54"/>
      <c r="SC63" s="70">
        <v>0</v>
      </c>
      <c r="SD63" s="54"/>
      <c r="SE63" s="54"/>
      <c r="SF63" s="54"/>
      <c r="SG63" s="70">
        <v>0</v>
      </c>
      <c r="SH63" s="54"/>
      <c r="SI63" s="54"/>
      <c r="SJ63" s="54"/>
      <c r="SK63" s="54"/>
      <c r="SL63" s="54"/>
      <c r="SM63" s="54"/>
      <c r="SN63" s="70">
        <v>0</v>
      </c>
      <c r="SO63" s="54"/>
      <c r="SP63" s="54"/>
      <c r="SQ63" s="54"/>
      <c r="SR63" s="70">
        <v>0</v>
      </c>
      <c r="SS63" s="54"/>
      <c r="ST63" s="54"/>
      <c r="SU63" s="70">
        <v>0</v>
      </c>
      <c r="SV63" s="54"/>
      <c r="SW63" s="54"/>
      <c r="SX63" s="70">
        <v>0</v>
      </c>
      <c r="SY63" s="54"/>
      <c r="SZ63" s="54"/>
      <c r="TA63" s="70">
        <v>0</v>
      </c>
      <c r="TB63" s="54"/>
      <c r="TC63" s="98"/>
      <c r="TD63" s="99"/>
      <c r="TE63" s="98"/>
      <c r="TF63" s="94"/>
      <c r="TG63" s="94"/>
      <c r="TH63" s="75"/>
      <c r="TI63" s="75"/>
      <c r="TJ63" s="75"/>
      <c r="TK63" s="75"/>
      <c r="TL63" s="75"/>
      <c r="TM63" s="37"/>
      <c r="TN63" s="37"/>
      <c r="TO63" s="37"/>
      <c r="TP63" s="94"/>
      <c r="TQ63" s="94"/>
      <c r="TR63" s="94"/>
      <c r="TS63" s="73"/>
      <c r="TT63" s="73"/>
      <c r="TU63" s="73"/>
      <c r="TV63" s="78"/>
      <c r="TW63" s="79"/>
      <c r="TX63" s="79"/>
      <c r="TY63" s="79"/>
      <c r="TZ63" s="80"/>
      <c r="UA63" s="81"/>
      <c r="UB63" s="82"/>
      <c r="UC63" s="83"/>
    </row>
    <row r="64" spans="1:549" s="4" customFormat="1" hidden="1" x14ac:dyDescent="0.25">
      <c r="A64" s="49">
        <v>120305303</v>
      </c>
      <c r="B64" s="50">
        <v>357</v>
      </c>
      <c r="C64" s="51"/>
      <c r="D64" s="104"/>
      <c r="E64" s="53"/>
      <c r="F64" s="85"/>
      <c r="G64" s="85"/>
      <c r="H64" s="55">
        <v>0</v>
      </c>
      <c r="I64" s="86"/>
      <c r="J64" s="85"/>
      <c r="K64" s="85"/>
      <c r="L64" s="55">
        <v>0</v>
      </c>
      <c r="M64" s="87"/>
      <c r="N64" s="87"/>
      <c r="O64" s="55">
        <v>0</v>
      </c>
      <c r="P64" s="87"/>
      <c r="Q64" s="86"/>
      <c r="R64" s="86"/>
      <c r="S64" s="86"/>
      <c r="T64" s="55">
        <f t="shared" si="747"/>
        <v>0</v>
      </c>
      <c r="U64" s="85"/>
      <c r="V64" s="85"/>
      <c r="W64" s="85"/>
      <c r="X64" s="55">
        <v>0</v>
      </c>
      <c r="Y64" s="85"/>
      <c r="Z64" s="85"/>
      <c r="AA64" s="55">
        <v>0</v>
      </c>
      <c r="AB64" s="85"/>
      <c r="AC64" s="85"/>
      <c r="AD64" s="55">
        <v>0</v>
      </c>
      <c r="AE64" s="85"/>
      <c r="AF64" s="86"/>
      <c r="AG64" s="86"/>
      <c r="AH64" s="55">
        <f t="shared" si="750"/>
        <v>0</v>
      </c>
      <c r="AI64" s="85"/>
      <c r="AJ64" s="86"/>
      <c r="AK64" s="86"/>
      <c r="AL64" s="55">
        <f t="shared" si="751"/>
        <v>0</v>
      </c>
      <c r="AM64" s="85"/>
      <c r="AN64" s="86"/>
      <c r="AO64" s="86"/>
      <c r="AP64" s="55">
        <v>0</v>
      </c>
      <c r="AQ64" s="85"/>
      <c r="AR64" s="85"/>
      <c r="AS64" s="85"/>
      <c r="AT64" s="85"/>
      <c r="AU64" s="55">
        <v>0</v>
      </c>
      <c r="AV64" s="85"/>
      <c r="AW64" s="85"/>
      <c r="AX64" s="86"/>
      <c r="AY64" s="86"/>
      <c r="AZ64" s="88"/>
      <c r="BA64" s="88"/>
      <c r="BB64" s="85"/>
      <c r="BC64" s="85"/>
      <c r="BD64" s="55">
        <v>0</v>
      </c>
      <c r="BE64" s="85"/>
      <c r="BF64" s="86"/>
      <c r="BG64" s="86"/>
      <c r="BH64" s="86"/>
      <c r="BI64" s="86"/>
      <c r="BJ64" s="85"/>
      <c r="BK64" s="86"/>
      <c r="BL64" s="55">
        <v>0</v>
      </c>
      <c r="BM64" s="85"/>
      <c r="BN64" s="86"/>
      <c r="BO64" s="85"/>
      <c r="BP64" s="85"/>
      <c r="BQ64" s="85"/>
      <c r="BR64" s="86"/>
      <c r="BS64" s="55">
        <v>0</v>
      </c>
      <c r="BT64" s="85"/>
      <c r="BU64" s="85"/>
      <c r="BV64" s="85"/>
      <c r="BW64" s="55">
        <v>0</v>
      </c>
      <c r="BX64" s="85"/>
      <c r="BY64" s="85"/>
      <c r="BZ64" s="55">
        <v>0</v>
      </c>
      <c r="CA64" s="85"/>
      <c r="CB64" s="85"/>
      <c r="CC64" s="55">
        <v>0</v>
      </c>
      <c r="CD64" s="85"/>
      <c r="CE64" s="85"/>
      <c r="CF64" s="86"/>
      <c r="CG64" s="86"/>
      <c r="CH64" s="86"/>
      <c r="CI64" s="85"/>
      <c r="CJ64" s="85"/>
      <c r="CK64" s="85"/>
      <c r="CL64" s="55">
        <v>0</v>
      </c>
      <c r="CM64" s="86"/>
      <c r="CN64" s="86"/>
      <c r="CO64" s="85"/>
      <c r="CP64" s="85"/>
      <c r="CQ64" s="55">
        <v>0</v>
      </c>
      <c r="CR64" s="85"/>
      <c r="CS64" s="85"/>
      <c r="CT64" s="85"/>
      <c r="CU64" s="85"/>
      <c r="CV64" s="85"/>
      <c r="CW64" s="85"/>
      <c r="CX64" s="18">
        <f t="shared" si="755"/>
        <v>0</v>
      </c>
      <c r="CY64" s="85"/>
      <c r="CZ64" s="85"/>
      <c r="DA64" s="85"/>
      <c r="DB64" s="18">
        <f t="shared" si="756"/>
        <v>0</v>
      </c>
      <c r="DC64" s="85"/>
      <c r="DD64" s="85"/>
      <c r="DE64" s="18">
        <f t="shared" si="757"/>
        <v>0</v>
      </c>
      <c r="DF64" s="85"/>
      <c r="DG64" s="85"/>
      <c r="DH64" s="55">
        <v>0</v>
      </c>
      <c r="DI64" s="85"/>
      <c r="DJ64" s="85"/>
      <c r="DK64" s="55">
        <v>0</v>
      </c>
      <c r="DL64" s="85"/>
      <c r="DM64" s="85"/>
      <c r="DN64" s="89"/>
      <c r="DO64" s="85"/>
      <c r="DP64" s="85"/>
      <c r="DQ64" s="86"/>
      <c r="DR64" s="86"/>
      <c r="DS64" s="86"/>
      <c r="DT64" s="85"/>
      <c r="DU64" s="85"/>
      <c r="DV64" s="85"/>
      <c r="DW64" s="55">
        <v>0</v>
      </c>
      <c r="DX64" s="86"/>
      <c r="DY64" s="85"/>
      <c r="DZ64" s="85"/>
      <c r="EA64" s="55">
        <v>0</v>
      </c>
      <c r="EB64" s="85"/>
      <c r="EC64" s="85"/>
      <c r="ED64" s="85"/>
      <c r="EE64" s="85"/>
      <c r="EF64" s="85"/>
      <c r="EG64" s="85"/>
      <c r="EH64" s="55">
        <v>0</v>
      </c>
      <c r="EI64" s="85"/>
      <c r="EJ64" s="85"/>
      <c r="EK64" s="85"/>
      <c r="EL64" s="55">
        <v>0</v>
      </c>
      <c r="EM64" s="85"/>
      <c r="EN64" s="85"/>
      <c r="EO64" s="55">
        <v>0</v>
      </c>
      <c r="EP64" s="85"/>
      <c r="EQ64" s="85"/>
      <c r="ER64" s="55">
        <v>0</v>
      </c>
      <c r="ES64" s="85"/>
      <c r="ET64" s="85"/>
      <c r="EU64" s="55">
        <v>0</v>
      </c>
      <c r="EV64" s="85"/>
      <c r="EW64" s="85"/>
      <c r="EX64" s="85"/>
      <c r="EY64" s="85"/>
      <c r="EZ64" s="85"/>
      <c r="FA64" s="86"/>
      <c r="FB64" s="86"/>
      <c r="FC64" s="86"/>
      <c r="FD64" s="85"/>
      <c r="FE64" s="85"/>
      <c r="FF64" s="85"/>
      <c r="FG64" s="55">
        <v>0</v>
      </c>
      <c r="FH64" s="85"/>
      <c r="FI64" s="85"/>
      <c r="FJ64" s="85"/>
      <c r="FK64" s="55">
        <v>0</v>
      </c>
      <c r="FL64" s="85"/>
      <c r="FM64" s="85"/>
      <c r="FN64" s="85"/>
      <c r="FO64" s="85"/>
      <c r="FP64" s="85"/>
      <c r="FQ64" s="85"/>
      <c r="FR64" s="55">
        <v>0</v>
      </c>
      <c r="FS64" s="85"/>
      <c r="FT64" s="85"/>
      <c r="FU64" s="85"/>
      <c r="FV64" s="55">
        <v>0</v>
      </c>
      <c r="FW64" s="85"/>
      <c r="FX64" s="85"/>
      <c r="FY64" s="55">
        <v>0</v>
      </c>
      <c r="FZ64" s="85"/>
      <c r="GA64" s="85"/>
      <c r="GB64" s="55">
        <v>0</v>
      </c>
      <c r="GC64" s="85"/>
      <c r="GD64" s="85"/>
      <c r="GE64" s="55">
        <v>0</v>
      </c>
      <c r="GF64" s="85"/>
      <c r="GG64" s="60">
        <v>0</v>
      </c>
      <c r="GH64" s="61"/>
      <c r="GI64" s="60"/>
      <c r="GJ64" s="86"/>
      <c r="GK64" s="62"/>
      <c r="GL64" s="62"/>
      <c r="GM64" s="62"/>
      <c r="GN64" s="63">
        <v>0</v>
      </c>
      <c r="GO64" s="86"/>
      <c r="GP64" s="85"/>
      <c r="GQ64" s="85"/>
      <c r="GR64" s="55">
        <v>0</v>
      </c>
      <c r="GS64" s="85"/>
      <c r="GT64" s="85"/>
      <c r="GU64" s="85"/>
      <c r="GV64" s="85"/>
      <c r="GW64" s="55">
        <v>0</v>
      </c>
      <c r="GX64" s="85"/>
      <c r="GY64" s="86"/>
      <c r="GZ64" s="86"/>
      <c r="HA64" s="85"/>
      <c r="HB64" s="55">
        <v>0</v>
      </c>
      <c r="HC64" s="85"/>
      <c r="HD64" s="86"/>
      <c r="HE64" s="86"/>
      <c r="HF64" s="86"/>
      <c r="HG64" s="55">
        <v>0</v>
      </c>
      <c r="HH64" s="85"/>
      <c r="HI64" s="86"/>
      <c r="HJ64" s="85"/>
      <c r="HK64" s="85"/>
      <c r="HL64" s="55">
        <v>0</v>
      </c>
      <c r="HM64" s="85"/>
      <c r="HN64" s="86"/>
      <c r="HO64" s="85"/>
      <c r="HP64" s="86"/>
      <c r="HQ64" s="55">
        <v>0</v>
      </c>
      <c r="HR64" s="85"/>
      <c r="HS64" s="64"/>
      <c r="HT64" s="64"/>
      <c r="HU64" s="64"/>
      <c r="HV64" s="63">
        <v>0</v>
      </c>
      <c r="HW64" s="85"/>
      <c r="HX64" s="85"/>
      <c r="HY64" s="85"/>
      <c r="HZ64" s="55">
        <v>0</v>
      </c>
      <c r="IA64" s="85"/>
      <c r="IB64" s="56"/>
      <c r="IC64" s="85"/>
      <c r="ID64" s="85"/>
      <c r="IE64" s="55">
        <v>0</v>
      </c>
      <c r="IF64" s="85"/>
      <c r="IG64" s="56"/>
      <c r="IH64" s="56"/>
      <c r="II64" s="56"/>
      <c r="IJ64" s="55">
        <v>0</v>
      </c>
      <c r="IK64" s="85"/>
      <c r="IL64" s="56"/>
      <c r="IM64" s="56"/>
      <c r="IN64" s="85"/>
      <c r="IO64" s="18">
        <f t="shared" si="770"/>
        <v>0</v>
      </c>
      <c r="IP64" s="85"/>
      <c r="IQ64" s="85"/>
      <c r="IR64" s="85"/>
      <c r="IS64" s="85"/>
      <c r="IT64" s="18">
        <f t="shared" si="771"/>
        <v>0</v>
      </c>
      <c r="IU64" s="86"/>
      <c r="IV64" s="56"/>
      <c r="IW64" s="56"/>
      <c r="IX64" s="55">
        <f t="shared" si="772"/>
        <v>0</v>
      </c>
      <c r="IY64" s="56"/>
      <c r="IZ64" s="56"/>
      <c r="JA64" s="56"/>
      <c r="JB64" s="55">
        <f t="shared" si="773"/>
        <v>0</v>
      </c>
      <c r="JC64" s="86"/>
      <c r="JD64" s="86"/>
      <c r="JE64" s="86"/>
      <c r="JF64" s="55">
        <v>0</v>
      </c>
      <c r="JG64" s="85"/>
      <c r="JH64" s="85"/>
      <c r="JI64" s="85"/>
      <c r="JJ64" s="86"/>
      <c r="JK64" s="86"/>
      <c r="JL64" s="86"/>
      <c r="JM64" s="86"/>
      <c r="JN64" s="86"/>
      <c r="JO64" s="86"/>
      <c r="JP64" s="86"/>
      <c r="JQ64" s="86"/>
      <c r="JR64" s="86"/>
      <c r="JS64" s="86"/>
      <c r="JT64" s="86"/>
      <c r="JU64" s="85"/>
      <c r="JV64" s="85"/>
      <c r="JW64" s="85"/>
      <c r="JX64" s="85"/>
      <c r="JY64" s="85"/>
      <c r="JZ64" s="85"/>
      <c r="KA64" s="85"/>
      <c r="KB64" s="85"/>
      <c r="KC64" s="85"/>
      <c r="KD64" s="85"/>
      <c r="KE64" s="86"/>
      <c r="KF64" s="85"/>
      <c r="KG64" s="85"/>
      <c r="KH64" s="85"/>
      <c r="KI64" s="65"/>
      <c r="KJ64" s="85"/>
      <c r="KK64" s="85"/>
      <c r="KL64" s="85"/>
      <c r="KM64" s="86"/>
      <c r="KN64" s="60"/>
      <c r="KO64" s="85"/>
      <c r="KP64" s="85"/>
      <c r="KQ64" s="85"/>
      <c r="KR64" s="85"/>
      <c r="KS64" s="85"/>
      <c r="KT64" s="85"/>
      <c r="KU64" s="86"/>
      <c r="KV64" s="85"/>
      <c r="KW64" s="85"/>
      <c r="KX64" s="85"/>
      <c r="KY64" s="85"/>
      <c r="KZ64" s="55">
        <v>0</v>
      </c>
      <c r="LA64" s="86"/>
      <c r="LB64" s="86"/>
      <c r="LC64" s="85"/>
      <c r="LD64" s="55">
        <f t="shared" si="775"/>
        <v>0</v>
      </c>
      <c r="LE64" s="86"/>
      <c r="LF64" s="86"/>
      <c r="LG64" s="86"/>
      <c r="LH64" s="55">
        <f t="shared" si="776"/>
        <v>0</v>
      </c>
      <c r="LI64" s="86"/>
      <c r="LJ64" s="86"/>
      <c r="LK64" s="86"/>
      <c r="LL64" s="55">
        <f t="shared" si="777"/>
        <v>0</v>
      </c>
      <c r="LM64" s="85"/>
      <c r="LN64" s="85"/>
      <c r="LO64" s="85"/>
      <c r="LP64" s="55">
        <v>0</v>
      </c>
      <c r="LQ64" s="85"/>
      <c r="LR64" s="85"/>
      <c r="LS64" s="85"/>
      <c r="LT64" s="55">
        <v>0</v>
      </c>
      <c r="LU64" s="66"/>
      <c r="LV64" s="66"/>
      <c r="LW64" s="66"/>
      <c r="LX64" s="67">
        <v>0</v>
      </c>
      <c r="LY64" s="86"/>
      <c r="LZ64" s="86"/>
      <c r="MA64" s="85"/>
      <c r="MB64" s="55">
        <v>0</v>
      </c>
      <c r="MC64" s="90"/>
      <c r="MD64" s="18">
        <f t="shared" si="780"/>
        <v>0</v>
      </c>
      <c r="ME64" s="90"/>
      <c r="MF64" s="18">
        <f t="shared" si="781"/>
        <v>0</v>
      </c>
      <c r="MG64" s="90"/>
      <c r="MH64" s="55">
        <f t="shared" si="782"/>
        <v>0</v>
      </c>
      <c r="MI64" s="90"/>
      <c r="MJ64" s="18">
        <f t="shared" si="783"/>
        <v>0</v>
      </c>
      <c r="MK64" s="90"/>
      <c r="ML64" s="55">
        <v>0</v>
      </c>
      <c r="MM64" s="85"/>
      <c r="MN64" s="85"/>
      <c r="MO64" s="85"/>
      <c r="MP64" s="85"/>
      <c r="MQ64" s="90"/>
      <c r="MR64" s="85"/>
      <c r="MS64" s="85"/>
      <c r="MT64" s="85"/>
      <c r="MU64" s="85"/>
      <c r="MV64" s="85"/>
      <c r="MW64" s="55">
        <v>0</v>
      </c>
      <c r="MX64" s="85"/>
      <c r="MY64" s="85"/>
      <c r="MZ64" s="85"/>
      <c r="NA64" s="55">
        <v>0</v>
      </c>
      <c r="NB64" s="85"/>
      <c r="NC64" s="85"/>
      <c r="ND64" s="85"/>
      <c r="NE64" s="55">
        <v>0</v>
      </c>
      <c r="NF64" s="85"/>
      <c r="NG64" s="85"/>
      <c r="NH64" s="85"/>
      <c r="NI64" s="55">
        <v>0</v>
      </c>
      <c r="NJ64" s="85"/>
      <c r="NK64" s="85"/>
      <c r="NL64" s="85"/>
      <c r="NM64" s="55">
        <v>0</v>
      </c>
      <c r="NN64" s="85"/>
      <c r="NO64" s="85"/>
      <c r="NP64" s="85"/>
      <c r="NQ64" s="55">
        <v>0</v>
      </c>
      <c r="NR64" s="85"/>
      <c r="NS64" s="85"/>
      <c r="NT64" s="85"/>
      <c r="NU64" s="55">
        <v>0</v>
      </c>
      <c r="NV64" s="71"/>
      <c r="NW64" s="71"/>
      <c r="NX64" s="71"/>
      <c r="NY64" s="20">
        <f t="shared" si="789"/>
        <v>0</v>
      </c>
      <c r="NZ64" s="71"/>
      <c r="OA64" s="71"/>
      <c r="OB64" s="71"/>
      <c r="OC64" s="71"/>
      <c r="OD64" s="72"/>
      <c r="OE64" s="72"/>
      <c r="OF64" s="72"/>
      <c r="OG64" s="72"/>
      <c r="OH64" s="72"/>
      <c r="OI64" s="72"/>
      <c r="OJ64" s="72"/>
      <c r="OK64" s="72"/>
      <c r="OL64" s="72"/>
      <c r="OM64" s="72"/>
      <c r="ON64" s="72"/>
      <c r="OO64" s="72"/>
      <c r="OP64" s="72"/>
      <c r="OQ64" s="72"/>
      <c r="OR64" s="72">
        <f t="shared" si="735"/>
        <v>0</v>
      </c>
      <c r="OS64" s="73"/>
      <c r="OT64" s="73"/>
      <c r="OU64" s="73"/>
      <c r="OV64" s="73"/>
      <c r="OW64" s="73"/>
      <c r="OX64" s="74">
        <v>0</v>
      </c>
      <c r="OY64" s="75"/>
      <c r="OZ64" s="75"/>
      <c r="PA64" s="75"/>
      <c r="PB64" s="76">
        <v>0</v>
      </c>
      <c r="PC64" s="75"/>
      <c r="PD64" s="75"/>
      <c r="PE64" s="75"/>
      <c r="PF64" s="76">
        <v>0</v>
      </c>
      <c r="PG64" s="75"/>
      <c r="PH64" s="75"/>
      <c r="PI64" s="75"/>
      <c r="PJ64" s="76">
        <v>0</v>
      </c>
      <c r="PK64" s="75"/>
      <c r="PL64" s="75"/>
      <c r="PM64" s="75"/>
      <c r="PN64" s="76">
        <v>0</v>
      </c>
      <c r="PO64" s="75"/>
      <c r="PP64" s="75"/>
      <c r="PQ64" s="75"/>
      <c r="PR64" s="76">
        <v>0</v>
      </c>
      <c r="PS64" s="75"/>
      <c r="PT64" s="75"/>
      <c r="PU64" s="75"/>
      <c r="PV64" s="76">
        <v>0</v>
      </c>
      <c r="PW64" s="75"/>
      <c r="PX64" s="75"/>
      <c r="PY64" s="75"/>
      <c r="PZ64" s="76">
        <v>0</v>
      </c>
      <c r="QA64" s="87"/>
      <c r="QB64" s="87"/>
      <c r="QC64" s="75"/>
      <c r="QD64" s="77"/>
      <c r="QE64" s="87"/>
      <c r="QF64" s="85"/>
      <c r="QG64" s="85"/>
      <c r="QH64" s="85"/>
      <c r="QI64" s="85"/>
      <c r="QJ64" s="85"/>
      <c r="QK64" s="85"/>
      <c r="QL64" s="55">
        <v>0</v>
      </c>
      <c r="QM64" s="85"/>
      <c r="QN64" s="85"/>
      <c r="QO64" s="85"/>
      <c r="QP64" s="85"/>
      <c r="QQ64" s="85"/>
      <c r="QR64" s="85"/>
      <c r="QS64" s="55">
        <v>0</v>
      </c>
      <c r="QT64" s="85"/>
      <c r="QU64" s="85"/>
      <c r="QV64" s="85"/>
      <c r="QW64" s="85"/>
      <c r="QX64" s="85"/>
      <c r="QY64" s="85"/>
      <c r="QZ64" s="55">
        <v>0</v>
      </c>
      <c r="RA64" s="85"/>
      <c r="RB64" s="85"/>
      <c r="RC64" s="85"/>
      <c r="RD64" s="85"/>
      <c r="RE64" s="85"/>
      <c r="RF64" s="85"/>
      <c r="RG64" s="55">
        <v>0</v>
      </c>
      <c r="RH64" s="85"/>
      <c r="RI64" s="85"/>
      <c r="RJ64" s="85"/>
      <c r="RK64" s="85"/>
      <c r="RL64" s="85"/>
      <c r="RM64" s="85"/>
      <c r="RN64" s="55">
        <v>0</v>
      </c>
      <c r="RO64" s="85"/>
      <c r="RP64" s="85"/>
      <c r="RQ64" s="85"/>
      <c r="RR64" s="85"/>
      <c r="RS64" s="85"/>
      <c r="RT64" s="85"/>
      <c r="RU64" s="55">
        <v>0</v>
      </c>
      <c r="RV64" s="85"/>
      <c r="RW64" s="86"/>
      <c r="RX64" s="86"/>
      <c r="RY64" s="86"/>
      <c r="RZ64" s="85"/>
      <c r="SA64" s="85"/>
      <c r="SB64" s="85"/>
      <c r="SC64" s="55">
        <v>0</v>
      </c>
      <c r="SD64" s="85"/>
      <c r="SE64" s="85"/>
      <c r="SF64" s="85"/>
      <c r="SG64" s="55">
        <v>0</v>
      </c>
      <c r="SH64" s="85"/>
      <c r="SI64" s="85"/>
      <c r="SJ64" s="85"/>
      <c r="SK64" s="85"/>
      <c r="SL64" s="85"/>
      <c r="SM64" s="85"/>
      <c r="SN64" s="55">
        <v>0</v>
      </c>
      <c r="SO64" s="85"/>
      <c r="SP64" s="85"/>
      <c r="SQ64" s="85"/>
      <c r="SR64" s="55">
        <v>0</v>
      </c>
      <c r="SS64" s="85"/>
      <c r="ST64" s="85"/>
      <c r="SU64" s="55">
        <v>0</v>
      </c>
      <c r="SV64" s="85"/>
      <c r="SW64" s="85"/>
      <c r="SX64" s="55">
        <v>0</v>
      </c>
      <c r="SY64" s="85"/>
      <c r="SZ64" s="85"/>
      <c r="TA64" s="55">
        <v>0</v>
      </c>
      <c r="TB64" s="85"/>
      <c r="TC64" s="60"/>
      <c r="TD64" s="61"/>
      <c r="TE64" s="60"/>
      <c r="TF64" s="86"/>
      <c r="TG64" s="86"/>
      <c r="TH64" s="75"/>
      <c r="TI64" s="75"/>
      <c r="TJ64" s="75"/>
      <c r="TK64" s="75"/>
      <c r="TL64" s="75"/>
      <c r="TM64" s="37"/>
      <c r="TN64" s="37"/>
      <c r="TO64" s="37"/>
      <c r="TP64" s="86"/>
      <c r="TQ64" s="86"/>
      <c r="TR64" s="86"/>
      <c r="TS64" s="73"/>
      <c r="TT64" s="73"/>
      <c r="TU64" s="73"/>
      <c r="TV64" s="78"/>
      <c r="TW64" s="79"/>
      <c r="TX64" s="79"/>
      <c r="TY64" s="79"/>
      <c r="TZ64" s="80"/>
      <c r="UA64" s="81"/>
      <c r="UB64" s="82"/>
      <c r="UC64" s="83"/>
    </row>
    <row r="65" spans="1:549" hidden="1" x14ac:dyDescent="0.25">
      <c r="A65" s="29">
        <v>120306</v>
      </c>
      <c r="B65" s="30"/>
      <c r="C65" s="31"/>
      <c r="D65" s="32"/>
      <c r="E65" s="42">
        <f>SUM(E66:E68)</f>
        <v>0</v>
      </c>
      <c r="F65" s="42">
        <f t="shared" ref="F65:BQ65" si="803">SUM(F66:F68)</f>
        <v>0</v>
      </c>
      <c r="G65" s="42">
        <f t="shared" si="803"/>
        <v>0</v>
      </c>
      <c r="H65" s="42">
        <f t="shared" si="803"/>
        <v>0</v>
      </c>
      <c r="I65" s="42">
        <f t="shared" si="803"/>
        <v>0</v>
      </c>
      <c r="J65" s="42">
        <f t="shared" si="803"/>
        <v>0</v>
      </c>
      <c r="K65" s="42">
        <f t="shared" si="803"/>
        <v>0</v>
      </c>
      <c r="L65" s="42">
        <f t="shared" si="803"/>
        <v>0</v>
      </c>
      <c r="M65" s="42">
        <f t="shared" si="803"/>
        <v>0</v>
      </c>
      <c r="N65" s="42">
        <f t="shared" si="803"/>
        <v>0</v>
      </c>
      <c r="O65" s="42">
        <f t="shared" si="803"/>
        <v>0</v>
      </c>
      <c r="P65" s="42">
        <f t="shared" si="803"/>
        <v>0</v>
      </c>
      <c r="Q65" s="42">
        <f t="shared" si="803"/>
        <v>0</v>
      </c>
      <c r="R65" s="42">
        <f t="shared" si="803"/>
        <v>0</v>
      </c>
      <c r="S65" s="42">
        <f t="shared" si="803"/>
        <v>0</v>
      </c>
      <c r="T65" s="42">
        <f t="shared" si="803"/>
        <v>0</v>
      </c>
      <c r="U65" s="42">
        <f t="shared" si="803"/>
        <v>0</v>
      </c>
      <c r="V65" s="42">
        <f t="shared" si="803"/>
        <v>0</v>
      </c>
      <c r="W65" s="42">
        <f t="shared" si="803"/>
        <v>0</v>
      </c>
      <c r="X65" s="42">
        <f t="shared" si="803"/>
        <v>0</v>
      </c>
      <c r="Y65" s="42">
        <f t="shared" si="803"/>
        <v>0</v>
      </c>
      <c r="Z65" s="42">
        <f t="shared" si="803"/>
        <v>0</v>
      </c>
      <c r="AA65" s="42">
        <f t="shared" si="803"/>
        <v>0</v>
      </c>
      <c r="AB65" s="42">
        <f t="shared" si="803"/>
        <v>0</v>
      </c>
      <c r="AC65" s="42">
        <f t="shared" si="803"/>
        <v>0</v>
      </c>
      <c r="AD65" s="42">
        <f t="shared" si="803"/>
        <v>0</v>
      </c>
      <c r="AE65" s="42">
        <f t="shared" si="803"/>
        <v>0</v>
      </c>
      <c r="AF65" s="42">
        <f t="shared" si="803"/>
        <v>0</v>
      </c>
      <c r="AG65" s="42">
        <f t="shared" si="803"/>
        <v>0</v>
      </c>
      <c r="AH65" s="42">
        <f t="shared" si="803"/>
        <v>0</v>
      </c>
      <c r="AI65" s="42">
        <f t="shared" si="803"/>
        <v>0</v>
      </c>
      <c r="AJ65" s="42">
        <f t="shared" si="803"/>
        <v>0</v>
      </c>
      <c r="AK65" s="42">
        <f t="shared" si="803"/>
        <v>0</v>
      </c>
      <c r="AL65" s="42">
        <f t="shared" si="803"/>
        <v>0</v>
      </c>
      <c r="AM65" s="42">
        <f t="shared" si="803"/>
        <v>0</v>
      </c>
      <c r="AN65" s="42">
        <f t="shared" si="803"/>
        <v>0</v>
      </c>
      <c r="AO65" s="42">
        <f t="shared" si="803"/>
        <v>0</v>
      </c>
      <c r="AP65" s="42">
        <f t="shared" si="803"/>
        <v>0</v>
      </c>
      <c r="AQ65" s="42">
        <f t="shared" si="803"/>
        <v>0</v>
      </c>
      <c r="AR65" s="42">
        <f t="shared" si="803"/>
        <v>0</v>
      </c>
      <c r="AS65" s="42">
        <f t="shared" si="803"/>
        <v>0</v>
      </c>
      <c r="AT65" s="42">
        <f t="shared" si="803"/>
        <v>0</v>
      </c>
      <c r="AU65" s="42">
        <f t="shared" si="803"/>
        <v>0</v>
      </c>
      <c r="AV65" s="42">
        <f t="shared" si="803"/>
        <v>0</v>
      </c>
      <c r="AW65" s="42">
        <f t="shared" si="803"/>
        <v>0</v>
      </c>
      <c r="AX65" s="42">
        <f t="shared" si="803"/>
        <v>0</v>
      </c>
      <c r="AY65" s="42">
        <f t="shared" si="803"/>
        <v>0</v>
      </c>
      <c r="AZ65" s="42">
        <f t="shared" si="803"/>
        <v>0</v>
      </c>
      <c r="BA65" s="42">
        <f t="shared" si="803"/>
        <v>0</v>
      </c>
      <c r="BB65" s="42">
        <f t="shared" si="803"/>
        <v>0</v>
      </c>
      <c r="BC65" s="42">
        <f t="shared" si="803"/>
        <v>0</v>
      </c>
      <c r="BD65" s="42">
        <f t="shared" si="803"/>
        <v>0</v>
      </c>
      <c r="BE65" s="42">
        <f t="shared" si="803"/>
        <v>0</v>
      </c>
      <c r="BF65" s="42">
        <f t="shared" si="803"/>
        <v>0</v>
      </c>
      <c r="BG65" s="42">
        <f t="shared" si="803"/>
        <v>0</v>
      </c>
      <c r="BH65" s="42">
        <f t="shared" si="803"/>
        <v>0</v>
      </c>
      <c r="BI65" s="42">
        <f t="shared" si="803"/>
        <v>0</v>
      </c>
      <c r="BJ65" s="42">
        <f t="shared" si="803"/>
        <v>0</v>
      </c>
      <c r="BK65" s="42">
        <f t="shared" si="803"/>
        <v>0</v>
      </c>
      <c r="BL65" s="42">
        <f t="shared" si="803"/>
        <v>0</v>
      </c>
      <c r="BM65" s="42">
        <f t="shared" si="803"/>
        <v>0</v>
      </c>
      <c r="BN65" s="42">
        <f t="shared" si="803"/>
        <v>0</v>
      </c>
      <c r="BO65" s="42">
        <f t="shared" si="803"/>
        <v>0</v>
      </c>
      <c r="BP65" s="42">
        <f t="shared" si="803"/>
        <v>0</v>
      </c>
      <c r="BQ65" s="42">
        <f t="shared" si="803"/>
        <v>0</v>
      </c>
      <c r="BR65" s="42">
        <f t="shared" ref="BR65:EC65" si="804">SUM(BR66:BR68)</f>
        <v>0</v>
      </c>
      <c r="BS65" s="42">
        <f t="shared" si="804"/>
        <v>0</v>
      </c>
      <c r="BT65" s="42">
        <f t="shared" si="804"/>
        <v>0</v>
      </c>
      <c r="BU65" s="42">
        <f t="shared" si="804"/>
        <v>0</v>
      </c>
      <c r="BV65" s="42">
        <f t="shared" si="804"/>
        <v>0</v>
      </c>
      <c r="BW65" s="42">
        <f t="shared" si="804"/>
        <v>0</v>
      </c>
      <c r="BX65" s="42">
        <f t="shared" si="804"/>
        <v>0</v>
      </c>
      <c r="BY65" s="42">
        <f t="shared" si="804"/>
        <v>0</v>
      </c>
      <c r="BZ65" s="42">
        <f t="shared" si="804"/>
        <v>0</v>
      </c>
      <c r="CA65" s="42">
        <f t="shared" si="804"/>
        <v>0</v>
      </c>
      <c r="CB65" s="42">
        <f t="shared" si="804"/>
        <v>0</v>
      </c>
      <c r="CC65" s="42">
        <f t="shared" si="804"/>
        <v>0</v>
      </c>
      <c r="CD65" s="42">
        <f t="shared" si="804"/>
        <v>0</v>
      </c>
      <c r="CE65" s="42">
        <f t="shared" si="804"/>
        <v>0</v>
      </c>
      <c r="CF65" s="42">
        <f t="shared" si="804"/>
        <v>0</v>
      </c>
      <c r="CG65" s="42">
        <f t="shared" si="804"/>
        <v>0</v>
      </c>
      <c r="CH65" s="42">
        <f t="shared" si="804"/>
        <v>0</v>
      </c>
      <c r="CI65" s="42">
        <f t="shared" si="804"/>
        <v>0</v>
      </c>
      <c r="CJ65" s="42">
        <f t="shared" si="804"/>
        <v>0</v>
      </c>
      <c r="CK65" s="42">
        <f t="shared" si="804"/>
        <v>0</v>
      </c>
      <c r="CL65" s="42">
        <f t="shared" si="804"/>
        <v>0</v>
      </c>
      <c r="CM65" s="42">
        <f t="shared" si="804"/>
        <v>0</v>
      </c>
      <c r="CN65" s="42">
        <f t="shared" si="804"/>
        <v>0</v>
      </c>
      <c r="CO65" s="42">
        <f t="shared" si="804"/>
        <v>0</v>
      </c>
      <c r="CP65" s="42">
        <f t="shared" si="804"/>
        <v>0</v>
      </c>
      <c r="CQ65" s="42">
        <f t="shared" si="804"/>
        <v>0</v>
      </c>
      <c r="CR65" s="42">
        <f t="shared" si="804"/>
        <v>0</v>
      </c>
      <c r="CS65" s="42">
        <f t="shared" si="804"/>
        <v>0</v>
      </c>
      <c r="CT65" s="42">
        <f t="shared" si="804"/>
        <v>0</v>
      </c>
      <c r="CU65" s="42">
        <f t="shared" si="804"/>
        <v>0</v>
      </c>
      <c r="CV65" s="42">
        <f t="shared" si="804"/>
        <v>0</v>
      </c>
      <c r="CW65" s="42">
        <f t="shared" si="804"/>
        <v>0</v>
      </c>
      <c r="CX65" s="42">
        <f t="shared" si="804"/>
        <v>0</v>
      </c>
      <c r="CY65" s="42">
        <f t="shared" si="804"/>
        <v>0</v>
      </c>
      <c r="CZ65" s="42">
        <f t="shared" si="804"/>
        <v>0</v>
      </c>
      <c r="DA65" s="42">
        <f t="shared" si="804"/>
        <v>0</v>
      </c>
      <c r="DB65" s="42">
        <f t="shared" si="804"/>
        <v>0</v>
      </c>
      <c r="DC65" s="42">
        <f t="shared" si="804"/>
        <v>0</v>
      </c>
      <c r="DD65" s="42">
        <f t="shared" si="804"/>
        <v>0</v>
      </c>
      <c r="DE65" s="42">
        <f t="shared" si="804"/>
        <v>0</v>
      </c>
      <c r="DF65" s="42">
        <f t="shared" si="804"/>
        <v>0</v>
      </c>
      <c r="DG65" s="42">
        <f t="shared" si="804"/>
        <v>0</v>
      </c>
      <c r="DH65" s="42">
        <f t="shared" si="804"/>
        <v>0</v>
      </c>
      <c r="DI65" s="42">
        <f t="shared" si="804"/>
        <v>0</v>
      </c>
      <c r="DJ65" s="42">
        <f t="shared" si="804"/>
        <v>0</v>
      </c>
      <c r="DK65" s="42">
        <f t="shared" si="804"/>
        <v>0</v>
      </c>
      <c r="DL65" s="42">
        <f t="shared" si="804"/>
        <v>0</v>
      </c>
      <c r="DM65" s="42">
        <f t="shared" si="804"/>
        <v>0</v>
      </c>
      <c r="DN65" s="42">
        <f t="shared" si="804"/>
        <v>0</v>
      </c>
      <c r="DO65" s="42">
        <f t="shared" si="804"/>
        <v>0</v>
      </c>
      <c r="DP65" s="42">
        <f t="shared" si="804"/>
        <v>0</v>
      </c>
      <c r="DQ65" s="42">
        <f t="shared" si="804"/>
        <v>0</v>
      </c>
      <c r="DR65" s="42">
        <f t="shared" si="804"/>
        <v>0</v>
      </c>
      <c r="DS65" s="42">
        <f t="shared" si="804"/>
        <v>0</v>
      </c>
      <c r="DT65" s="42">
        <f t="shared" si="804"/>
        <v>0</v>
      </c>
      <c r="DU65" s="42">
        <f t="shared" si="804"/>
        <v>0</v>
      </c>
      <c r="DV65" s="42">
        <f t="shared" si="804"/>
        <v>0</v>
      </c>
      <c r="DW65" s="42">
        <f t="shared" si="804"/>
        <v>0</v>
      </c>
      <c r="DX65" s="42">
        <f t="shared" si="804"/>
        <v>0</v>
      </c>
      <c r="DY65" s="42">
        <f t="shared" si="804"/>
        <v>0</v>
      </c>
      <c r="DZ65" s="42">
        <f t="shared" si="804"/>
        <v>0</v>
      </c>
      <c r="EA65" s="42">
        <f t="shared" si="804"/>
        <v>0</v>
      </c>
      <c r="EB65" s="42">
        <f t="shared" si="804"/>
        <v>0</v>
      </c>
      <c r="EC65" s="42">
        <f t="shared" si="804"/>
        <v>0</v>
      </c>
      <c r="ED65" s="42">
        <f t="shared" ref="ED65:GU65" si="805">SUM(ED66:ED68)</f>
        <v>0</v>
      </c>
      <c r="EE65" s="42">
        <f t="shared" si="805"/>
        <v>0</v>
      </c>
      <c r="EF65" s="42">
        <f t="shared" si="805"/>
        <v>0</v>
      </c>
      <c r="EG65" s="42">
        <f t="shared" si="805"/>
        <v>0</v>
      </c>
      <c r="EH65" s="42">
        <f t="shared" si="805"/>
        <v>0</v>
      </c>
      <c r="EI65" s="42">
        <f t="shared" si="805"/>
        <v>0</v>
      </c>
      <c r="EJ65" s="42">
        <f t="shared" si="805"/>
        <v>0</v>
      </c>
      <c r="EK65" s="42">
        <f t="shared" si="805"/>
        <v>0</v>
      </c>
      <c r="EL65" s="42">
        <f t="shared" si="805"/>
        <v>0</v>
      </c>
      <c r="EM65" s="42">
        <f t="shared" si="805"/>
        <v>0</v>
      </c>
      <c r="EN65" s="42">
        <f t="shared" si="805"/>
        <v>0</v>
      </c>
      <c r="EO65" s="42">
        <f t="shared" si="805"/>
        <v>0</v>
      </c>
      <c r="EP65" s="42">
        <f t="shared" si="805"/>
        <v>0</v>
      </c>
      <c r="EQ65" s="42">
        <f t="shared" si="805"/>
        <v>0</v>
      </c>
      <c r="ER65" s="42">
        <f t="shared" si="805"/>
        <v>0</v>
      </c>
      <c r="ES65" s="42">
        <f t="shared" si="805"/>
        <v>0</v>
      </c>
      <c r="ET65" s="42">
        <f t="shared" si="805"/>
        <v>0</v>
      </c>
      <c r="EU65" s="42">
        <f t="shared" si="805"/>
        <v>0</v>
      </c>
      <c r="EV65" s="42">
        <f t="shared" si="805"/>
        <v>0</v>
      </c>
      <c r="EW65" s="42">
        <f t="shared" si="805"/>
        <v>0</v>
      </c>
      <c r="EX65" s="42">
        <f t="shared" si="805"/>
        <v>0</v>
      </c>
      <c r="EY65" s="42">
        <f t="shared" si="805"/>
        <v>0</v>
      </c>
      <c r="EZ65" s="42">
        <f t="shared" si="805"/>
        <v>0</v>
      </c>
      <c r="FA65" s="42">
        <f t="shared" si="805"/>
        <v>0</v>
      </c>
      <c r="FB65" s="42">
        <f t="shared" si="805"/>
        <v>0</v>
      </c>
      <c r="FC65" s="42">
        <f t="shared" si="805"/>
        <v>0</v>
      </c>
      <c r="FD65" s="42">
        <f t="shared" si="805"/>
        <v>0</v>
      </c>
      <c r="FE65" s="42">
        <f t="shared" si="805"/>
        <v>0</v>
      </c>
      <c r="FF65" s="42">
        <f t="shared" si="805"/>
        <v>0</v>
      </c>
      <c r="FG65" s="42">
        <f t="shared" si="805"/>
        <v>0</v>
      </c>
      <c r="FH65" s="42">
        <f t="shared" si="805"/>
        <v>0</v>
      </c>
      <c r="FI65" s="42">
        <f t="shared" si="805"/>
        <v>0</v>
      </c>
      <c r="FJ65" s="42">
        <f t="shared" si="805"/>
        <v>0</v>
      </c>
      <c r="FK65" s="42">
        <f t="shared" si="805"/>
        <v>0</v>
      </c>
      <c r="FL65" s="42">
        <f t="shared" si="805"/>
        <v>0</v>
      </c>
      <c r="FM65" s="42">
        <f t="shared" si="805"/>
        <v>0</v>
      </c>
      <c r="FN65" s="42">
        <f t="shared" si="805"/>
        <v>0</v>
      </c>
      <c r="FO65" s="42">
        <f t="shared" si="805"/>
        <v>0</v>
      </c>
      <c r="FP65" s="42">
        <f t="shared" si="805"/>
        <v>0</v>
      </c>
      <c r="FQ65" s="42">
        <f t="shared" si="805"/>
        <v>0</v>
      </c>
      <c r="FR65" s="42">
        <f t="shared" si="805"/>
        <v>0</v>
      </c>
      <c r="FS65" s="42">
        <f t="shared" si="805"/>
        <v>0</v>
      </c>
      <c r="FT65" s="42">
        <f t="shared" si="805"/>
        <v>0</v>
      </c>
      <c r="FU65" s="42">
        <f t="shared" si="805"/>
        <v>0</v>
      </c>
      <c r="FV65" s="42">
        <f t="shared" si="805"/>
        <v>0</v>
      </c>
      <c r="FW65" s="42">
        <f t="shared" si="805"/>
        <v>0</v>
      </c>
      <c r="FX65" s="42">
        <f t="shared" si="805"/>
        <v>0</v>
      </c>
      <c r="FY65" s="42">
        <f t="shared" si="805"/>
        <v>0</v>
      </c>
      <c r="FZ65" s="42">
        <f t="shared" si="805"/>
        <v>0</v>
      </c>
      <c r="GA65" s="42">
        <f t="shared" si="805"/>
        <v>0</v>
      </c>
      <c r="GB65" s="42">
        <f t="shared" si="805"/>
        <v>0</v>
      </c>
      <c r="GC65" s="42">
        <f t="shared" si="805"/>
        <v>0</v>
      </c>
      <c r="GD65" s="42">
        <f t="shared" si="805"/>
        <v>0</v>
      </c>
      <c r="GE65" s="42">
        <f t="shared" si="805"/>
        <v>0</v>
      </c>
      <c r="GF65" s="42">
        <f t="shared" si="805"/>
        <v>0</v>
      </c>
      <c r="GG65" s="40">
        <f t="shared" si="805"/>
        <v>0</v>
      </c>
      <c r="GH65" s="41">
        <f t="shared" si="805"/>
        <v>0</v>
      </c>
      <c r="GI65" s="41">
        <f t="shared" si="805"/>
        <v>0</v>
      </c>
      <c r="GJ65" s="42">
        <f t="shared" si="805"/>
        <v>0</v>
      </c>
      <c r="GK65" s="28">
        <f t="shared" si="805"/>
        <v>0</v>
      </c>
      <c r="GL65" s="28">
        <f t="shared" si="805"/>
        <v>0</v>
      </c>
      <c r="GM65" s="28">
        <f t="shared" si="805"/>
        <v>0</v>
      </c>
      <c r="GN65" s="20">
        <f t="shared" si="73"/>
        <v>0</v>
      </c>
      <c r="GO65" s="42">
        <f t="shared" si="805"/>
        <v>0</v>
      </c>
      <c r="GP65" s="42">
        <f t="shared" si="805"/>
        <v>0</v>
      </c>
      <c r="GQ65" s="42">
        <f t="shared" si="805"/>
        <v>0</v>
      </c>
      <c r="GR65" s="42">
        <f t="shared" si="805"/>
        <v>0</v>
      </c>
      <c r="GS65" s="42">
        <f t="shared" si="805"/>
        <v>0</v>
      </c>
      <c r="GT65" s="42">
        <f t="shared" si="805"/>
        <v>0</v>
      </c>
      <c r="GU65" s="42">
        <f t="shared" si="805"/>
        <v>0</v>
      </c>
      <c r="GV65" s="42">
        <f t="shared" ref="GV65:JK65" si="806">SUM(GV66:GV68)</f>
        <v>0</v>
      </c>
      <c r="GW65" s="42">
        <f t="shared" si="806"/>
        <v>0</v>
      </c>
      <c r="GX65" s="42">
        <f t="shared" si="806"/>
        <v>0</v>
      </c>
      <c r="GY65" s="42">
        <f t="shared" si="806"/>
        <v>0</v>
      </c>
      <c r="GZ65" s="42">
        <f t="shared" si="806"/>
        <v>0</v>
      </c>
      <c r="HA65" s="42">
        <f t="shared" si="806"/>
        <v>0</v>
      </c>
      <c r="HB65" s="42">
        <f t="shared" si="806"/>
        <v>0</v>
      </c>
      <c r="HC65" s="42">
        <f t="shared" si="806"/>
        <v>0</v>
      </c>
      <c r="HD65" s="42">
        <f t="shared" si="806"/>
        <v>0</v>
      </c>
      <c r="HE65" s="42">
        <f t="shared" si="806"/>
        <v>0</v>
      </c>
      <c r="HF65" s="42">
        <f t="shared" si="806"/>
        <v>0</v>
      </c>
      <c r="HG65" s="42">
        <f t="shared" si="806"/>
        <v>0</v>
      </c>
      <c r="HH65" s="42">
        <f t="shared" si="806"/>
        <v>0</v>
      </c>
      <c r="HI65" s="42">
        <f t="shared" si="806"/>
        <v>0</v>
      </c>
      <c r="HJ65" s="42">
        <f t="shared" si="806"/>
        <v>0</v>
      </c>
      <c r="HK65" s="42">
        <f t="shared" si="806"/>
        <v>0</v>
      </c>
      <c r="HL65" s="42">
        <f t="shared" si="806"/>
        <v>0</v>
      </c>
      <c r="HM65" s="42">
        <f t="shared" si="806"/>
        <v>0</v>
      </c>
      <c r="HN65" s="42">
        <f t="shared" si="806"/>
        <v>0</v>
      </c>
      <c r="HO65" s="42">
        <f t="shared" si="806"/>
        <v>0</v>
      </c>
      <c r="HP65" s="42">
        <f t="shared" si="806"/>
        <v>0</v>
      </c>
      <c r="HQ65" s="42">
        <f t="shared" si="806"/>
        <v>0</v>
      </c>
      <c r="HR65" s="42">
        <f>SUM(HR66:HR68)</f>
        <v>0</v>
      </c>
      <c r="HS65" s="28">
        <f t="shared" ref="HS65:HU65" si="807">SUM(HS66:HS68)</f>
        <v>0</v>
      </c>
      <c r="HT65" s="28">
        <f t="shared" si="807"/>
        <v>0</v>
      </c>
      <c r="HU65" s="28">
        <f t="shared" si="807"/>
        <v>0</v>
      </c>
      <c r="HV65" s="20">
        <f t="shared" si="80"/>
        <v>0</v>
      </c>
      <c r="HW65" s="42">
        <f t="shared" si="806"/>
        <v>0</v>
      </c>
      <c r="HX65" s="42">
        <f t="shared" si="806"/>
        <v>0</v>
      </c>
      <c r="HY65" s="42">
        <f t="shared" si="806"/>
        <v>0</v>
      </c>
      <c r="HZ65" s="42">
        <f t="shared" si="806"/>
        <v>0</v>
      </c>
      <c r="IA65" s="42">
        <f t="shared" si="806"/>
        <v>0</v>
      </c>
      <c r="IB65" s="42">
        <f t="shared" si="806"/>
        <v>0</v>
      </c>
      <c r="IC65" s="42">
        <f t="shared" si="806"/>
        <v>0</v>
      </c>
      <c r="ID65" s="42">
        <f t="shared" si="806"/>
        <v>0</v>
      </c>
      <c r="IE65" s="42">
        <f t="shared" si="806"/>
        <v>0</v>
      </c>
      <c r="IF65" s="42">
        <f t="shared" si="806"/>
        <v>0</v>
      </c>
      <c r="IG65" s="42">
        <f t="shared" si="806"/>
        <v>0</v>
      </c>
      <c r="IH65" s="42">
        <f t="shared" si="806"/>
        <v>0</v>
      </c>
      <c r="II65" s="42">
        <f t="shared" si="806"/>
        <v>0</v>
      </c>
      <c r="IJ65" s="42">
        <f t="shared" si="806"/>
        <v>0</v>
      </c>
      <c r="IK65" s="42">
        <f t="shared" si="806"/>
        <v>0</v>
      </c>
      <c r="IL65" s="42">
        <f t="shared" si="806"/>
        <v>0</v>
      </c>
      <c r="IM65" s="42">
        <f t="shared" si="806"/>
        <v>0</v>
      </c>
      <c r="IN65" s="42">
        <f t="shared" si="806"/>
        <v>0</v>
      </c>
      <c r="IO65" s="42">
        <f t="shared" si="806"/>
        <v>0</v>
      </c>
      <c r="IP65" s="42">
        <f t="shared" si="806"/>
        <v>0</v>
      </c>
      <c r="IQ65" s="42">
        <f t="shared" si="806"/>
        <v>0</v>
      </c>
      <c r="IR65" s="42">
        <f t="shared" si="806"/>
        <v>0</v>
      </c>
      <c r="IS65" s="42">
        <f t="shared" si="806"/>
        <v>0</v>
      </c>
      <c r="IT65" s="42">
        <f t="shared" si="806"/>
        <v>0</v>
      </c>
      <c r="IU65" s="42">
        <f t="shared" si="806"/>
        <v>0</v>
      </c>
      <c r="IV65" s="42">
        <f t="shared" si="806"/>
        <v>0</v>
      </c>
      <c r="IW65" s="42">
        <f t="shared" si="806"/>
        <v>0</v>
      </c>
      <c r="IX65" s="42">
        <f t="shared" si="806"/>
        <v>0</v>
      </c>
      <c r="IY65" s="42">
        <f t="shared" si="806"/>
        <v>0</v>
      </c>
      <c r="IZ65" s="42">
        <f t="shared" si="806"/>
        <v>0</v>
      </c>
      <c r="JA65" s="42">
        <f t="shared" si="806"/>
        <v>0</v>
      </c>
      <c r="JB65" s="42">
        <f t="shared" si="806"/>
        <v>0</v>
      </c>
      <c r="JC65" s="42">
        <f t="shared" si="806"/>
        <v>0</v>
      </c>
      <c r="JD65" s="42">
        <f t="shared" si="806"/>
        <v>0</v>
      </c>
      <c r="JE65" s="42">
        <f t="shared" si="806"/>
        <v>0</v>
      </c>
      <c r="JF65" s="42">
        <f t="shared" si="806"/>
        <v>0</v>
      </c>
      <c r="JG65" s="42">
        <f t="shared" si="806"/>
        <v>0</v>
      </c>
      <c r="JH65" s="42">
        <f t="shared" si="806"/>
        <v>0</v>
      </c>
      <c r="JI65" s="42">
        <f t="shared" si="806"/>
        <v>0</v>
      </c>
      <c r="JJ65" s="42">
        <f t="shared" si="806"/>
        <v>0</v>
      </c>
      <c r="JK65" s="42">
        <f t="shared" si="806"/>
        <v>0</v>
      </c>
      <c r="JL65" s="42">
        <f t="shared" ref="JL65:MC65" si="808">SUM(JL66:JL68)</f>
        <v>0</v>
      </c>
      <c r="JM65" s="42">
        <f t="shared" si="808"/>
        <v>0</v>
      </c>
      <c r="JN65" s="42">
        <f t="shared" si="808"/>
        <v>0</v>
      </c>
      <c r="JO65" s="42">
        <f t="shared" si="808"/>
        <v>0</v>
      </c>
      <c r="JP65" s="42">
        <f t="shared" si="808"/>
        <v>0</v>
      </c>
      <c r="JQ65" s="42">
        <f t="shared" si="808"/>
        <v>0</v>
      </c>
      <c r="JR65" s="42">
        <f t="shared" si="808"/>
        <v>0</v>
      </c>
      <c r="JS65" s="42">
        <f t="shared" si="808"/>
        <v>0</v>
      </c>
      <c r="JT65" s="42">
        <f t="shared" si="808"/>
        <v>0</v>
      </c>
      <c r="JU65" s="42">
        <f t="shared" si="808"/>
        <v>0</v>
      </c>
      <c r="JV65" s="42">
        <f t="shared" si="808"/>
        <v>0</v>
      </c>
      <c r="JW65" s="42">
        <f t="shared" si="808"/>
        <v>0</v>
      </c>
      <c r="JX65" s="42">
        <f t="shared" si="808"/>
        <v>0</v>
      </c>
      <c r="JY65" s="42">
        <f t="shared" si="808"/>
        <v>0</v>
      </c>
      <c r="JZ65" s="42">
        <f t="shared" si="808"/>
        <v>0</v>
      </c>
      <c r="KA65" s="42">
        <f t="shared" si="808"/>
        <v>0</v>
      </c>
      <c r="KB65" s="42">
        <f t="shared" si="808"/>
        <v>0</v>
      </c>
      <c r="KC65" s="42">
        <f t="shared" si="808"/>
        <v>0</v>
      </c>
      <c r="KD65" s="42">
        <f t="shared" si="808"/>
        <v>0</v>
      </c>
      <c r="KE65" s="42">
        <f t="shared" si="808"/>
        <v>0</v>
      </c>
      <c r="KF65" s="42">
        <f t="shared" si="808"/>
        <v>0</v>
      </c>
      <c r="KG65" s="42">
        <f t="shared" si="808"/>
        <v>0</v>
      </c>
      <c r="KH65" s="42">
        <f t="shared" si="808"/>
        <v>0</v>
      </c>
      <c r="KI65" s="42">
        <f t="shared" si="808"/>
        <v>0</v>
      </c>
      <c r="KJ65" s="42">
        <f t="shared" si="808"/>
        <v>0</v>
      </c>
      <c r="KK65" s="42">
        <f t="shared" si="808"/>
        <v>0</v>
      </c>
      <c r="KL65" s="42">
        <f t="shared" si="808"/>
        <v>0</v>
      </c>
      <c r="KM65" s="42">
        <f t="shared" si="808"/>
        <v>0</v>
      </c>
      <c r="KN65" s="42">
        <f t="shared" si="808"/>
        <v>0</v>
      </c>
      <c r="KO65" s="42">
        <f t="shared" si="808"/>
        <v>0</v>
      </c>
      <c r="KP65" s="42">
        <f t="shared" si="808"/>
        <v>0</v>
      </c>
      <c r="KQ65" s="42">
        <f t="shared" si="808"/>
        <v>0</v>
      </c>
      <c r="KR65" s="42">
        <f t="shared" si="808"/>
        <v>0</v>
      </c>
      <c r="KS65" s="42">
        <f t="shared" si="808"/>
        <v>0</v>
      </c>
      <c r="KT65" s="42">
        <f t="shared" si="808"/>
        <v>0</v>
      </c>
      <c r="KU65" s="42">
        <f t="shared" si="808"/>
        <v>0</v>
      </c>
      <c r="KV65" s="42">
        <f t="shared" si="808"/>
        <v>0</v>
      </c>
      <c r="KW65" s="42">
        <f t="shared" si="808"/>
        <v>0</v>
      </c>
      <c r="KX65" s="42">
        <f t="shared" si="808"/>
        <v>0</v>
      </c>
      <c r="KY65" s="42">
        <f t="shared" si="808"/>
        <v>0</v>
      </c>
      <c r="KZ65" s="42">
        <f t="shared" si="808"/>
        <v>0</v>
      </c>
      <c r="LA65" s="42">
        <f t="shared" si="808"/>
        <v>0</v>
      </c>
      <c r="LB65" s="42">
        <f t="shared" si="808"/>
        <v>0</v>
      </c>
      <c r="LC65" s="42">
        <f t="shared" si="808"/>
        <v>0</v>
      </c>
      <c r="LD65" s="42">
        <f t="shared" si="808"/>
        <v>0</v>
      </c>
      <c r="LE65" s="42">
        <f t="shared" si="808"/>
        <v>0</v>
      </c>
      <c r="LF65" s="42">
        <f t="shared" si="808"/>
        <v>0</v>
      </c>
      <c r="LG65" s="42">
        <f t="shared" si="808"/>
        <v>0</v>
      </c>
      <c r="LH65" s="42">
        <f t="shared" si="808"/>
        <v>0</v>
      </c>
      <c r="LI65" s="42">
        <f t="shared" si="808"/>
        <v>0</v>
      </c>
      <c r="LJ65" s="42">
        <f t="shared" si="808"/>
        <v>0</v>
      </c>
      <c r="LK65" s="42">
        <f t="shared" si="808"/>
        <v>0</v>
      </c>
      <c r="LL65" s="42">
        <f t="shared" si="808"/>
        <v>0</v>
      </c>
      <c r="LM65" s="42">
        <f t="shared" si="808"/>
        <v>0</v>
      </c>
      <c r="LN65" s="42">
        <f t="shared" si="808"/>
        <v>0</v>
      </c>
      <c r="LO65" s="42">
        <f t="shared" si="808"/>
        <v>0</v>
      </c>
      <c r="LP65" s="42">
        <f t="shared" si="808"/>
        <v>0</v>
      </c>
      <c r="LQ65" s="42">
        <f t="shared" si="808"/>
        <v>0</v>
      </c>
      <c r="LR65" s="42">
        <f t="shared" si="808"/>
        <v>0</v>
      </c>
      <c r="LS65" s="42">
        <f t="shared" si="808"/>
        <v>0</v>
      </c>
      <c r="LT65" s="42">
        <f t="shared" si="808"/>
        <v>0</v>
      </c>
      <c r="LU65" s="42">
        <f t="shared" si="808"/>
        <v>0</v>
      </c>
      <c r="LV65" s="42">
        <f t="shared" si="808"/>
        <v>0</v>
      </c>
      <c r="LW65" s="42">
        <f t="shared" si="808"/>
        <v>0</v>
      </c>
      <c r="LX65" s="45">
        <f t="shared" si="96"/>
        <v>0</v>
      </c>
      <c r="LY65" s="42">
        <f t="shared" si="808"/>
        <v>0</v>
      </c>
      <c r="LZ65" s="42">
        <f t="shared" si="808"/>
        <v>0</v>
      </c>
      <c r="MA65" s="42">
        <f t="shared" si="808"/>
        <v>0</v>
      </c>
      <c r="MB65" s="42">
        <f t="shared" si="808"/>
        <v>0</v>
      </c>
      <c r="MC65" s="42">
        <f t="shared" si="808"/>
        <v>0</v>
      </c>
      <c r="MD65" s="42">
        <f t="shared" ref="MD65:NX65" si="809">SUM(MD66:MD68)</f>
        <v>0</v>
      </c>
      <c r="ME65" s="42">
        <f t="shared" si="809"/>
        <v>0</v>
      </c>
      <c r="MF65" s="42">
        <f t="shared" si="809"/>
        <v>0</v>
      </c>
      <c r="MG65" s="42">
        <f t="shared" si="809"/>
        <v>0</v>
      </c>
      <c r="MH65" s="42">
        <f t="shared" si="809"/>
        <v>0</v>
      </c>
      <c r="MI65" s="42">
        <f t="shared" si="809"/>
        <v>0</v>
      </c>
      <c r="MJ65" s="42">
        <f t="shared" si="809"/>
        <v>0</v>
      </c>
      <c r="MK65" s="42">
        <f t="shared" si="809"/>
        <v>0</v>
      </c>
      <c r="ML65" s="42">
        <f t="shared" si="809"/>
        <v>0</v>
      </c>
      <c r="MM65" s="42">
        <f t="shared" si="809"/>
        <v>0</v>
      </c>
      <c r="MN65" s="42">
        <f t="shared" si="809"/>
        <v>0</v>
      </c>
      <c r="MO65" s="42">
        <f t="shared" si="809"/>
        <v>0</v>
      </c>
      <c r="MP65" s="42">
        <f t="shared" si="809"/>
        <v>0</v>
      </c>
      <c r="MQ65" s="42">
        <f t="shared" si="809"/>
        <v>0</v>
      </c>
      <c r="MR65" s="42">
        <f t="shared" si="809"/>
        <v>0</v>
      </c>
      <c r="MS65" s="42">
        <f t="shared" si="809"/>
        <v>0</v>
      </c>
      <c r="MT65" s="42">
        <f t="shared" si="809"/>
        <v>0</v>
      </c>
      <c r="MU65" s="42">
        <f t="shared" si="809"/>
        <v>0</v>
      </c>
      <c r="MV65" s="42">
        <f t="shared" si="809"/>
        <v>0</v>
      </c>
      <c r="MW65" s="42">
        <f t="shared" si="809"/>
        <v>0</v>
      </c>
      <c r="MX65" s="42">
        <f t="shared" si="809"/>
        <v>0</v>
      </c>
      <c r="MY65" s="42">
        <f t="shared" si="809"/>
        <v>0</v>
      </c>
      <c r="MZ65" s="42">
        <f t="shared" si="809"/>
        <v>0</v>
      </c>
      <c r="NA65" s="42">
        <f t="shared" si="809"/>
        <v>0</v>
      </c>
      <c r="NB65" s="42">
        <f t="shared" si="809"/>
        <v>0</v>
      </c>
      <c r="NC65" s="42">
        <f t="shared" si="809"/>
        <v>0</v>
      </c>
      <c r="ND65" s="42">
        <f t="shared" si="809"/>
        <v>0</v>
      </c>
      <c r="NE65" s="42">
        <f t="shared" si="809"/>
        <v>0</v>
      </c>
      <c r="NF65" s="42">
        <f t="shared" si="809"/>
        <v>0</v>
      </c>
      <c r="NG65" s="42">
        <f t="shared" si="809"/>
        <v>0</v>
      </c>
      <c r="NH65" s="42">
        <f t="shared" si="809"/>
        <v>0</v>
      </c>
      <c r="NI65" s="42">
        <f t="shared" si="809"/>
        <v>0</v>
      </c>
      <c r="NJ65" s="42">
        <f t="shared" si="809"/>
        <v>0</v>
      </c>
      <c r="NK65" s="42">
        <f t="shared" si="809"/>
        <v>0</v>
      </c>
      <c r="NL65" s="42">
        <f t="shared" si="809"/>
        <v>0</v>
      </c>
      <c r="NM65" s="42">
        <f t="shared" si="809"/>
        <v>0</v>
      </c>
      <c r="NN65" s="42">
        <f t="shared" si="809"/>
        <v>0</v>
      </c>
      <c r="NO65" s="42">
        <f t="shared" si="809"/>
        <v>0</v>
      </c>
      <c r="NP65" s="42">
        <f t="shared" si="809"/>
        <v>0</v>
      </c>
      <c r="NQ65" s="42">
        <f t="shared" si="809"/>
        <v>0</v>
      </c>
      <c r="NR65" s="42">
        <f t="shared" si="809"/>
        <v>0</v>
      </c>
      <c r="NS65" s="42">
        <f t="shared" si="809"/>
        <v>0</v>
      </c>
      <c r="NT65" s="42">
        <f t="shared" si="809"/>
        <v>0</v>
      </c>
      <c r="NU65" s="42">
        <f t="shared" si="809"/>
        <v>0</v>
      </c>
      <c r="NV65" s="33">
        <f t="shared" si="809"/>
        <v>0</v>
      </c>
      <c r="NW65" s="33">
        <f t="shared" si="809"/>
        <v>0</v>
      </c>
      <c r="NX65" s="33">
        <f t="shared" si="809"/>
        <v>0</v>
      </c>
      <c r="NY65" s="33">
        <f>SUM(NV65:NX65)</f>
        <v>0</v>
      </c>
      <c r="NZ65" s="33">
        <f t="shared" ref="NZ65:OQ65" si="810">SUM(NZ66:NZ68)</f>
        <v>0</v>
      </c>
      <c r="OA65" s="33">
        <f t="shared" si="810"/>
        <v>0</v>
      </c>
      <c r="OB65" s="33">
        <f t="shared" si="810"/>
        <v>0</v>
      </c>
      <c r="OC65" s="33">
        <f>SUM(NZ65:OB65)</f>
        <v>0</v>
      </c>
      <c r="OD65" s="33">
        <f t="shared" si="810"/>
        <v>0</v>
      </c>
      <c r="OE65" s="33">
        <f t="shared" si="810"/>
        <v>0</v>
      </c>
      <c r="OF65" s="33">
        <f t="shared" si="810"/>
        <v>0</v>
      </c>
      <c r="OG65" s="33">
        <f t="shared" si="810"/>
        <v>0</v>
      </c>
      <c r="OH65" s="33">
        <f t="shared" si="810"/>
        <v>0</v>
      </c>
      <c r="OI65" s="33">
        <f t="shared" si="810"/>
        <v>0</v>
      </c>
      <c r="OJ65" s="33">
        <f t="shared" si="810"/>
        <v>0</v>
      </c>
      <c r="OK65" s="33">
        <f t="shared" si="810"/>
        <v>0</v>
      </c>
      <c r="OL65" s="33">
        <f t="shared" si="810"/>
        <v>0</v>
      </c>
      <c r="OM65" s="33">
        <f t="shared" si="810"/>
        <v>0</v>
      </c>
      <c r="ON65" s="33">
        <f t="shared" si="810"/>
        <v>0</v>
      </c>
      <c r="OO65" s="33">
        <f t="shared" si="810"/>
        <v>0</v>
      </c>
      <c r="OP65" s="33">
        <f t="shared" si="810"/>
        <v>0</v>
      </c>
      <c r="OQ65" s="33">
        <f t="shared" si="810"/>
        <v>0</v>
      </c>
      <c r="OR65" s="46">
        <f t="shared" si="735"/>
        <v>0</v>
      </c>
      <c r="OS65" s="33">
        <f t="shared" ref="OS65:PA65" si="811">SUM(OS66:OS68)</f>
        <v>0</v>
      </c>
      <c r="OT65" s="33">
        <f t="shared" si="811"/>
        <v>0</v>
      </c>
      <c r="OU65" s="33">
        <f t="shared" si="811"/>
        <v>0</v>
      </c>
      <c r="OV65" s="33">
        <f t="shared" si="811"/>
        <v>0</v>
      </c>
      <c r="OW65" s="33">
        <f t="shared" si="811"/>
        <v>0</v>
      </c>
      <c r="OX65" s="33">
        <f>SUM(OS65:OW65)</f>
        <v>0</v>
      </c>
      <c r="OY65" s="33">
        <f t="shared" si="811"/>
        <v>0</v>
      </c>
      <c r="OZ65" s="33">
        <f t="shared" si="811"/>
        <v>0</v>
      </c>
      <c r="PA65" s="33">
        <f t="shared" si="811"/>
        <v>0</v>
      </c>
      <c r="PB65" s="34">
        <f>SUM(OY65:PA65)</f>
        <v>0</v>
      </c>
      <c r="PC65" s="33">
        <f t="shared" ref="PC65:PE65" si="812">SUM(PC66:PC68)</f>
        <v>0</v>
      </c>
      <c r="PD65" s="33">
        <f t="shared" si="812"/>
        <v>0</v>
      </c>
      <c r="PE65" s="33">
        <f t="shared" si="812"/>
        <v>0</v>
      </c>
      <c r="PF65" s="34">
        <f>SUM(PC65:PE65)</f>
        <v>0</v>
      </c>
      <c r="PG65" s="33">
        <f t="shared" ref="PG65:PI65" si="813">SUM(PG66:PG68)</f>
        <v>0</v>
      </c>
      <c r="PH65" s="33">
        <f t="shared" si="813"/>
        <v>0</v>
      </c>
      <c r="PI65" s="33">
        <f t="shared" si="813"/>
        <v>0</v>
      </c>
      <c r="PJ65" s="34">
        <f>SUM(PG65:PI65)</f>
        <v>0</v>
      </c>
      <c r="PK65" s="33">
        <f t="shared" ref="PK65:PM65" si="814">SUM(PK66:PK68)</f>
        <v>0</v>
      </c>
      <c r="PL65" s="33">
        <f t="shared" si="814"/>
        <v>0</v>
      </c>
      <c r="PM65" s="33">
        <f t="shared" si="814"/>
        <v>0</v>
      </c>
      <c r="PN65" s="34">
        <f>SUM(PK65:PM65)</f>
        <v>0</v>
      </c>
      <c r="PO65" s="33">
        <f t="shared" ref="PO65:PQ65" si="815">SUM(PO66:PO68)</f>
        <v>0</v>
      </c>
      <c r="PP65" s="33">
        <f t="shared" si="815"/>
        <v>0</v>
      </c>
      <c r="PQ65" s="33">
        <f t="shared" si="815"/>
        <v>0</v>
      </c>
      <c r="PR65" s="34">
        <f>SUM(PO65:PQ65)</f>
        <v>0</v>
      </c>
      <c r="PS65" s="33">
        <f t="shared" ref="PS65:PU65" si="816">SUM(PS66:PS68)</f>
        <v>0</v>
      </c>
      <c r="PT65" s="33">
        <f t="shared" si="816"/>
        <v>0</v>
      </c>
      <c r="PU65" s="33">
        <f t="shared" si="816"/>
        <v>0</v>
      </c>
      <c r="PV65" s="34">
        <f>SUM(PS65:PU65)</f>
        <v>0</v>
      </c>
      <c r="PW65" s="33">
        <f t="shared" ref="PW65:SH65" si="817">SUM(PW66:PW68)</f>
        <v>0</v>
      </c>
      <c r="PX65" s="33">
        <f t="shared" si="817"/>
        <v>0</v>
      </c>
      <c r="PY65" s="33">
        <f t="shared" si="817"/>
        <v>0</v>
      </c>
      <c r="PZ65" s="34">
        <f>SUM(PW65:PY65)</f>
        <v>0</v>
      </c>
      <c r="QA65" s="33">
        <f t="shared" si="817"/>
        <v>0</v>
      </c>
      <c r="QB65" s="33">
        <f t="shared" si="817"/>
        <v>0</v>
      </c>
      <c r="QC65" s="33">
        <f t="shared" si="817"/>
        <v>0</v>
      </c>
      <c r="QD65" s="24">
        <f t="shared" si="132"/>
        <v>0</v>
      </c>
      <c r="QE65" s="33">
        <f t="shared" si="817"/>
        <v>0</v>
      </c>
      <c r="QF65" s="42">
        <f t="shared" si="817"/>
        <v>0</v>
      </c>
      <c r="QG65" s="42">
        <f t="shared" si="817"/>
        <v>0</v>
      </c>
      <c r="QH65" s="42">
        <f t="shared" si="817"/>
        <v>0</v>
      </c>
      <c r="QI65" s="42">
        <f t="shared" si="817"/>
        <v>0</v>
      </c>
      <c r="QJ65" s="42">
        <f t="shared" si="817"/>
        <v>0</v>
      </c>
      <c r="QK65" s="42">
        <f t="shared" si="817"/>
        <v>0</v>
      </c>
      <c r="QL65" s="42">
        <f t="shared" si="817"/>
        <v>0</v>
      </c>
      <c r="QM65" s="42">
        <f t="shared" si="817"/>
        <v>0</v>
      </c>
      <c r="QN65" s="42">
        <f t="shared" si="817"/>
        <v>0</v>
      </c>
      <c r="QO65" s="42">
        <f t="shared" si="817"/>
        <v>0</v>
      </c>
      <c r="QP65" s="42">
        <f t="shared" si="817"/>
        <v>0</v>
      </c>
      <c r="QQ65" s="42">
        <f t="shared" si="817"/>
        <v>0</v>
      </c>
      <c r="QR65" s="42">
        <f t="shared" si="817"/>
        <v>0</v>
      </c>
      <c r="QS65" s="42">
        <f t="shared" si="817"/>
        <v>0</v>
      </c>
      <c r="QT65" s="42">
        <f t="shared" si="817"/>
        <v>0</v>
      </c>
      <c r="QU65" s="42">
        <f t="shared" si="817"/>
        <v>0</v>
      </c>
      <c r="QV65" s="42">
        <f t="shared" si="817"/>
        <v>0</v>
      </c>
      <c r="QW65" s="42">
        <f t="shared" si="817"/>
        <v>0</v>
      </c>
      <c r="QX65" s="42">
        <f t="shared" si="817"/>
        <v>0</v>
      </c>
      <c r="QY65" s="42">
        <f t="shared" si="817"/>
        <v>0</v>
      </c>
      <c r="QZ65" s="42">
        <f t="shared" si="817"/>
        <v>0</v>
      </c>
      <c r="RA65" s="42">
        <f t="shared" si="817"/>
        <v>0</v>
      </c>
      <c r="RB65" s="42">
        <f t="shared" si="817"/>
        <v>0</v>
      </c>
      <c r="RC65" s="42">
        <f t="shared" si="817"/>
        <v>0</v>
      </c>
      <c r="RD65" s="42">
        <f t="shared" si="817"/>
        <v>0</v>
      </c>
      <c r="RE65" s="42">
        <f t="shared" si="817"/>
        <v>0</v>
      </c>
      <c r="RF65" s="42">
        <f t="shared" si="817"/>
        <v>0</v>
      </c>
      <c r="RG65" s="42">
        <f t="shared" si="817"/>
        <v>0</v>
      </c>
      <c r="RH65" s="42">
        <f t="shared" si="817"/>
        <v>0</v>
      </c>
      <c r="RI65" s="42">
        <f t="shared" si="817"/>
        <v>0</v>
      </c>
      <c r="RJ65" s="42">
        <f t="shared" si="817"/>
        <v>0</v>
      </c>
      <c r="RK65" s="42">
        <f t="shared" si="817"/>
        <v>0</v>
      </c>
      <c r="RL65" s="42">
        <f t="shared" si="817"/>
        <v>0</v>
      </c>
      <c r="RM65" s="42">
        <f t="shared" si="817"/>
        <v>0</v>
      </c>
      <c r="RN65" s="42">
        <f t="shared" si="817"/>
        <v>0</v>
      </c>
      <c r="RO65" s="42">
        <f t="shared" si="817"/>
        <v>0</v>
      </c>
      <c r="RP65" s="42">
        <f t="shared" si="817"/>
        <v>0</v>
      </c>
      <c r="RQ65" s="42">
        <f t="shared" si="817"/>
        <v>0</v>
      </c>
      <c r="RR65" s="42">
        <f t="shared" si="817"/>
        <v>0</v>
      </c>
      <c r="RS65" s="42">
        <f t="shared" si="817"/>
        <v>0</v>
      </c>
      <c r="RT65" s="42">
        <f t="shared" si="817"/>
        <v>0</v>
      </c>
      <c r="RU65" s="42">
        <f t="shared" si="817"/>
        <v>0</v>
      </c>
      <c r="RV65" s="42">
        <f t="shared" si="817"/>
        <v>0</v>
      </c>
      <c r="RW65" s="42">
        <f t="shared" si="817"/>
        <v>0</v>
      </c>
      <c r="RX65" s="42">
        <f t="shared" si="817"/>
        <v>0</v>
      </c>
      <c r="RY65" s="42">
        <f t="shared" si="817"/>
        <v>0</v>
      </c>
      <c r="RZ65" s="42">
        <f t="shared" si="817"/>
        <v>0</v>
      </c>
      <c r="SA65" s="42">
        <f t="shared" si="817"/>
        <v>0</v>
      </c>
      <c r="SB65" s="42">
        <f t="shared" si="817"/>
        <v>0</v>
      </c>
      <c r="SC65" s="42">
        <f t="shared" si="817"/>
        <v>0</v>
      </c>
      <c r="SD65" s="42">
        <f t="shared" si="817"/>
        <v>0</v>
      </c>
      <c r="SE65" s="42">
        <f t="shared" si="817"/>
        <v>0</v>
      </c>
      <c r="SF65" s="42">
        <f t="shared" si="817"/>
        <v>0</v>
      </c>
      <c r="SG65" s="42">
        <f t="shared" si="817"/>
        <v>0</v>
      </c>
      <c r="SH65" s="42">
        <f t="shared" si="817"/>
        <v>0</v>
      </c>
      <c r="SI65" s="42">
        <f t="shared" ref="SI65:UC65" si="818">SUM(SI66:SI68)</f>
        <v>0</v>
      </c>
      <c r="SJ65" s="42">
        <f t="shared" si="818"/>
        <v>0</v>
      </c>
      <c r="SK65" s="42">
        <f t="shared" si="818"/>
        <v>0</v>
      </c>
      <c r="SL65" s="42">
        <f t="shared" si="818"/>
        <v>0</v>
      </c>
      <c r="SM65" s="42">
        <f t="shared" si="818"/>
        <v>0</v>
      </c>
      <c r="SN65" s="42">
        <f t="shared" si="818"/>
        <v>0</v>
      </c>
      <c r="SO65" s="42">
        <f t="shared" si="818"/>
        <v>0</v>
      </c>
      <c r="SP65" s="42">
        <f t="shared" si="818"/>
        <v>0</v>
      </c>
      <c r="SQ65" s="42">
        <f t="shared" si="818"/>
        <v>0</v>
      </c>
      <c r="SR65" s="42">
        <f t="shared" si="818"/>
        <v>0</v>
      </c>
      <c r="SS65" s="42">
        <f t="shared" si="818"/>
        <v>0</v>
      </c>
      <c r="ST65" s="42">
        <f t="shared" si="818"/>
        <v>0</v>
      </c>
      <c r="SU65" s="42">
        <f t="shared" si="818"/>
        <v>0</v>
      </c>
      <c r="SV65" s="42">
        <f t="shared" si="818"/>
        <v>0</v>
      </c>
      <c r="SW65" s="42">
        <f t="shared" si="818"/>
        <v>0</v>
      </c>
      <c r="SX65" s="42">
        <f t="shared" si="818"/>
        <v>0</v>
      </c>
      <c r="SY65" s="42">
        <f t="shared" si="818"/>
        <v>0</v>
      </c>
      <c r="SZ65" s="42">
        <f t="shared" si="818"/>
        <v>0</v>
      </c>
      <c r="TA65" s="42">
        <f t="shared" si="818"/>
        <v>0</v>
      </c>
      <c r="TB65" s="42">
        <f t="shared" si="818"/>
        <v>0</v>
      </c>
      <c r="TC65" s="40">
        <f t="shared" si="818"/>
        <v>0</v>
      </c>
      <c r="TD65" s="41">
        <f t="shared" si="818"/>
        <v>0</v>
      </c>
      <c r="TE65" s="41">
        <f t="shared" si="818"/>
        <v>0</v>
      </c>
      <c r="TF65" s="42">
        <f t="shared" si="818"/>
        <v>0</v>
      </c>
      <c r="TG65" s="42">
        <f t="shared" si="818"/>
        <v>0</v>
      </c>
      <c r="TH65" s="33">
        <f t="shared" si="818"/>
        <v>0</v>
      </c>
      <c r="TI65" s="33">
        <f t="shared" si="818"/>
        <v>0</v>
      </c>
      <c r="TJ65" s="33">
        <f t="shared" si="818"/>
        <v>0</v>
      </c>
      <c r="TK65" s="33">
        <f t="shared" si="818"/>
        <v>0</v>
      </c>
      <c r="TL65" s="33">
        <f t="shared" si="818"/>
        <v>0</v>
      </c>
      <c r="TM65" s="33">
        <f t="shared" si="818"/>
        <v>0</v>
      </c>
      <c r="TN65" s="33">
        <f t="shared" si="818"/>
        <v>0</v>
      </c>
      <c r="TO65" s="33">
        <f t="shared" si="818"/>
        <v>0</v>
      </c>
      <c r="TP65" s="42">
        <f t="shared" si="818"/>
        <v>0</v>
      </c>
      <c r="TQ65" s="42">
        <f t="shared" si="818"/>
        <v>0</v>
      </c>
      <c r="TR65" s="42">
        <f t="shared" si="818"/>
        <v>0</v>
      </c>
      <c r="TS65" s="33">
        <f t="shared" si="818"/>
        <v>0</v>
      </c>
      <c r="TT65" s="33">
        <f t="shared" si="818"/>
        <v>0</v>
      </c>
      <c r="TU65" s="33">
        <f t="shared" si="818"/>
        <v>0</v>
      </c>
      <c r="TV65" s="47">
        <f t="shared" si="818"/>
        <v>0</v>
      </c>
      <c r="TW65" s="33">
        <f t="shared" si="818"/>
        <v>0</v>
      </c>
      <c r="TX65" s="33">
        <f t="shared" si="818"/>
        <v>0</v>
      </c>
      <c r="TY65" s="33">
        <f t="shared" si="818"/>
        <v>0</v>
      </c>
      <c r="TZ65" s="48">
        <f t="shared" si="818"/>
        <v>0</v>
      </c>
      <c r="UA65" s="47">
        <f t="shared" si="818"/>
        <v>0</v>
      </c>
      <c r="UB65" s="33">
        <f t="shared" si="818"/>
        <v>0</v>
      </c>
      <c r="UC65" s="48">
        <f t="shared" si="818"/>
        <v>0</v>
      </c>
    </row>
    <row r="66" spans="1:549" s="4" customFormat="1" hidden="1" x14ac:dyDescent="0.25">
      <c r="A66" s="91">
        <v>120306301</v>
      </c>
      <c r="B66" s="92">
        <v>358</v>
      </c>
      <c r="C66" s="51"/>
      <c r="D66" s="105"/>
      <c r="E66" s="53"/>
      <c r="F66" s="54"/>
      <c r="G66" s="54"/>
      <c r="H66" s="55">
        <v>0</v>
      </c>
      <c r="I66" s="56"/>
      <c r="J66" s="53"/>
      <c r="K66" s="54"/>
      <c r="L66" s="55">
        <v>0</v>
      </c>
      <c r="M66" s="53"/>
      <c r="N66" s="53"/>
      <c r="O66" s="55">
        <v>0</v>
      </c>
      <c r="P66" s="53"/>
      <c r="Q66" s="56"/>
      <c r="R66" s="56"/>
      <c r="S66" s="56"/>
      <c r="T66" s="55">
        <f t="shared" ref="T66:T68" si="819">SUM(Q66:S66)</f>
        <v>0</v>
      </c>
      <c r="U66" s="54"/>
      <c r="V66" s="54"/>
      <c r="W66" s="54"/>
      <c r="X66" s="55">
        <v>0</v>
      </c>
      <c r="Y66" s="54"/>
      <c r="Z66" s="54"/>
      <c r="AA66" s="55">
        <v>0</v>
      </c>
      <c r="AB66" s="54"/>
      <c r="AC66" s="54"/>
      <c r="AD66" s="55">
        <v>0</v>
      </c>
      <c r="AE66" s="54"/>
      <c r="AF66" s="56"/>
      <c r="AG66" s="56"/>
      <c r="AH66" s="55">
        <f t="shared" si="750"/>
        <v>0</v>
      </c>
      <c r="AI66" s="54"/>
      <c r="AJ66" s="56"/>
      <c r="AK66" s="56"/>
      <c r="AL66" s="55">
        <f t="shared" ref="AL66:AL68" si="820">SUM(AJ66:AK66)</f>
        <v>0</v>
      </c>
      <c r="AM66" s="54"/>
      <c r="AN66" s="56"/>
      <c r="AO66" s="56"/>
      <c r="AP66" s="55">
        <v>0</v>
      </c>
      <c r="AQ66" s="54"/>
      <c r="AR66" s="54"/>
      <c r="AS66" s="54"/>
      <c r="AT66" s="54"/>
      <c r="AU66" s="55">
        <v>0</v>
      </c>
      <c r="AV66" s="54"/>
      <c r="AW66" s="54"/>
      <c r="AX66" s="56"/>
      <c r="AY66" s="56"/>
      <c r="AZ66" s="57"/>
      <c r="BA66" s="57"/>
      <c r="BB66" s="54"/>
      <c r="BC66" s="54"/>
      <c r="BD66" s="55">
        <v>0</v>
      </c>
      <c r="BE66" s="54"/>
      <c r="BF66" s="56"/>
      <c r="BG66" s="56"/>
      <c r="BH66" s="56"/>
      <c r="BI66" s="56"/>
      <c r="BJ66" s="54"/>
      <c r="BK66" s="56"/>
      <c r="BL66" s="55">
        <v>0</v>
      </c>
      <c r="BM66" s="54"/>
      <c r="BN66" s="56"/>
      <c r="BO66" s="54"/>
      <c r="BP66" s="54"/>
      <c r="BQ66" s="54"/>
      <c r="BR66" s="56"/>
      <c r="BS66" s="55">
        <v>0</v>
      </c>
      <c r="BT66" s="54"/>
      <c r="BU66" s="54"/>
      <c r="BV66" s="54"/>
      <c r="BW66" s="55">
        <v>0</v>
      </c>
      <c r="BX66" s="54"/>
      <c r="BY66" s="54"/>
      <c r="BZ66" s="55">
        <v>0</v>
      </c>
      <c r="CA66" s="54"/>
      <c r="CB66" s="54"/>
      <c r="CC66" s="55">
        <v>0</v>
      </c>
      <c r="CD66" s="54"/>
      <c r="CE66" s="54"/>
      <c r="CF66" s="56"/>
      <c r="CG66" s="56"/>
      <c r="CH66" s="56"/>
      <c r="CI66" s="54"/>
      <c r="CJ66" s="54"/>
      <c r="CK66" s="54"/>
      <c r="CL66" s="55">
        <v>0</v>
      </c>
      <c r="CM66" s="56"/>
      <c r="CN66" s="56"/>
      <c r="CO66" s="54"/>
      <c r="CP66" s="54"/>
      <c r="CQ66" s="55">
        <v>0</v>
      </c>
      <c r="CR66" s="54"/>
      <c r="CS66" s="54"/>
      <c r="CT66" s="54"/>
      <c r="CU66" s="54"/>
      <c r="CV66" s="54"/>
      <c r="CW66" s="54"/>
      <c r="CX66" s="18">
        <f t="shared" si="755"/>
        <v>0</v>
      </c>
      <c r="CY66" s="54"/>
      <c r="CZ66" s="54"/>
      <c r="DA66" s="54"/>
      <c r="DB66" s="18">
        <f t="shared" si="756"/>
        <v>0</v>
      </c>
      <c r="DC66" s="54"/>
      <c r="DD66" s="54"/>
      <c r="DE66" s="18">
        <f t="shared" si="757"/>
        <v>0</v>
      </c>
      <c r="DF66" s="54"/>
      <c r="DG66" s="54"/>
      <c r="DH66" s="55">
        <v>0</v>
      </c>
      <c r="DI66" s="54"/>
      <c r="DJ66" s="54"/>
      <c r="DK66" s="55">
        <v>0</v>
      </c>
      <c r="DL66" s="54"/>
      <c r="DM66" s="54"/>
      <c r="DN66" s="59"/>
      <c r="DO66" s="54"/>
      <c r="DP66" s="54"/>
      <c r="DQ66" s="56"/>
      <c r="DR66" s="56"/>
      <c r="DS66" s="56"/>
      <c r="DT66" s="54"/>
      <c r="DU66" s="54"/>
      <c r="DV66" s="54"/>
      <c r="DW66" s="55">
        <v>0</v>
      </c>
      <c r="DX66" s="56"/>
      <c r="DY66" s="54"/>
      <c r="DZ66" s="54"/>
      <c r="EA66" s="55">
        <v>0</v>
      </c>
      <c r="EB66" s="54"/>
      <c r="EC66" s="54"/>
      <c r="ED66" s="54"/>
      <c r="EE66" s="54"/>
      <c r="EF66" s="54"/>
      <c r="EG66" s="54"/>
      <c r="EH66" s="55">
        <v>0</v>
      </c>
      <c r="EI66" s="54"/>
      <c r="EJ66" s="54"/>
      <c r="EK66" s="54"/>
      <c r="EL66" s="55">
        <v>0</v>
      </c>
      <c r="EM66" s="54"/>
      <c r="EN66" s="54"/>
      <c r="EO66" s="55">
        <v>0</v>
      </c>
      <c r="EP66" s="54"/>
      <c r="EQ66" s="54"/>
      <c r="ER66" s="55">
        <v>0</v>
      </c>
      <c r="ES66" s="54"/>
      <c r="ET66" s="54"/>
      <c r="EU66" s="55">
        <v>0</v>
      </c>
      <c r="EV66" s="54"/>
      <c r="EW66" s="54"/>
      <c r="EX66" s="54"/>
      <c r="EY66" s="54"/>
      <c r="EZ66" s="54"/>
      <c r="FA66" s="56"/>
      <c r="FB66" s="56"/>
      <c r="FC66" s="56"/>
      <c r="FD66" s="54"/>
      <c r="FE66" s="54"/>
      <c r="FF66" s="54"/>
      <c r="FG66" s="55">
        <v>0</v>
      </c>
      <c r="FH66" s="54"/>
      <c r="FI66" s="54"/>
      <c r="FJ66" s="54"/>
      <c r="FK66" s="55">
        <v>0</v>
      </c>
      <c r="FL66" s="54"/>
      <c r="FM66" s="54"/>
      <c r="FN66" s="54"/>
      <c r="FO66" s="54"/>
      <c r="FP66" s="54"/>
      <c r="FQ66" s="54"/>
      <c r="FR66" s="55">
        <v>0</v>
      </c>
      <c r="FS66" s="54"/>
      <c r="FT66" s="54"/>
      <c r="FU66" s="54"/>
      <c r="FV66" s="55">
        <v>0</v>
      </c>
      <c r="FW66" s="54"/>
      <c r="FX66" s="54"/>
      <c r="FY66" s="55">
        <v>0</v>
      </c>
      <c r="FZ66" s="54"/>
      <c r="GA66" s="54"/>
      <c r="GB66" s="55">
        <v>0</v>
      </c>
      <c r="GC66" s="54"/>
      <c r="GD66" s="54"/>
      <c r="GE66" s="55">
        <v>0</v>
      </c>
      <c r="GF66" s="54"/>
      <c r="GG66" s="60">
        <v>0</v>
      </c>
      <c r="GH66" s="61"/>
      <c r="GI66" s="60"/>
      <c r="GJ66" s="56"/>
      <c r="GK66" s="62"/>
      <c r="GL66" s="62"/>
      <c r="GM66" s="62"/>
      <c r="GN66" s="63">
        <v>0</v>
      </c>
      <c r="GO66" s="56"/>
      <c r="GP66" s="54"/>
      <c r="GQ66" s="54"/>
      <c r="GR66" s="55">
        <v>0</v>
      </c>
      <c r="GS66" s="54"/>
      <c r="GT66" s="54"/>
      <c r="GU66" s="54"/>
      <c r="GV66" s="54"/>
      <c r="GW66" s="55">
        <v>0</v>
      </c>
      <c r="GX66" s="54"/>
      <c r="GY66" s="56"/>
      <c r="GZ66" s="56"/>
      <c r="HA66" s="54"/>
      <c r="HB66" s="55">
        <v>0</v>
      </c>
      <c r="HC66" s="54"/>
      <c r="HD66" s="56"/>
      <c r="HE66" s="56"/>
      <c r="HF66" s="56"/>
      <c r="HG66" s="55">
        <v>0</v>
      </c>
      <c r="HH66" s="54"/>
      <c r="HI66" s="56"/>
      <c r="HJ66" s="54"/>
      <c r="HK66" s="54"/>
      <c r="HL66" s="55">
        <v>0</v>
      </c>
      <c r="HM66" s="54"/>
      <c r="HN66" s="56"/>
      <c r="HO66" s="54"/>
      <c r="HP66" s="56"/>
      <c r="HQ66" s="55">
        <v>0</v>
      </c>
      <c r="HR66" s="54"/>
      <c r="HS66" s="64"/>
      <c r="HT66" s="64"/>
      <c r="HU66" s="64"/>
      <c r="HV66" s="63">
        <v>0</v>
      </c>
      <c r="HW66" s="54"/>
      <c r="HX66" s="54"/>
      <c r="HY66" s="54"/>
      <c r="HZ66" s="55">
        <v>0</v>
      </c>
      <c r="IA66" s="54"/>
      <c r="IB66" s="54"/>
      <c r="IC66" s="54"/>
      <c r="ID66" s="54"/>
      <c r="IE66" s="55">
        <v>0</v>
      </c>
      <c r="IF66" s="54"/>
      <c r="IG66" s="56"/>
      <c r="IH66" s="56"/>
      <c r="II66" s="56"/>
      <c r="IJ66" s="55">
        <v>0</v>
      </c>
      <c r="IK66" s="54"/>
      <c r="IL66" s="56"/>
      <c r="IM66" s="56"/>
      <c r="IN66" s="54"/>
      <c r="IO66" s="18">
        <f t="shared" si="770"/>
        <v>0</v>
      </c>
      <c r="IP66" s="54"/>
      <c r="IQ66" s="54"/>
      <c r="IR66" s="54"/>
      <c r="IS66" s="54"/>
      <c r="IT66" s="18">
        <f t="shared" si="771"/>
        <v>0</v>
      </c>
      <c r="IU66" s="56"/>
      <c r="IV66" s="56"/>
      <c r="IW66" s="56"/>
      <c r="IX66" s="55">
        <f t="shared" si="772"/>
        <v>0</v>
      </c>
      <c r="IY66" s="56"/>
      <c r="IZ66" s="56"/>
      <c r="JA66" s="56"/>
      <c r="JB66" s="55">
        <f t="shared" si="773"/>
        <v>0</v>
      </c>
      <c r="JC66" s="56"/>
      <c r="JD66" s="56"/>
      <c r="JE66" s="56"/>
      <c r="JF66" s="55">
        <v>0</v>
      </c>
      <c r="JG66" s="54"/>
      <c r="JH66" s="54"/>
      <c r="JI66" s="54"/>
      <c r="JJ66" s="56"/>
      <c r="JK66" s="56"/>
      <c r="JL66" s="56"/>
      <c r="JM66" s="56"/>
      <c r="JN66" s="56"/>
      <c r="JO66" s="56"/>
      <c r="JP66" s="56"/>
      <c r="JQ66" s="56"/>
      <c r="JR66" s="56"/>
      <c r="JS66" s="56"/>
      <c r="JT66" s="56"/>
      <c r="JU66" s="54"/>
      <c r="JV66" s="54"/>
      <c r="JW66" s="54"/>
      <c r="JX66" s="54"/>
      <c r="JY66" s="54"/>
      <c r="JZ66" s="54"/>
      <c r="KA66" s="54"/>
      <c r="KB66" s="54"/>
      <c r="KC66" s="54"/>
      <c r="KD66" s="54"/>
      <c r="KE66" s="56"/>
      <c r="KF66" s="54"/>
      <c r="KG66" s="54"/>
      <c r="KH66" s="54"/>
      <c r="KI66" s="65"/>
      <c r="KJ66" s="54"/>
      <c r="KK66" s="54"/>
      <c r="KL66" s="54"/>
      <c r="KM66" s="56"/>
      <c r="KN66" s="60"/>
      <c r="KO66" s="54"/>
      <c r="KP66" s="54"/>
      <c r="KQ66" s="54"/>
      <c r="KR66" s="54"/>
      <c r="KS66" s="54"/>
      <c r="KT66" s="54"/>
      <c r="KU66" s="56"/>
      <c r="KV66" s="54"/>
      <c r="KW66" s="54"/>
      <c r="KX66" s="54"/>
      <c r="KY66" s="54"/>
      <c r="KZ66" s="55">
        <v>0</v>
      </c>
      <c r="LA66" s="56"/>
      <c r="LB66" s="56"/>
      <c r="LC66" s="54"/>
      <c r="LD66" s="55">
        <f t="shared" si="775"/>
        <v>0</v>
      </c>
      <c r="LE66" s="56"/>
      <c r="LF66" s="56"/>
      <c r="LG66" s="56"/>
      <c r="LH66" s="55">
        <f t="shared" ref="LH66:LH68" si="821">SUM(LE66:LG66)</f>
        <v>0</v>
      </c>
      <c r="LI66" s="56"/>
      <c r="LJ66" s="56"/>
      <c r="LK66" s="56"/>
      <c r="LL66" s="55">
        <f t="shared" si="777"/>
        <v>0</v>
      </c>
      <c r="LM66" s="54"/>
      <c r="LN66" s="54"/>
      <c r="LO66" s="54"/>
      <c r="LP66" s="55">
        <v>0</v>
      </c>
      <c r="LQ66" s="54"/>
      <c r="LR66" s="54"/>
      <c r="LS66" s="54"/>
      <c r="LT66" s="55">
        <v>0</v>
      </c>
      <c r="LU66" s="66"/>
      <c r="LV66" s="66"/>
      <c r="LW66" s="66"/>
      <c r="LX66" s="67">
        <v>0</v>
      </c>
      <c r="LY66" s="56"/>
      <c r="LZ66" s="56"/>
      <c r="MA66" s="54"/>
      <c r="MB66" s="55">
        <v>0</v>
      </c>
      <c r="MC66" s="68"/>
      <c r="MD66" s="18">
        <f t="shared" si="780"/>
        <v>0</v>
      </c>
      <c r="ME66" s="68"/>
      <c r="MF66" s="18">
        <f t="shared" si="781"/>
        <v>0</v>
      </c>
      <c r="MG66" s="68"/>
      <c r="MH66" s="55">
        <f t="shared" si="782"/>
        <v>0</v>
      </c>
      <c r="MI66" s="68"/>
      <c r="MJ66" s="18">
        <f t="shared" si="783"/>
        <v>0</v>
      </c>
      <c r="MK66" s="68"/>
      <c r="ML66" s="55">
        <v>0</v>
      </c>
      <c r="MM66" s="58"/>
      <c r="MN66" s="54"/>
      <c r="MO66" s="54"/>
      <c r="MP66" s="54"/>
      <c r="MQ66" s="68"/>
      <c r="MR66" s="90"/>
      <c r="MS66" s="54"/>
      <c r="MT66" s="54"/>
      <c r="MU66" s="54"/>
      <c r="MV66" s="58"/>
      <c r="MW66" s="70">
        <v>0</v>
      </c>
      <c r="MX66" s="54"/>
      <c r="MY66" s="54"/>
      <c r="MZ66" s="54"/>
      <c r="NA66" s="70">
        <v>0</v>
      </c>
      <c r="NB66" s="54"/>
      <c r="NC66" s="54"/>
      <c r="ND66" s="54"/>
      <c r="NE66" s="70">
        <v>0</v>
      </c>
      <c r="NF66" s="54"/>
      <c r="NG66" s="54"/>
      <c r="NH66" s="54"/>
      <c r="NI66" s="55">
        <v>0</v>
      </c>
      <c r="NJ66" s="54"/>
      <c r="NK66" s="54"/>
      <c r="NL66" s="54"/>
      <c r="NM66" s="55">
        <v>0</v>
      </c>
      <c r="NN66" s="54"/>
      <c r="NO66" s="54"/>
      <c r="NP66" s="54"/>
      <c r="NQ66" s="55">
        <v>0</v>
      </c>
      <c r="NR66" s="54"/>
      <c r="NS66" s="54"/>
      <c r="NT66" s="54"/>
      <c r="NU66" s="55">
        <v>0</v>
      </c>
      <c r="NV66" s="71"/>
      <c r="NW66" s="71"/>
      <c r="NX66" s="71"/>
      <c r="NY66" s="20">
        <f t="shared" si="789"/>
        <v>0</v>
      </c>
      <c r="NZ66" s="71"/>
      <c r="OA66" s="71"/>
      <c r="OB66" s="71"/>
      <c r="OC66" s="71"/>
      <c r="OD66" s="72"/>
      <c r="OE66" s="72"/>
      <c r="OF66" s="72"/>
      <c r="OG66" s="72"/>
      <c r="OH66" s="72"/>
      <c r="OI66" s="72"/>
      <c r="OJ66" s="72"/>
      <c r="OK66" s="72"/>
      <c r="OL66" s="72"/>
      <c r="OM66" s="72"/>
      <c r="ON66" s="72"/>
      <c r="OO66" s="72"/>
      <c r="OP66" s="72"/>
      <c r="OQ66" s="72"/>
      <c r="OR66" s="72">
        <f t="shared" si="735"/>
        <v>0</v>
      </c>
      <c r="OS66" s="73"/>
      <c r="OT66" s="73"/>
      <c r="OU66" s="73"/>
      <c r="OV66" s="73"/>
      <c r="OW66" s="73"/>
      <c r="OX66" s="74">
        <v>0</v>
      </c>
      <c r="OY66" s="75"/>
      <c r="OZ66" s="75"/>
      <c r="PA66" s="75"/>
      <c r="PB66" s="76">
        <v>0</v>
      </c>
      <c r="PC66" s="75"/>
      <c r="PD66" s="75"/>
      <c r="PE66" s="75"/>
      <c r="PF66" s="76">
        <v>0</v>
      </c>
      <c r="PG66" s="75"/>
      <c r="PH66" s="75"/>
      <c r="PI66" s="75"/>
      <c r="PJ66" s="76">
        <v>0</v>
      </c>
      <c r="PK66" s="75"/>
      <c r="PL66" s="75"/>
      <c r="PM66" s="75"/>
      <c r="PN66" s="76">
        <v>0</v>
      </c>
      <c r="PO66" s="75"/>
      <c r="PP66" s="75"/>
      <c r="PQ66" s="75"/>
      <c r="PR66" s="76">
        <v>0</v>
      </c>
      <c r="PS66" s="75"/>
      <c r="PT66" s="75"/>
      <c r="PU66" s="75"/>
      <c r="PV66" s="76">
        <v>0</v>
      </c>
      <c r="PW66" s="75"/>
      <c r="PX66" s="75"/>
      <c r="PY66" s="75"/>
      <c r="PZ66" s="76">
        <v>0</v>
      </c>
      <c r="QA66" s="53"/>
      <c r="QB66" s="53"/>
      <c r="QC66" s="75"/>
      <c r="QD66" s="77"/>
      <c r="QE66" s="75"/>
      <c r="QF66" s="54"/>
      <c r="QG66" s="54"/>
      <c r="QH66" s="54"/>
      <c r="QI66" s="54"/>
      <c r="QJ66" s="54"/>
      <c r="QK66" s="54"/>
      <c r="QL66" s="55">
        <v>0</v>
      </c>
      <c r="QM66" s="54"/>
      <c r="QN66" s="54"/>
      <c r="QO66" s="54"/>
      <c r="QP66" s="54"/>
      <c r="QQ66" s="54"/>
      <c r="QR66" s="54"/>
      <c r="QS66" s="55">
        <v>0</v>
      </c>
      <c r="QT66" s="54"/>
      <c r="QU66" s="54"/>
      <c r="QV66" s="54"/>
      <c r="QW66" s="54"/>
      <c r="QX66" s="54"/>
      <c r="QY66" s="54"/>
      <c r="QZ66" s="55">
        <v>0</v>
      </c>
      <c r="RA66" s="54"/>
      <c r="RB66" s="54"/>
      <c r="RC66" s="54"/>
      <c r="RD66" s="54"/>
      <c r="RE66" s="54"/>
      <c r="RF66" s="54"/>
      <c r="RG66" s="55">
        <v>0</v>
      </c>
      <c r="RH66" s="54"/>
      <c r="RI66" s="54"/>
      <c r="RJ66" s="54"/>
      <c r="RK66" s="54"/>
      <c r="RL66" s="54"/>
      <c r="RM66" s="54"/>
      <c r="RN66" s="55">
        <v>0</v>
      </c>
      <c r="RO66" s="54"/>
      <c r="RP66" s="54"/>
      <c r="RQ66" s="54"/>
      <c r="RR66" s="54"/>
      <c r="RS66" s="54"/>
      <c r="RT66" s="54"/>
      <c r="RU66" s="55">
        <v>0</v>
      </c>
      <c r="RV66" s="54"/>
      <c r="RW66" s="56"/>
      <c r="RX66" s="56"/>
      <c r="RY66" s="56"/>
      <c r="RZ66" s="54"/>
      <c r="SA66" s="54"/>
      <c r="SB66" s="54"/>
      <c r="SC66" s="70">
        <v>0</v>
      </c>
      <c r="SD66" s="54"/>
      <c r="SE66" s="54"/>
      <c r="SF66" s="54"/>
      <c r="SG66" s="70">
        <v>0</v>
      </c>
      <c r="SH66" s="54"/>
      <c r="SI66" s="54"/>
      <c r="SJ66" s="54"/>
      <c r="SK66" s="54"/>
      <c r="SL66" s="54"/>
      <c r="SM66" s="54"/>
      <c r="SN66" s="70">
        <v>0</v>
      </c>
      <c r="SO66" s="54"/>
      <c r="SP66" s="54"/>
      <c r="SQ66" s="54"/>
      <c r="SR66" s="70">
        <v>0</v>
      </c>
      <c r="SS66" s="54"/>
      <c r="ST66" s="54"/>
      <c r="SU66" s="70">
        <v>0</v>
      </c>
      <c r="SV66" s="54"/>
      <c r="SW66" s="54"/>
      <c r="SX66" s="70">
        <v>0</v>
      </c>
      <c r="SY66" s="54"/>
      <c r="SZ66" s="54"/>
      <c r="TA66" s="70">
        <v>0</v>
      </c>
      <c r="TB66" s="54"/>
      <c r="TC66" s="60"/>
      <c r="TD66" s="61"/>
      <c r="TE66" s="60"/>
      <c r="TF66" s="56"/>
      <c r="TG66" s="56"/>
      <c r="TH66" s="75"/>
      <c r="TI66" s="75"/>
      <c r="TJ66" s="75"/>
      <c r="TK66" s="75"/>
      <c r="TL66" s="75"/>
      <c r="TM66" s="37"/>
      <c r="TN66" s="37"/>
      <c r="TO66" s="37"/>
      <c r="TP66" s="56"/>
      <c r="TQ66" s="56"/>
      <c r="TR66" s="56"/>
      <c r="TS66" s="73"/>
      <c r="TT66" s="73"/>
      <c r="TU66" s="73"/>
      <c r="TV66" s="78"/>
      <c r="TW66" s="79"/>
      <c r="TX66" s="79"/>
      <c r="TY66" s="79"/>
      <c r="TZ66" s="80"/>
      <c r="UA66" s="81"/>
      <c r="UB66" s="82"/>
      <c r="UC66" s="83"/>
    </row>
    <row r="67" spans="1:549" s="4" customFormat="1" hidden="1" x14ac:dyDescent="0.25">
      <c r="A67" s="49">
        <v>120306302</v>
      </c>
      <c r="B67" s="50">
        <v>359</v>
      </c>
      <c r="C67" s="106"/>
      <c r="D67" s="84"/>
      <c r="E67" s="87"/>
      <c r="F67" s="85"/>
      <c r="G67" s="85"/>
      <c r="H67" s="55">
        <v>0</v>
      </c>
      <c r="I67" s="86"/>
      <c r="J67" s="85"/>
      <c r="K67" s="85"/>
      <c r="L67" s="55">
        <v>0</v>
      </c>
      <c r="M67" s="87"/>
      <c r="N67" s="87"/>
      <c r="O67" s="55">
        <v>0</v>
      </c>
      <c r="P67" s="87"/>
      <c r="Q67" s="86"/>
      <c r="R67" s="86"/>
      <c r="S67" s="86"/>
      <c r="T67" s="55">
        <f t="shared" si="819"/>
        <v>0</v>
      </c>
      <c r="U67" s="85"/>
      <c r="V67" s="85"/>
      <c r="W67" s="85"/>
      <c r="X67" s="55">
        <v>0</v>
      </c>
      <c r="Y67" s="85"/>
      <c r="Z67" s="85"/>
      <c r="AA67" s="55">
        <v>0</v>
      </c>
      <c r="AB67" s="85"/>
      <c r="AC67" s="85"/>
      <c r="AD67" s="55">
        <v>0</v>
      </c>
      <c r="AE67" s="85"/>
      <c r="AF67" s="86"/>
      <c r="AG67" s="86"/>
      <c r="AH67" s="55">
        <f t="shared" si="750"/>
        <v>0</v>
      </c>
      <c r="AI67" s="85"/>
      <c r="AJ67" s="86"/>
      <c r="AK67" s="86"/>
      <c r="AL67" s="55">
        <f t="shared" si="820"/>
        <v>0</v>
      </c>
      <c r="AM67" s="85"/>
      <c r="AN67" s="86"/>
      <c r="AO67" s="86"/>
      <c r="AP67" s="55">
        <v>0</v>
      </c>
      <c r="AQ67" s="85"/>
      <c r="AR67" s="85"/>
      <c r="AS67" s="85"/>
      <c r="AT67" s="85"/>
      <c r="AU67" s="55">
        <v>0</v>
      </c>
      <c r="AV67" s="85"/>
      <c r="AW67" s="85"/>
      <c r="AX67" s="86"/>
      <c r="AY67" s="86"/>
      <c r="AZ67" s="88"/>
      <c r="BA67" s="88"/>
      <c r="BB67" s="85"/>
      <c r="BC67" s="85"/>
      <c r="BD67" s="55">
        <v>0</v>
      </c>
      <c r="BE67" s="85"/>
      <c r="BF67" s="86"/>
      <c r="BG67" s="86"/>
      <c r="BH67" s="86"/>
      <c r="BI67" s="86"/>
      <c r="BJ67" s="85"/>
      <c r="BK67" s="86"/>
      <c r="BL67" s="55">
        <v>0</v>
      </c>
      <c r="BM67" s="85"/>
      <c r="BN67" s="86"/>
      <c r="BO67" s="85"/>
      <c r="BP67" s="85"/>
      <c r="BQ67" s="85"/>
      <c r="BR67" s="86"/>
      <c r="BS67" s="55">
        <v>0</v>
      </c>
      <c r="BT67" s="85"/>
      <c r="BU67" s="85"/>
      <c r="BV67" s="85"/>
      <c r="BW67" s="55">
        <v>0</v>
      </c>
      <c r="BX67" s="85"/>
      <c r="BY67" s="85"/>
      <c r="BZ67" s="55">
        <v>0</v>
      </c>
      <c r="CA67" s="85"/>
      <c r="CB67" s="85"/>
      <c r="CC67" s="55">
        <v>0</v>
      </c>
      <c r="CD67" s="85"/>
      <c r="CE67" s="85"/>
      <c r="CF67" s="86"/>
      <c r="CG67" s="86"/>
      <c r="CH67" s="86"/>
      <c r="CI67" s="85"/>
      <c r="CJ67" s="85"/>
      <c r="CK67" s="85"/>
      <c r="CL67" s="55">
        <v>0</v>
      </c>
      <c r="CM67" s="86"/>
      <c r="CN67" s="86"/>
      <c r="CO67" s="85"/>
      <c r="CP67" s="85"/>
      <c r="CQ67" s="55">
        <v>0</v>
      </c>
      <c r="CR67" s="85"/>
      <c r="CS67" s="85"/>
      <c r="CT67" s="85"/>
      <c r="CU67" s="85"/>
      <c r="CV67" s="85"/>
      <c r="CW67" s="85"/>
      <c r="CX67" s="18">
        <f t="shared" si="755"/>
        <v>0</v>
      </c>
      <c r="CY67" s="85"/>
      <c r="CZ67" s="85"/>
      <c r="DA67" s="85"/>
      <c r="DB67" s="18">
        <f t="shared" si="756"/>
        <v>0</v>
      </c>
      <c r="DC67" s="85"/>
      <c r="DD67" s="85"/>
      <c r="DE67" s="18">
        <f t="shared" si="757"/>
        <v>0</v>
      </c>
      <c r="DF67" s="85"/>
      <c r="DG67" s="85"/>
      <c r="DH67" s="55">
        <v>0</v>
      </c>
      <c r="DI67" s="85"/>
      <c r="DJ67" s="85"/>
      <c r="DK67" s="55">
        <v>0</v>
      </c>
      <c r="DL67" s="85"/>
      <c r="DM67" s="85"/>
      <c r="DN67" s="89"/>
      <c r="DO67" s="85"/>
      <c r="DP67" s="85"/>
      <c r="DQ67" s="86"/>
      <c r="DR67" s="86"/>
      <c r="DS67" s="86"/>
      <c r="DT67" s="85"/>
      <c r="DU67" s="85"/>
      <c r="DV67" s="85"/>
      <c r="DW67" s="55">
        <v>0</v>
      </c>
      <c r="DX67" s="86"/>
      <c r="DY67" s="85"/>
      <c r="DZ67" s="85"/>
      <c r="EA67" s="55">
        <v>0</v>
      </c>
      <c r="EB67" s="85"/>
      <c r="EC67" s="85"/>
      <c r="ED67" s="85"/>
      <c r="EE67" s="85"/>
      <c r="EF67" s="85"/>
      <c r="EG67" s="85"/>
      <c r="EH67" s="55">
        <v>0</v>
      </c>
      <c r="EI67" s="85"/>
      <c r="EJ67" s="85"/>
      <c r="EK67" s="85"/>
      <c r="EL67" s="55">
        <v>0</v>
      </c>
      <c r="EM67" s="85"/>
      <c r="EN67" s="85"/>
      <c r="EO67" s="55">
        <v>0</v>
      </c>
      <c r="EP67" s="85"/>
      <c r="EQ67" s="85"/>
      <c r="ER67" s="55">
        <v>0</v>
      </c>
      <c r="ES67" s="85"/>
      <c r="ET67" s="85"/>
      <c r="EU67" s="55">
        <v>0</v>
      </c>
      <c r="EV67" s="85"/>
      <c r="EW67" s="85"/>
      <c r="EX67" s="85"/>
      <c r="EY67" s="85"/>
      <c r="EZ67" s="85"/>
      <c r="FA67" s="86"/>
      <c r="FB67" s="86"/>
      <c r="FC67" s="86"/>
      <c r="FD67" s="85"/>
      <c r="FE67" s="85"/>
      <c r="FF67" s="85"/>
      <c r="FG67" s="55">
        <v>0</v>
      </c>
      <c r="FH67" s="85"/>
      <c r="FI67" s="85"/>
      <c r="FJ67" s="85"/>
      <c r="FK67" s="55">
        <v>0</v>
      </c>
      <c r="FL67" s="85"/>
      <c r="FM67" s="85"/>
      <c r="FN67" s="85"/>
      <c r="FO67" s="85"/>
      <c r="FP67" s="85"/>
      <c r="FQ67" s="85"/>
      <c r="FR67" s="55">
        <v>0</v>
      </c>
      <c r="FS67" s="85"/>
      <c r="FT67" s="85"/>
      <c r="FU67" s="85"/>
      <c r="FV67" s="55">
        <v>0</v>
      </c>
      <c r="FW67" s="85"/>
      <c r="FX67" s="85"/>
      <c r="FY67" s="55">
        <v>0</v>
      </c>
      <c r="FZ67" s="85"/>
      <c r="GA67" s="85"/>
      <c r="GB67" s="55">
        <v>0</v>
      </c>
      <c r="GC67" s="85"/>
      <c r="GD67" s="85"/>
      <c r="GE67" s="55">
        <v>0</v>
      </c>
      <c r="GF67" s="85"/>
      <c r="GG67" s="60">
        <v>0</v>
      </c>
      <c r="GH67" s="61"/>
      <c r="GI67" s="60"/>
      <c r="GJ67" s="86"/>
      <c r="GK67" s="62"/>
      <c r="GL67" s="62"/>
      <c r="GM67" s="62"/>
      <c r="GN67" s="63">
        <v>0</v>
      </c>
      <c r="GO67" s="86"/>
      <c r="GP67" s="85"/>
      <c r="GQ67" s="85"/>
      <c r="GR67" s="55">
        <v>0</v>
      </c>
      <c r="GS67" s="85"/>
      <c r="GT67" s="85"/>
      <c r="GU67" s="85"/>
      <c r="GV67" s="85"/>
      <c r="GW67" s="55">
        <v>0</v>
      </c>
      <c r="GX67" s="85"/>
      <c r="GY67" s="86"/>
      <c r="GZ67" s="86"/>
      <c r="HA67" s="85"/>
      <c r="HB67" s="55">
        <v>0</v>
      </c>
      <c r="HC67" s="85"/>
      <c r="HD67" s="86"/>
      <c r="HE67" s="86"/>
      <c r="HF67" s="86"/>
      <c r="HG67" s="55">
        <v>0</v>
      </c>
      <c r="HH67" s="85"/>
      <c r="HI67" s="86"/>
      <c r="HJ67" s="85"/>
      <c r="HK67" s="85"/>
      <c r="HL67" s="55">
        <v>0</v>
      </c>
      <c r="HM67" s="85"/>
      <c r="HN67" s="86"/>
      <c r="HO67" s="85"/>
      <c r="HP67" s="86"/>
      <c r="HQ67" s="55">
        <v>0</v>
      </c>
      <c r="HR67" s="85"/>
      <c r="HS67" s="64"/>
      <c r="HT67" s="64"/>
      <c r="HU67" s="64"/>
      <c r="HV67" s="63">
        <v>0</v>
      </c>
      <c r="HW67" s="85"/>
      <c r="HX67" s="85"/>
      <c r="HY67" s="85"/>
      <c r="HZ67" s="55">
        <v>0</v>
      </c>
      <c r="IA67" s="85"/>
      <c r="IB67" s="85"/>
      <c r="IC67" s="85"/>
      <c r="ID67" s="85"/>
      <c r="IE67" s="55">
        <v>0</v>
      </c>
      <c r="IF67" s="85"/>
      <c r="IG67" s="56"/>
      <c r="IH67" s="56"/>
      <c r="II67" s="56"/>
      <c r="IJ67" s="55">
        <v>0</v>
      </c>
      <c r="IK67" s="85"/>
      <c r="IL67" s="56"/>
      <c r="IM67" s="56"/>
      <c r="IN67" s="85"/>
      <c r="IO67" s="18">
        <f t="shared" si="770"/>
        <v>0</v>
      </c>
      <c r="IP67" s="85"/>
      <c r="IQ67" s="85"/>
      <c r="IR67" s="85"/>
      <c r="IS67" s="85"/>
      <c r="IT67" s="18">
        <f t="shared" si="771"/>
        <v>0</v>
      </c>
      <c r="IU67" s="86"/>
      <c r="IV67" s="86"/>
      <c r="IW67" s="86"/>
      <c r="IX67" s="55">
        <f t="shared" si="772"/>
        <v>0</v>
      </c>
      <c r="IY67" s="86"/>
      <c r="IZ67" s="86"/>
      <c r="JA67" s="86"/>
      <c r="JB67" s="55">
        <f t="shared" si="773"/>
        <v>0</v>
      </c>
      <c r="JC67" s="86"/>
      <c r="JD67" s="86"/>
      <c r="JE67" s="86"/>
      <c r="JF67" s="55">
        <v>0</v>
      </c>
      <c r="JG67" s="85"/>
      <c r="JH67" s="85"/>
      <c r="JI67" s="85"/>
      <c r="JJ67" s="86"/>
      <c r="JK67" s="86"/>
      <c r="JL67" s="86"/>
      <c r="JM67" s="86"/>
      <c r="JN67" s="86"/>
      <c r="JO67" s="86"/>
      <c r="JP67" s="86"/>
      <c r="JQ67" s="86"/>
      <c r="JR67" s="86"/>
      <c r="JS67" s="86"/>
      <c r="JT67" s="86"/>
      <c r="JU67" s="85"/>
      <c r="JV67" s="85"/>
      <c r="JW67" s="85"/>
      <c r="JX67" s="85"/>
      <c r="JY67" s="85"/>
      <c r="JZ67" s="85"/>
      <c r="KA67" s="85"/>
      <c r="KB67" s="85"/>
      <c r="KC67" s="85"/>
      <c r="KD67" s="85"/>
      <c r="KE67" s="86"/>
      <c r="KF67" s="85"/>
      <c r="KG67" s="85"/>
      <c r="KH67" s="85"/>
      <c r="KI67" s="65"/>
      <c r="KJ67" s="85"/>
      <c r="KK67" s="85"/>
      <c r="KL67" s="85"/>
      <c r="KM67" s="86"/>
      <c r="KN67" s="60"/>
      <c r="KO67" s="85"/>
      <c r="KP67" s="85"/>
      <c r="KQ67" s="85"/>
      <c r="KR67" s="85"/>
      <c r="KS67" s="85"/>
      <c r="KT67" s="85"/>
      <c r="KU67" s="86"/>
      <c r="KV67" s="85"/>
      <c r="KW67" s="85"/>
      <c r="KX67" s="85"/>
      <c r="KY67" s="85"/>
      <c r="KZ67" s="55">
        <v>0</v>
      </c>
      <c r="LA67" s="86"/>
      <c r="LB67" s="86"/>
      <c r="LC67" s="85"/>
      <c r="LD67" s="55">
        <f t="shared" si="775"/>
        <v>0</v>
      </c>
      <c r="LE67" s="86"/>
      <c r="LF67" s="86"/>
      <c r="LG67" s="86"/>
      <c r="LH67" s="55">
        <f t="shared" si="821"/>
        <v>0</v>
      </c>
      <c r="LI67" s="86"/>
      <c r="LJ67" s="86"/>
      <c r="LK67" s="86"/>
      <c r="LL67" s="55">
        <f t="shared" si="777"/>
        <v>0</v>
      </c>
      <c r="LM67" s="85"/>
      <c r="LN67" s="85"/>
      <c r="LO67" s="85"/>
      <c r="LP67" s="55">
        <v>0</v>
      </c>
      <c r="LQ67" s="85"/>
      <c r="LR67" s="85"/>
      <c r="LS67" s="85"/>
      <c r="LT67" s="55">
        <v>0</v>
      </c>
      <c r="LU67" s="66"/>
      <c r="LV67" s="66"/>
      <c r="LW67" s="66"/>
      <c r="LX67" s="67">
        <v>0</v>
      </c>
      <c r="LY67" s="86"/>
      <c r="LZ67" s="86"/>
      <c r="MA67" s="85"/>
      <c r="MB67" s="55">
        <v>0</v>
      </c>
      <c r="MC67" s="90"/>
      <c r="MD67" s="18">
        <f t="shared" si="780"/>
        <v>0</v>
      </c>
      <c r="ME67" s="90"/>
      <c r="MF67" s="18">
        <f t="shared" si="781"/>
        <v>0</v>
      </c>
      <c r="MG67" s="90"/>
      <c r="MH67" s="55">
        <f t="shared" si="782"/>
        <v>0</v>
      </c>
      <c r="MI67" s="90"/>
      <c r="MJ67" s="18">
        <f t="shared" si="783"/>
        <v>0</v>
      </c>
      <c r="MK67" s="90"/>
      <c r="ML67" s="55">
        <v>0</v>
      </c>
      <c r="MM67" s="85"/>
      <c r="MN67" s="85"/>
      <c r="MO67" s="85"/>
      <c r="MP67" s="85"/>
      <c r="MQ67" s="90"/>
      <c r="MR67" s="85"/>
      <c r="MS67" s="85"/>
      <c r="MT67" s="85"/>
      <c r="MU67" s="85"/>
      <c r="MV67" s="85"/>
      <c r="MW67" s="55">
        <v>0</v>
      </c>
      <c r="MX67" s="85"/>
      <c r="MY67" s="85"/>
      <c r="MZ67" s="85"/>
      <c r="NA67" s="55">
        <v>0</v>
      </c>
      <c r="NB67" s="85"/>
      <c r="NC67" s="85"/>
      <c r="ND67" s="85"/>
      <c r="NE67" s="55">
        <v>0</v>
      </c>
      <c r="NF67" s="85"/>
      <c r="NG67" s="85"/>
      <c r="NH67" s="85"/>
      <c r="NI67" s="55">
        <v>0</v>
      </c>
      <c r="NJ67" s="85"/>
      <c r="NK67" s="85"/>
      <c r="NL67" s="85"/>
      <c r="NM67" s="55">
        <v>0</v>
      </c>
      <c r="NN67" s="85"/>
      <c r="NO67" s="85"/>
      <c r="NP67" s="85"/>
      <c r="NQ67" s="55">
        <v>0</v>
      </c>
      <c r="NR67" s="85"/>
      <c r="NS67" s="85"/>
      <c r="NT67" s="85"/>
      <c r="NU67" s="55">
        <v>0</v>
      </c>
      <c r="NV67" s="71"/>
      <c r="NW67" s="71"/>
      <c r="NX67" s="71"/>
      <c r="NY67" s="20">
        <f t="shared" si="789"/>
        <v>0</v>
      </c>
      <c r="NZ67" s="71"/>
      <c r="OA67" s="71"/>
      <c r="OB67" s="71"/>
      <c r="OC67" s="71"/>
      <c r="OD67" s="72"/>
      <c r="OE67" s="72"/>
      <c r="OF67" s="72"/>
      <c r="OG67" s="72"/>
      <c r="OH67" s="72"/>
      <c r="OI67" s="72"/>
      <c r="OJ67" s="72"/>
      <c r="OK67" s="72"/>
      <c r="OL67" s="72"/>
      <c r="OM67" s="72"/>
      <c r="ON67" s="72"/>
      <c r="OO67" s="72"/>
      <c r="OP67" s="72"/>
      <c r="OQ67" s="72"/>
      <c r="OR67" s="72">
        <f t="shared" si="735"/>
        <v>0</v>
      </c>
      <c r="OS67" s="73"/>
      <c r="OT67" s="73"/>
      <c r="OU67" s="73"/>
      <c r="OV67" s="73"/>
      <c r="OW67" s="73"/>
      <c r="OX67" s="74">
        <v>0</v>
      </c>
      <c r="OY67" s="75"/>
      <c r="OZ67" s="75"/>
      <c r="PA67" s="75"/>
      <c r="PB67" s="76">
        <v>0</v>
      </c>
      <c r="PC67" s="75"/>
      <c r="PD67" s="75"/>
      <c r="PE67" s="75"/>
      <c r="PF67" s="76">
        <v>0</v>
      </c>
      <c r="PG67" s="75"/>
      <c r="PH67" s="75"/>
      <c r="PI67" s="75"/>
      <c r="PJ67" s="76">
        <v>0</v>
      </c>
      <c r="PK67" s="75"/>
      <c r="PL67" s="75"/>
      <c r="PM67" s="75"/>
      <c r="PN67" s="76">
        <v>0</v>
      </c>
      <c r="PO67" s="75"/>
      <c r="PP67" s="75"/>
      <c r="PQ67" s="75"/>
      <c r="PR67" s="76">
        <v>0</v>
      </c>
      <c r="PS67" s="75"/>
      <c r="PT67" s="75"/>
      <c r="PU67" s="75"/>
      <c r="PV67" s="76">
        <v>0</v>
      </c>
      <c r="PW67" s="75"/>
      <c r="PX67" s="75"/>
      <c r="PY67" s="75"/>
      <c r="PZ67" s="76">
        <v>0</v>
      </c>
      <c r="QA67" s="87"/>
      <c r="QB67" s="87"/>
      <c r="QC67" s="75"/>
      <c r="QD67" s="77"/>
      <c r="QE67" s="75"/>
      <c r="QF67" s="85"/>
      <c r="QG67" s="85"/>
      <c r="QH67" s="85"/>
      <c r="QI67" s="85"/>
      <c r="QJ67" s="85"/>
      <c r="QK67" s="85"/>
      <c r="QL67" s="55">
        <v>0</v>
      </c>
      <c r="QM67" s="85"/>
      <c r="QN67" s="85"/>
      <c r="QO67" s="85"/>
      <c r="QP67" s="85"/>
      <c r="QQ67" s="85"/>
      <c r="QR67" s="85"/>
      <c r="QS67" s="55">
        <v>0</v>
      </c>
      <c r="QT67" s="85"/>
      <c r="QU67" s="85"/>
      <c r="QV67" s="85"/>
      <c r="QW67" s="85"/>
      <c r="QX67" s="85"/>
      <c r="QY67" s="85"/>
      <c r="QZ67" s="55">
        <v>0</v>
      </c>
      <c r="RA67" s="85"/>
      <c r="RB67" s="85"/>
      <c r="RC67" s="85"/>
      <c r="RD67" s="85"/>
      <c r="RE67" s="85"/>
      <c r="RF67" s="85"/>
      <c r="RG67" s="55">
        <v>0</v>
      </c>
      <c r="RH67" s="85"/>
      <c r="RI67" s="85"/>
      <c r="RJ67" s="85"/>
      <c r="RK67" s="85"/>
      <c r="RL67" s="85"/>
      <c r="RM67" s="85"/>
      <c r="RN67" s="55">
        <v>0</v>
      </c>
      <c r="RO67" s="85"/>
      <c r="RP67" s="85"/>
      <c r="RQ67" s="85"/>
      <c r="RR67" s="85"/>
      <c r="RS67" s="85"/>
      <c r="RT67" s="85"/>
      <c r="RU67" s="55">
        <v>0</v>
      </c>
      <c r="RV67" s="85"/>
      <c r="RW67" s="86"/>
      <c r="RX67" s="86"/>
      <c r="RY67" s="86"/>
      <c r="RZ67" s="85"/>
      <c r="SA67" s="85"/>
      <c r="SB67" s="85"/>
      <c r="SC67" s="55">
        <v>0</v>
      </c>
      <c r="SD67" s="85"/>
      <c r="SE67" s="85"/>
      <c r="SF67" s="85"/>
      <c r="SG67" s="55">
        <v>0</v>
      </c>
      <c r="SH67" s="85"/>
      <c r="SI67" s="85"/>
      <c r="SJ67" s="85"/>
      <c r="SK67" s="85"/>
      <c r="SL67" s="85"/>
      <c r="SM67" s="85"/>
      <c r="SN67" s="55">
        <v>0</v>
      </c>
      <c r="SO67" s="85"/>
      <c r="SP67" s="85"/>
      <c r="SQ67" s="85"/>
      <c r="SR67" s="55">
        <v>0</v>
      </c>
      <c r="SS67" s="85"/>
      <c r="ST67" s="85"/>
      <c r="SU67" s="55">
        <v>0</v>
      </c>
      <c r="SV67" s="85"/>
      <c r="SW67" s="85"/>
      <c r="SX67" s="55">
        <v>0</v>
      </c>
      <c r="SY67" s="85"/>
      <c r="SZ67" s="85"/>
      <c r="TA67" s="55">
        <v>0</v>
      </c>
      <c r="TB67" s="85"/>
      <c r="TC67" s="60"/>
      <c r="TD67" s="61"/>
      <c r="TE67" s="60"/>
      <c r="TF67" s="86"/>
      <c r="TG67" s="86"/>
      <c r="TH67" s="75"/>
      <c r="TI67" s="75"/>
      <c r="TJ67" s="75"/>
      <c r="TK67" s="75"/>
      <c r="TL67" s="75"/>
      <c r="TM67" s="37"/>
      <c r="TN67" s="37"/>
      <c r="TO67" s="37"/>
      <c r="TP67" s="86"/>
      <c r="TQ67" s="86"/>
      <c r="TR67" s="86"/>
      <c r="TS67" s="73"/>
      <c r="TT67" s="73"/>
      <c r="TU67" s="73"/>
      <c r="TV67" s="78"/>
      <c r="TW67" s="79"/>
      <c r="TX67" s="79"/>
      <c r="TY67" s="79"/>
      <c r="TZ67" s="80"/>
      <c r="UA67" s="81"/>
      <c r="UB67" s="82"/>
      <c r="UC67" s="83"/>
    </row>
    <row r="68" spans="1:549" s="4" customFormat="1" hidden="1" x14ac:dyDescent="0.25">
      <c r="A68" s="91">
        <v>120306303</v>
      </c>
      <c r="B68" s="92">
        <v>360</v>
      </c>
      <c r="C68" s="106"/>
      <c r="D68" s="107"/>
      <c r="E68" s="53"/>
      <c r="F68" s="54"/>
      <c r="G68" s="54"/>
      <c r="H68" s="55">
        <v>0</v>
      </c>
      <c r="I68" s="56"/>
      <c r="J68" s="54"/>
      <c r="K68" s="54"/>
      <c r="L68" s="55">
        <v>0</v>
      </c>
      <c r="M68" s="53"/>
      <c r="N68" s="53"/>
      <c r="O68" s="55">
        <f t="shared" ref="O68" si="822">SUM(M68:N68)</f>
        <v>0</v>
      </c>
      <c r="P68" s="53"/>
      <c r="Q68" s="56"/>
      <c r="R68" s="56"/>
      <c r="S68" s="56"/>
      <c r="T68" s="55">
        <f t="shared" si="819"/>
        <v>0</v>
      </c>
      <c r="U68" s="54"/>
      <c r="V68" s="54"/>
      <c r="W68" s="54"/>
      <c r="X68" s="55">
        <f t="shared" ref="X68" si="823">SUM(V68:W68)</f>
        <v>0</v>
      </c>
      <c r="Y68" s="54"/>
      <c r="Z68" s="54"/>
      <c r="AA68" s="55">
        <f t="shared" ref="AA68" si="824">SUM(Y68:Z68)</f>
        <v>0</v>
      </c>
      <c r="AB68" s="54"/>
      <c r="AC68" s="54"/>
      <c r="AD68" s="55">
        <v>0</v>
      </c>
      <c r="AE68" s="54"/>
      <c r="AF68" s="56"/>
      <c r="AG68" s="56"/>
      <c r="AH68" s="55">
        <f t="shared" si="750"/>
        <v>0</v>
      </c>
      <c r="AI68" s="54"/>
      <c r="AJ68" s="56"/>
      <c r="AK68" s="56"/>
      <c r="AL68" s="55">
        <f t="shared" si="820"/>
        <v>0</v>
      </c>
      <c r="AM68" s="54"/>
      <c r="AN68" s="56"/>
      <c r="AO68" s="56"/>
      <c r="AP68" s="55">
        <f t="shared" ref="AP68" si="825">SUM(AN68:AO68)</f>
        <v>0</v>
      </c>
      <c r="AQ68" s="54"/>
      <c r="AR68" s="54"/>
      <c r="AS68" s="54"/>
      <c r="AT68" s="54"/>
      <c r="AU68" s="55">
        <f t="shared" ref="AU68" si="826">SUM(AR68:AT68)</f>
        <v>0</v>
      </c>
      <c r="AV68" s="54"/>
      <c r="AW68" s="54"/>
      <c r="AX68" s="56"/>
      <c r="AY68" s="56"/>
      <c r="AZ68" s="57"/>
      <c r="BA68" s="57"/>
      <c r="BB68" s="54"/>
      <c r="BC68" s="54"/>
      <c r="BD68" s="55">
        <v>0</v>
      </c>
      <c r="BE68" s="54"/>
      <c r="BF68" s="56"/>
      <c r="BG68" s="56"/>
      <c r="BH68" s="56"/>
      <c r="BI68" s="56"/>
      <c r="BJ68" s="54"/>
      <c r="BK68" s="56"/>
      <c r="BL68" s="55">
        <v>0</v>
      </c>
      <c r="BM68" s="54"/>
      <c r="BN68" s="56"/>
      <c r="BO68" s="54"/>
      <c r="BP68" s="54"/>
      <c r="BQ68" s="54"/>
      <c r="BR68" s="56"/>
      <c r="BS68" s="55">
        <f t="shared" ref="BS68" si="827">SUM(BP68:BR68)</f>
        <v>0</v>
      </c>
      <c r="BT68" s="54"/>
      <c r="BU68" s="54"/>
      <c r="BV68" s="54"/>
      <c r="BW68" s="55">
        <v>0</v>
      </c>
      <c r="BX68" s="54"/>
      <c r="BY68" s="54"/>
      <c r="BZ68" s="55">
        <v>0</v>
      </c>
      <c r="CA68" s="54"/>
      <c r="CB68" s="54"/>
      <c r="CC68" s="55">
        <v>0</v>
      </c>
      <c r="CD68" s="54"/>
      <c r="CE68" s="54"/>
      <c r="CF68" s="56"/>
      <c r="CG68" s="56"/>
      <c r="CH68" s="56"/>
      <c r="CI68" s="54"/>
      <c r="CJ68" s="54"/>
      <c r="CK68" s="54"/>
      <c r="CL68" s="55">
        <v>0</v>
      </c>
      <c r="CM68" s="56"/>
      <c r="CN68" s="56"/>
      <c r="CO68" s="54"/>
      <c r="CP68" s="54"/>
      <c r="CQ68" s="55">
        <v>0</v>
      </c>
      <c r="CR68" s="54"/>
      <c r="CS68" s="54"/>
      <c r="CT68" s="54"/>
      <c r="CU68" s="54"/>
      <c r="CV68" s="54"/>
      <c r="CW68" s="54"/>
      <c r="CX68" s="18">
        <v>0</v>
      </c>
      <c r="CY68" s="54"/>
      <c r="CZ68" s="54"/>
      <c r="DA68" s="54"/>
      <c r="DB68" s="18">
        <f t="shared" si="756"/>
        <v>0</v>
      </c>
      <c r="DC68" s="54"/>
      <c r="DD68" s="54"/>
      <c r="DE68" s="18">
        <f t="shared" si="757"/>
        <v>0</v>
      </c>
      <c r="DF68" s="54"/>
      <c r="DG68" s="54"/>
      <c r="DH68" s="55">
        <v>0</v>
      </c>
      <c r="DI68" s="54"/>
      <c r="DJ68" s="54"/>
      <c r="DK68" s="55">
        <f t="shared" ref="DK68" si="828">SUM(DI68:DJ68)</f>
        <v>0</v>
      </c>
      <c r="DL68" s="54"/>
      <c r="DM68" s="54"/>
      <c r="DN68" s="59"/>
      <c r="DO68" s="54"/>
      <c r="DP68" s="54"/>
      <c r="DQ68" s="56"/>
      <c r="DR68" s="56"/>
      <c r="DS68" s="56"/>
      <c r="DT68" s="54"/>
      <c r="DU68" s="54"/>
      <c r="DV68" s="54"/>
      <c r="DW68" s="55">
        <v>0</v>
      </c>
      <c r="DX68" s="56"/>
      <c r="DY68" s="54"/>
      <c r="DZ68" s="54"/>
      <c r="EA68" s="55">
        <v>0</v>
      </c>
      <c r="EB68" s="54"/>
      <c r="EC68" s="54"/>
      <c r="ED68" s="54"/>
      <c r="EE68" s="54"/>
      <c r="EF68" s="54"/>
      <c r="EG68" s="54"/>
      <c r="EH68" s="55">
        <v>0</v>
      </c>
      <c r="EI68" s="54"/>
      <c r="EJ68" s="54"/>
      <c r="EK68" s="54"/>
      <c r="EL68" s="55">
        <v>0</v>
      </c>
      <c r="EM68" s="54"/>
      <c r="EN68" s="54"/>
      <c r="EO68" s="55">
        <v>0</v>
      </c>
      <c r="EP68" s="54"/>
      <c r="EQ68" s="54"/>
      <c r="ER68" s="55">
        <v>0</v>
      </c>
      <c r="ES68" s="54"/>
      <c r="ET68" s="54"/>
      <c r="EU68" s="55">
        <v>0</v>
      </c>
      <c r="EV68" s="54"/>
      <c r="EW68" s="54"/>
      <c r="EX68" s="54"/>
      <c r="EY68" s="54"/>
      <c r="EZ68" s="54"/>
      <c r="FA68" s="56"/>
      <c r="FB68" s="56"/>
      <c r="FC68" s="56"/>
      <c r="FD68" s="54"/>
      <c r="FE68" s="54"/>
      <c r="FF68" s="54"/>
      <c r="FG68" s="55">
        <v>0</v>
      </c>
      <c r="FH68" s="54"/>
      <c r="FI68" s="54"/>
      <c r="FJ68" s="54"/>
      <c r="FK68" s="55">
        <v>0</v>
      </c>
      <c r="FL68" s="54"/>
      <c r="FM68" s="54"/>
      <c r="FN68" s="54"/>
      <c r="FO68" s="54"/>
      <c r="FP68" s="54"/>
      <c r="FQ68" s="54"/>
      <c r="FR68" s="55">
        <v>0</v>
      </c>
      <c r="FS68" s="54"/>
      <c r="FT68" s="54"/>
      <c r="FU68" s="54"/>
      <c r="FV68" s="55">
        <v>0</v>
      </c>
      <c r="FW68" s="54"/>
      <c r="FX68" s="54"/>
      <c r="FY68" s="55">
        <v>0</v>
      </c>
      <c r="FZ68" s="54"/>
      <c r="GA68" s="54"/>
      <c r="GB68" s="55">
        <v>0</v>
      </c>
      <c r="GC68" s="54"/>
      <c r="GD68" s="54"/>
      <c r="GE68" s="55">
        <v>0</v>
      </c>
      <c r="GF68" s="54"/>
      <c r="GG68" s="60">
        <v>0</v>
      </c>
      <c r="GH68" s="61"/>
      <c r="GI68" s="60"/>
      <c r="GJ68" s="56"/>
      <c r="GK68" s="62"/>
      <c r="GL68" s="62"/>
      <c r="GM68" s="62"/>
      <c r="GN68" s="63">
        <v>0</v>
      </c>
      <c r="GO68" s="56"/>
      <c r="GP68" s="54"/>
      <c r="GQ68" s="54"/>
      <c r="GR68" s="55">
        <v>0</v>
      </c>
      <c r="GS68" s="54"/>
      <c r="GT68" s="54"/>
      <c r="GU68" s="54"/>
      <c r="GV68" s="54"/>
      <c r="GW68" s="55">
        <v>0</v>
      </c>
      <c r="GX68" s="54"/>
      <c r="GY68" s="56"/>
      <c r="GZ68" s="56"/>
      <c r="HA68" s="54"/>
      <c r="HB68" s="55">
        <f t="shared" ref="HB68" si="829">SUM(GY68:HA68)</f>
        <v>0</v>
      </c>
      <c r="HC68" s="54"/>
      <c r="HD68" s="56"/>
      <c r="HE68" s="56"/>
      <c r="HF68" s="56"/>
      <c r="HG68" s="55">
        <f t="shared" ref="HG68" si="830">SUM(HD68:HF68)</f>
        <v>0</v>
      </c>
      <c r="HH68" s="54"/>
      <c r="HI68" s="56"/>
      <c r="HJ68" s="54"/>
      <c r="HK68" s="54"/>
      <c r="HL68" s="55">
        <v>0</v>
      </c>
      <c r="HM68" s="54"/>
      <c r="HN68" s="56"/>
      <c r="HO68" s="54"/>
      <c r="HP68" s="56"/>
      <c r="HQ68" s="55">
        <f t="shared" ref="HQ68" si="831">SUM(HN68:HP68)</f>
        <v>0</v>
      </c>
      <c r="HR68" s="54"/>
      <c r="HS68" s="64"/>
      <c r="HT68" s="64"/>
      <c r="HU68" s="64"/>
      <c r="HV68" s="63">
        <v>0</v>
      </c>
      <c r="HW68" s="54"/>
      <c r="HX68" s="54"/>
      <c r="HY68" s="54"/>
      <c r="HZ68" s="55">
        <f t="shared" ref="HZ68" si="832">SUM(HW68:HY68)</f>
        <v>0</v>
      </c>
      <c r="IA68" s="54"/>
      <c r="IB68" s="54"/>
      <c r="IC68" s="54"/>
      <c r="ID68" s="54"/>
      <c r="IE68" s="55">
        <f t="shared" ref="IE68" si="833">SUM(IB68:ID68)</f>
        <v>0</v>
      </c>
      <c r="IF68" s="54"/>
      <c r="IG68" s="56"/>
      <c r="IH68" s="56"/>
      <c r="II68" s="56"/>
      <c r="IJ68" s="55">
        <v>0</v>
      </c>
      <c r="IK68" s="54"/>
      <c r="IL68" s="56"/>
      <c r="IM68" s="56"/>
      <c r="IN68" s="54"/>
      <c r="IO68" s="18">
        <f t="shared" si="770"/>
        <v>0</v>
      </c>
      <c r="IP68" s="54"/>
      <c r="IQ68" s="54"/>
      <c r="IR68" s="54"/>
      <c r="IS68" s="54"/>
      <c r="IT68" s="18">
        <f t="shared" si="771"/>
        <v>0</v>
      </c>
      <c r="IU68" s="56"/>
      <c r="IV68" s="56"/>
      <c r="IW68" s="56"/>
      <c r="IX68" s="55">
        <f t="shared" si="772"/>
        <v>0</v>
      </c>
      <c r="IY68" s="56"/>
      <c r="IZ68" s="56"/>
      <c r="JA68" s="56"/>
      <c r="JB68" s="55">
        <f t="shared" si="773"/>
        <v>0</v>
      </c>
      <c r="JC68" s="56"/>
      <c r="JD68" s="56"/>
      <c r="JE68" s="56"/>
      <c r="JF68" s="55">
        <f t="shared" ref="JF68" si="834">SUM(JC68:JE68)</f>
        <v>0</v>
      </c>
      <c r="JG68" s="54"/>
      <c r="JH68" s="54"/>
      <c r="JI68" s="54"/>
      <c r="JJ68" s="56"/>
      <c r="JK68" s="56"/>
      <c r="JL68" s="56"/>
      <c r="JM68" s="56"/>
      <c r="JN68" s="56"/>
      <c r="JO68" s="56"/>
      <c r="JP68" s="56"/>
      <c r="JQ68" s="56"/>
      <c r="JR68" s="56"/>
      <c r="JS68" s="56"/>
      <c r="JT68" s="56"/>
      <c r="JU68" s="54"/>
      <c r="JV68" s="54"/>
      <c r="JW68" s="54"/>
      <c r="JX68" s="54"/>
      <c r="JY68" s="54"/>
      <c r="JZ68" s="54"/>
      <c r="KA68" s="54"/>
      <c r="KB68" s="54"/>
      <c r="KC68" s="54"/>
      <c r="KD68" s="54"/>
      <c r="KE68" s="56"/>
      <c r="KF68" s="54"/>
      <c r="KG68" s="54"/>
      <c r="KH68" s="54"/>
      <c r="KI68" s="65"/>
      <c r="KJ68" s="54"/>
      <c r="KK68" s="54"/>
      <c r="KL68" s="54"/>
      <c r="KM68" s="56"/>
      <c r="KN68" s="60"/>
      <c r="KO68" s="54"/>
      <c r="KP68" s="54"/>
      <c r="KQ68" s="54"/>
      <c r="KR68" s="54"/>
      <c r="KS68" s="54"/>
      <c r="KT68" s="54"/>
      <c r="KU68" s="56"/>
      <c r="KV68" s="54"/>
      <c r="KW68" s="54"/>
      <c r="KX68" s="54"/>
      <c r="KY68" s="54"/>
      <c r="KZ68" s="55">
        <v>0</v>
      </c>
      <c r="LA68" s="56"/>
      <c r="LB68" s="56"/>
      <c r="LC68" s="54"/>
      <c r="LD68" s="55">
        <f t="shared" si="775"/>
        <v>0</v>
      </c>
      <c r="LE68" s="56"/>
      <c r="LF68" s="56"/>
      <c r="LG68" s="56"/>
      <c r="LH68" s="55">
        <f t="shared" si="821"/>
        <v>0</v>
      </c>
      <c r="LI68" s="56"/>
      <c r="LJ68" s="56"/>
      <c r="LK68" s="56"/>
      <c r="LL68" s="55">
        <f t="shared" si="777"/>
        <v>0</v>
      </c>
      <c r="LM68" s="54"/>
      <c r="LN68" s="54"/>
      <c r="LO68" s="54"/>
      <c r="LP68" s="55">
        <v>0</v>
      </c>
      <c r="LQ68" s="54"/>
      <c r="LR68" s="54"/>
      <c r="LS68" s="54"/>
      <c r="LT68" s="55">
        <v>0</v>
      </c>
      <c r="LU68" s="66"/>
      <c r="LV68" s="66"/>
      <c r="LW68" s="66"/>
      <c r="LX68" s="67">
        <v>0</v>
      </c>
      <c r="LY68" s="56"/>
      <c r="LZ68" s="56"/>
      <c r="MA68" s="54"/>
      <c r="MB68" s="55">
        <v>0</v>
      </c>
      <c r="MC68" s="68"/>
      <c r="MD68" s="18">
        <f t="shared" si="780"/>
        <v>0</v>
      </c>
      <c r="ME68" s="68"/>
      <c r="MF68" s="18">
        <f t="shared" si="781"/>
        <v>0</v>
      </c>
      <c r="MG68" s="68"/>
      <c r="MH68" s="55">
        <f t="shared" si="782"/>
        <v>0</v>
      </c>
      <c r="MI68" s="68"/>
      <c r="MJ68" s="18">
        <f t="shared" si="783"/>
        <v>0</v>
      </c>
      <c r="MK68" s="68"/>
      <c r="ML68" s="55">
        <v>0</v>
      </c>
      <c r="MM68" s="54"/>
      <c r="MN68" s="54"/>
      <c r="MO68" s="54"/>
      <c r="MP68" s="54"/>
      <c r="MQ68" s="68"/>
      <c r="MR68" s="54"/>
      <c r="MS68" s="54"/>
      <c r="MT68" s="54"/>
      <c r="MU68" s="54"/>
      <c r="MV68" s="54"/>
      <c r="MW68" s="70">
        <v>0</v>
      </c>
      <c r="MX68" s="54"/>
      <c r="MY68" s="54"/>
      <c r="MZ68" s="54"/>
      <c r="NA68" s="70">
        <v>0</v>
      </c>
      <c r="NB68" s="54"/>
      <c r="NC68" s="54"/>
      <c r="ND68" s="54"/>
      <c r="NE68" s="70">
        <v>0</v>
      </c>
      <c r="NF68" s="54"/>
      <c r="NG68" s="54"/>
      <c r="NH68" s="54"/>
      <c r="NI68" s="55">
        <f t="shared" ref="NI68" si="835">SUM(NF68:NH68)</f>
        <v>0</v>
      </c>
      <c r="NJ68" s="54"/>
      <c r="NK68" s="54"/>
      <c r="NL68" s="54"/>
      <c r="NM68" s="55">
        <f t="shared" ref="NM68" si="836">SUM(NJ68:NL68)</f>
        <v>0</v>
      </c>
      <c r="NN68" s="54"/>
      <c r="NO68" s="54"/>
      <c r="NP68" s="54"/>
      <c r="NQ68" s="55">
        <f t="shared" ref="NQ68" si="837">SUM(NN68:NP68)</f>
        <v>0</v>
      </c>
      <c r="NR68" s="54"/>
      <c r="NS68" s="54"/>
      <c r="NT68" s="54"/>
      <c r="NU68" s="55">
        <f t="shared" ref="NU68" si="838">SUM(NR68:NT68)</f>
        <v>0</v>
      </c>
      <c r="NV68" s="71"/>
      <c r="NW68" s="71"/>
      <c r="NX68" s="71"/>
      <c r="NY68" s="20">
        <f t="shared" si="789"/>
        <v>0</v>
      </c>
      <c r="NZ68" s="71"/>
      <c r="OA68" s="71"/>
      <c r="OB68" s="71"/>
      <c r="OC68" s="71"/>
      <c r="OD68" s="72"/>
      <c r="OE68" s="72"/>
      <c r="OF68" s="72"/>
      <c r="OG68" s="72"/>
      <c r="OH68" s="72"/>
      <c r="OI68" s="72"/>
      <c r="OJ68" s="72"/>
      <c r="OK68" s="72"/>
      <c r="OL68" s="72"/>
      <c r="OM68" s="72"/>
      <c r="ON68" s="72"/>
      <c r="OO68" s="72"/>
      <c r="OP68" s="72"/>
      <c r="OQ68" s="72"/>
      <c r="OR68" s="72">
        <f t="shared" si="735"/>
        <v>0</v>
      </c>
      <c r="OS68" s="73"/>
      <c r="OT68" s="73"/>
      <c r="OU68" s="73"/>
      <c r="OV68" s="73"/>
      <c r="OW68" s="73"/>
      <c r="OX68" s="74">
        <v>0</v>
      </c>
      <c r="OY68" s="75"/>
      <c r="OZ68" s="75"/>
      <c r="PA68" s="75"/>
      <c r="PB68" s="76">
        <v>0</v>
      </c>
      <c r="PC68" s="75"/>
      <c r="PD68" s="75"/>
      <c r="PE68" s="75"/>
      <c r="PF68" s="76">
        <v>0</v>
      </c>
      <c r="PG68" s="75"/>
      <c r="PH68" s="75"/>
      <c r="PI68" s="75"/>
      <c r="PJ68" s="76">
        <v>0</v>
      </c>
      <c r="PK68" s="75"/>
      <c r="PL68" s="75"/>
      <c r="PM68" s="75"/>
      <c r="PN68" s="76">
        <v>0</v>
      </c>
      <c r="PO68" s="75"/>
      <c r="PP68" s="75"/>
      <c r="PQ68" s="75"/>
      <c r="PR68" s="76">
        <v>0</v>
      </c>
      <c r="PS68" s="75"/>
      <c r="PT68" s="75"/>
      <c r="PU68" s="75"/>
      <c r="PV68" s="76">
        <v>0</v>
      </c>
      <c r="PW68" s="75"/>
      <c r="PX68" s="75"/>
      <c r="PY68" s="75"/>
      <c r="PZ68" s="76">
        <v>0</v>
      </c>
      <c r="QA68" s="75"/>
      <c r="QB68" s="75"/>
      <c r="QC68" s="75"/>
      <c r="QD68" s="77"/>
      <c r="QE68" s="75"/>
      <c r="QF68" s="54"/>
      <c r="QG68" s="54"/>
      <c r="QH68" s="54"/>
      <c r="QI68" s="54"/>
      <c r="QJ68" s="54"/>
      <c r="QK68" s="54"/>
      <c r="QL68" s="55">
        <f t="shared" ref="QL68" si="839">SUM(QF68:QK68)</f>
        <v>0</v>
      </c>
      <c r="QM68" s="54"/>
      <c r="QN68" s="54"/>
      <c r="QO68" s="54"/>
      <c r="QP68" s="54"/>
      <c r="QQ68" s="54"/>
      <c r="QR68" s="54"/>
      <c r="QS68" s="55">
        <f t="shared" ref="QS68" si="840">SUM(QM68:QR68)</f>
        <v>0</v>
      </c>
      <c r="QT68" s="54"/>
      <c r="QU68" s="54"/>
      <c r="QV68" s="54"/>
      <c r="QW68" s="54"/>
      <c r="QX68" s="54"/>
      <c r="QY68" s="54"/>
      <c r="QZ68" s="55">
        <f t="shared" ref="QZ68" si="841">SUM(QT68:QY68)</f>
        <v>0</v>
      </c>
      <c r="RA68" s="54"/>
      <c r="RB68" s="54"/>
      <c r="RC68" s="54"/>
      <c r="RD68" s="54"/>
      <c r="RE68" s="54"/>
      <c r="RF68" s="54"/>
      <c r="RG68" s="55">
        <f t="shared" ref="RG68" si="842">SUM(RA68:RF68)</f>
        <v>0</v>
      </c>
      <c r="RH68" s="54"/>
      <c r="RI68" s="54"/>
      <c r="RJ68" s="54"/>
      <c r="RK68" s="54"/>
      <c r="RL68" s="54"/>
      <c r="RM68" s="54"/>
      <c r="RN68" s="55">
        <f t="shared" ref="RN68" si="843">SUM(RH68:RM68)</f>
        <v>0</v>
      </c>
      <c r="RO68" s="54"/>
      <c r="RP68" s="54"/>
      <c r="RQ68" s="54"/>
      <c r="RR68" s="54"/>
      <c r="RS68" s="54"/>
      <c r="RT68" s="54"/>
      <c r="RU68" s="55">
        <f t="shared" ref="RU68" si="844">SUM(RO68:RT68)</f>
        <v>0</v>
      </c>
      <c r="RV68" s="54"/>
      <c r="RW68" s="56"/>
      <c r="RX68" s="56"/>
      <c r="RY68" s="56"/>
      <c r="RZ68" s="54"/>
      <c r="SA68" s="54"/>
      <c r="SB68" s="54"/>
      <c r="SC68" s="70">
        <f t="shared" ref="SC68" si="845">SUM(RZ68:SB68)</f>
        <v>0</v>
      </c>
      <c r="SD68" s="54"/>
      <c r="SE68" s="54"/>
      <c r="SF68" s="54"/>
      <c r="SG68" s="70">
        <f t="shared" ref="SG68" si="846">SUM(SE68:SF68)</f>
        <v>0</v>
      </c>
      <c r="SH68" s="54"/>
      <c r="SI68" s="54"/>
      <c r="SJ68" s="54"/>
      <c r="SK68" s="54"/>
      <c r="SL68" s="54"/>
      <c r="SM68" s="54"/>
      <c r="SN68" s="70">
        <f t="shared" ref="SN68" si="847">SUM(SK68:SM68)</f>
        <v>0</v>
      </c>
      <c r="SO68" s="54"/>
      <c r="SP68" s="54"/>
      <c r="SQ68" s="54"/>
      <c r="SR68" s="70">
        <f t="shared" ref="SR68" si="848">SUM(SP68:SQ68)</f>
        <v>0</v>
      </c>
      <c r="SS68" s="54"/>
      <c r="ST68" s="54"/>
      <c r="SU68" s="70">
        <f t="shared" ref="SU68" si="849">SUM(SS68:ST68)</f>
        <v>0</v>
      </c>
      <c r="SV68" s="54"/>
      <c r="SW68" s="54"/>
      <c r="SX68" s="70">
        <f t="shared" ref="SX68" si="850">SUM(SV68:SW68)</f>
        <v>0</v>
      </c>
      <c r="SY68" s="54"/>
      <c r="SZ68" s="54"/>
      <c r="TA68" s="70">
        <f t="shared" ref="TA68" si="851">SUM(SY68:SZ68)</f>
        <v>0</v>
      </c>
      <c r="TB68" s="54"/>
      <c r="TC68" s="60">
        <v>0</v>
      </c>
      <c r="TD68" s="61"/>
      <c r="TE68" s="60"/>
      <c r="TF68" s="56"/>
      <c r="TG68" s="56"/>
      <c r="TH68" s="75"/>
      <c r="TI68" s="75"/>
      <c r="TJ68" s="75"/>
      <c r="TK68" s="75"/>
      <c r="TL68" s="75"/>
      <c r="TM68" s="37"/>
      <c r="TN68" s="37"/>
      <c r="TO68" s="37"/>
      <c r="TP68" s="56"/>
      <c r="TQ68" s="56"/>
      <c r="TR68" s="56"/>
      <c r="TS68" s="73"/>
      <c r="TT68" s="73"/>
      <c r="TU68" s="73"/>
      <c r="TV68" s="78"/>
      <c r="TW68" s="79"/>
      <c r="TX68" s="79"/>
      <c r="TY68" s="79"/>
      <c r="TZ68" s="80"/>
      <c r="UA68" s="81"/>
      <c r="UB68" s="82"/>
      <c r="UC68" s="83"/>
    </row>
    <row r="69" spans="1:549" hidden="1" x14ac:dyDescent="0.25">
      <c r="A69" s="25">
        <v>120400</v>
      </c>
      <c r="B69" s="26"/>
      <c r="C69" s="27"/>
      <c r="D69" s="108"/>
      <c r="E69" s="109">
        <f>SUM(E70+E72)</f>
        <v>0</v>
      </c>
      <c r="F69" s="109">
        <f t="shared" ref="F69:BQ69" si="852">SUM(F70+F72)</f>
        <v>0</v>
      </c>
      <c r="G69" s="109">
        <f t="shared" si="852"/>
        <v>0</v>
      </c>
      <c r="H69" s="109">
        <f t="shared" si="852"/>
        <v>0</v>
      </c>
      <c r="I69" s="109">
        <f t="shared" si="852"/>
        <v>0</v>
      </c>
      <c r="J69" s="109">
        <f t="shared" si="852"/>
        <v>0</v>
      </c>
      <c r="K69" s="109">
        <f t="shared" si="852"/>
        <v>0</v>
      </c>
      <c r="L69" s="109">
        <f t="shared" si="852"/>
        <v>0</v>
      </c>
      <c r="M69" s="109">
        <f t="shared" si="852"/>
        <v>0</v>
      </c>
      <c r="N69" s="109">
        <f t="shared" si="852"/>
        <v>0</v>
      </c>
      <c r="O69" s="109">
        <f t="shared" si="852"/>
        <v>0</v>
      </c>
      <c r="P69" s="109">
        <f t="shared" si="852"/>
        <v>0</v>
      </c>
      <c r="Q69" s="109">
        <f t="shared" si="852"/>
        <v>0</v>
      </c>
      <c r="R69" s="109">
        <f t="shared" si="852"/>
        <v>0</v>
      </c>
      <c r="S69" s="109">
        <f t="shared" si="852"/>
        <v>0</v>
      </c>
      <c r="T69" s="109">
        <f t="shared" si="852"/>
        <v>0</v>
      </c>
      <c r="U69" s="109">
        <f t="shared" si="852"/>
        <v>0</v>
      </c>
      <c r="V69" s="109">
        <f t="shared" si="852"/>
        <v>0</v>
      </c>
      <c r="W69" s="109">
        <f t="shared" si="852"/>
        <v>0</v>
      </c>
      <c r="X69" s="109">
        <f t="shared" si="852"/>
        <v>0</v>
      </c>
      <c r="Y69" s="109">
        <f t="shared" si="852"/>
        <v>0</v>
      </c>
      <c r="Z69" s="109">
        <f t="shared" si="852"/>
        <v>0</v>
      </c>
      <c r="AA69" s="109">
        <f t="shared" si="852"/>
        <v>0</v>
      </c>
      <c r="AB69" s="109">
        <f t="shared" si="852"/>
        <v>0</v>
      </c>
      <c r="AC69" s="109">
        <f t="shared" si="852"/>
        <v>0</v>
      </c>
      <c r="AD69" s="109">
        <f t="shared" si="852"/>
        <v>0</v>
      </c>
      <c r="AE69" s="109">
        <f t="shared" si="852"/>
        <v>0</v>
      </c>
      <c r="AF69" s="109">
        <f t="shared" si="852"/>
        <v>0</v>
      </c>
      <c r="AG69" s="109">
        <f t="shared" si="852"/>
        <v>0</v>
      </c>
      <c r="AH69" s="109">
        <f t="shared" si="852"/>
        <v>0</v>
      </c>
      <c r="AI69" s="109">
        <f t="shared" si="852"/>
        <v>0</v>
      </c>
      <c r="AJ69" s="109">
        <f t="shared" si="852"/>
        <v>0</v>
      </c>
      <c r="AK69" s="109">
        <f t="shared" si="852"/>
        <v>0</v>
      </c>
      <c r="AL69" s="109">
        <f t="shared" si="852"/>
        <v>0</v>
      </c>
      <c r="AM69" s="109">
        <f t="shared" si="852"/>
        <v>0</v>
      </c>
      <c r="AN69" s="109">
        <f t="shared" si="852"/>
        <v>0</v>
      </c>
      <c r="AO69" s="109">
        <f t="shared" si="852"/>
        <v>0</v>
      </c>
      <c r="AP69" s="109">
        <f t="shared" si="852"/>
        <v>0</v>
      </c>
      <c r="AQ69" s="109">
        <f t="shared" si="852"/>
        <v>0</v>
      </c>
      <c r="AR69" s="109">
        <f t="shared" si="852"/>
        <v>0</v>
      </c>
      <c r="AS69" s="109">
        <f t="shared" si="852"/>
        <v>0</v>
      </c>
      <c r="AT69" s="109">
        <f t="shared" si="852"/>
        <v>0</v>
      </c>
      <c r="AU69" s="109">
        <f t="shared" si="852"/>
        <v>0</v>
      </c>
      <c r="AV69" s="109">
        <f t="shared" si="852"/>
        <v>0</v>
      </c>
      <c r="AW69" s="109">
        <f t="shared" si="852"/>
        <v>0</v>
      </c>
      <c r="AX69" s="109">
        <f t="shared" si="852"/>
        <v>0</v>
      </c>
      <c r="AY69" s="109">
        <f t="shared" si="852"/>
        <v>0</v>
      </c>
      <c r="AZ69" s="109">
        <f t="shared" si="852"/>
        <v>0</v>
      </c>
      <c r="BA69" s="109">
        <f t="shared" si="852"/>
        <v>0</v>
      </c>
      <c r="BB69" s="109">
        <f t="shared" si="852"/>
        <v>0</v>
      </c>
      <c r="BC69" s="109">
        <f t="shared" si="852"/>
        <v>0</v>
      </c>
      <c r="BD69" s="109">
        <f t="shared" si="852"/>
        <v>0</v>
      </c>
      <c r="BE69" s="109">
        <f t="shared" si="852"/>
        <v>0</v>
      </c>
      <c r="BF69" s="109">
        <f t="shared" si="852"/>
        <v>0</v>
      </c>
      <c r="BG69" s="109">
        <f t="shared" si="852"/>
        <v>0</v>
      </c>
      <c r="BH69" s="109">
        <f t="shared" si="852"/>
        <v>0</v>
      </c>
      <c r="BI69" s="109">
        <f t="shared" si="852"/>
        <v>0</v>
      </c>
      <c r="BJ69" s="109">
        <f t="shared" si="852"/>
        <v>0</v>
      </c>
      <c r="BK69" s="109">
        <f t="shared" si="852"/>
        <v>0</v>
      </c>
      <c r="BL69" s="109">
        <f t="shared" si="852"/>
        <v>0</v>
      </c>
      <c r="BM69" s="109">
        <f t="shared" si="852"/>
        <v>0</v>
      </c>
      <c r="BN69" s="109">
        <f t="shared" si="852"/>
        <v>0</v>
      </c>
      <c r="BO69" s="109">
        <f t="shared" si="852"/>
        <v>0</v>
      </c>
      <c r="BP69" s="109">
        <f t="shared" si="852"/>
        <v>0</v>
      </c>
      <c r="BQ69" s="109">
        <f t="shared" si="852"/>
        <v>0</v>
      </c>
      <c r="BR69" s="109">
        <f t="shared" ref="BR69:EC69" si="853">SUM(BR70+BR72)</f>
        <v>0</v>
      </c>
      <c r="BS69" s="109">
        <f t="shared" si="853"/>
        <v>0</v>
      </c>
      <c r="BT69" s="109">
        <f t="shared" si="853"/>
        <v>0</v>
      </c>
      <c r="BU69" s="109">
        <f t="shared" si="853"/>
        <v>0</v>
      </c>
      <c r="BV69" s="109">
        <f t="shared" si="853"/>
        <v>0</v>
      </c>
      <c r="BW69" s="109">
        <f t="shared" si="853"/>
        <v>0</v>
      </c>
      <c r="BX69" s="109">
        <f t="shared" si="853"/>
        <v>0</v>
      </c>
      <c r="BY69" s="109">
        <f t="shared" si="853"/>
        <v>0</v>
      </c>
      <c r="BZ69" s="109">
        <f t="shared" si="853"/>
        <v>0</v>
      </c>
      <c r="CA69" s="109">
        <f t="shared" si="853"/>
        <v>0</v>
      </c>
      <c r="CB69" s="109">
        <f t="shared" si="853"/>
        <v>0</v>
      </c>
      <c r="CC69" s="109">
        <f t="shared" si="853"/>
        <v>0</v>
      </c>
      <c r="CD69" s="109">
        <f t="shared" si="853"/>
        <v>0</v>
      </c>
      <c r="CE69" s="109">
        <f t="shared" si="853"/>
        <v>0</v>
      </c>
      <c r="CF69" s="109">
        <f t="shared" si="853"/>
        <v>0</v>
      </c>
      <c r="CG69" s="109">
        <f t="shared" si="853"/>
        <v>0</v>
      </c>
      <c r="CH69" s="109">
        <f t="shared" si="853"/>
        <v>0</v>
      </c>
      <c r="CI69" s="109">
        <f t="shared" si="853"/>
        <v>0</v>
      </c>
      <c r="CJ69" s="109">
        <f t="shared" si="853"/>
        <v>0</v>
      </c>
      <c r="CK69" s="109">
        <f t="shared" si="853"/>
        <v>0</v>
      </c>
      <c r="CL69" s="109">
        <f t="shared" si="853"/>
        <v>0</v>
      </c>
      <c r="CM69" s="109">
        <f t="shared" si="853"/>
        <v>0</v>
      </c>
      <c r="CN69" s="109">
        <f t="shared" si="853"/>
        <v>0</v>
      </c>
      <c r="CO69" s="109">
        <f t="shared" si="853"/>
        <v>0</v>
      </c>
      <c r="CP69" s="109">
        <f t="shared" si="853"/>
        <v>0</v>
      </c>
      <c r="CQ69" s="109">
        <f t="shared" si="853"/>
        <v>0</v>
      </c>
      <c r="CR69" s="109">
        <f t="shared" si="853"/>
        <v>0</v>
      </c>
      <c r="CS69" s="109">
        <f t="shared" si="853"/>
        <v>0</v>
      </c>
      <c r="CT69" s="109">
        <f t="shared" si="853"/>
        <v>0</v>
      </c>
      <c r="CU69" s="109">
        <f t="shared" si="853"/>
        <v>0</v>
      </c>
      <c r="CV69" s="109">
        <f t="shared" si="853"/>
        <v>0</v>
      </c>
      <c r="CW69" s="109">
        <f t="shared" si="853"/>
        <v>0</v>
      </c>
      <c r="CX69" s="109">
        <f t="shared" si="853"/>
        <v>0</v>
      </c>
      <c r="CY69" s="109">
        <f t="shared" si="853"/>
        <v>0</v>
      </c>
      <c r="CZ69" s="109">
        <f t="shared" si="853"/>
        <v>0</v>
      </c>
      <c r="DA69" s="109">
        <f t="shared" si="853"/>
        <v>0</v>
      </c>
      <c r="DB69" s="109">
        <f t="shared" si="853"/>
        <v>0</v>
      </c>
      <c r="DC69" s="109">
        <f t="shared" si="853"/>
        <v>0</v>
      </c>
      <c r="DD69" s="109">
        <f t="shared" si="853"/>
        <v>0</v>
      </c>
      <c r="DE69" s="109">
        <f t="shared" si="853"/>
        <v>0</v>
      </c>
      <c r="DF69" s="109">
        <f t="shared" si="853"/>
        <v>0</v>
      </c>
      <c r="DG69" s="109">
        <f t="shared" si="853"/>
        <v>0</v>
      </c>
      <c r="DH69" s="109">
        <f t="shared" si="853"/>
        <v>0</v>
      </c>
      <c r="DI69" s="109">
        <f t="shared" si="853"/>
        <v>0</v>
      </c>
      <c r="DJ69" s="109">
        <f t="shared" si="853"/>
        <v>0</v>
      </c>
      <c r="DK69" s="109">
        <f t="shared" si="853"/>
        <v>0</v>
      </c>
      <c r="DL69" s="109">
        <f t="shared" si="853"/>
        <v>0</v>
      </c>
      <c r="DM69" s="109">
        <f t="shared" si="853"/>
        <v>0</v>
      </c>
      <c r="DN69" s="109">
        <f t="shared" si="853"/>
        <v>0</v>
      </c>
      <c r="DO69" s="109">
        <f t="shared" si="853"/>
        <v>0</v>
      </c>
      <c r="DP69" s="109">
        <f t="shared" si="853"/>
        <v>0</v>
      </c>
      <c r="DQ69" s="109">
        <f t="shared" si="853"/>
        <v>0</v>
      </c>
      <c r="DR69" s="109">
        <f t="shared" si="853"/>
        <v>0</v>
      </c>
      <c r="DS69" s="109">
        <f t="shared" si="853"/>
        <v>0</v>
      </c>
      <c r="DT69" s="109">
        <f t="shared" si="853"/>
        <v>0</v>
      </c>
      <c r="DU69" s="109">
        <f t="shared" si="853"/>
        <v>0</v>
      </c>
      <c r="DV69" s="109">
        <f t="shared" si="853"/>
        <v>0</v>
      </c>
      <c r="DW69" s="109">
        <f t="shared" si="853"/>
        <v>0</v>
      </c>
      <c r="DX69" s="109">
        <f t="shared" si="853"/>
        <v>0</v>
      </c>
      <c r="DY69" s="109">
        <f t="shared" si="853"/>
        <v>0</v>
      </c>
      <c r="DZ69" s="109">
        <f t="shared" si="853"/>
        <v>0</v>
      </c>
      <c r="EA69" s="109">
        <f t="shared" si="853"/>
        <v>0</v>
      </c>
      <c r="EB69" s="109">
        <f t="shared" si="853"/>
        <v>0</v>
      </c>
      <c r="EC69" s="109">
        <f t="shared" si="853"/>
        <v>0</v>
      </c>
      <c r="ED69" s="109">
        <f t="shared" ref="ED69:GU69" si="854">SUM(ED70+ED72)</f>
        <v>0</v>
      </c>
      <c r="EE69" s="109">
        <f t="shared" si="854"/>
        <v>0</v>
      </c>
      <c r="EF69" s="109">
        <f t="shared" si="854"/>
        <v>0</v>
      </c>
      <c r="EG69" s="109">
        <f t="shared" si="854"/>
        <v>0</v>
      </c>
      <c r="EH69" s="109">
        <f t="shared" si="854"/>
        <v>0</v>
      </c>
      <c r="EI69" s="109">
        <f t="shared" si="854"/>
        <v>0</v>
      </c>
      <c r="EJ69" s="109">
        <f t="shared" si="854"/>
        <v>0</v>
      </c>
      <c r="EK69" s="109">
        <f t="shared" si="854"/>
        <v>0</v>
      </c>
      <c r="EL69" s="109">
        <f t="shared" si="854"/>
        <v>0</v>
      </c>
      <c r="EM69" s="109">
        <f t="shared" si="854"/>
        <v>0</v>
      </c>
      <c r="EN69" s="109">
        <f t="shared" si="854"/>
        <v>0</v>
      </c>
      <c r="EO69" s="109">
        <f t="shared" si="854"/>
        <v>0</v>
      </c>
      <c r="EP69" s="109">
        <f t="shared" si="854"/>
        <v>0</v>
      </c>
      <c r="EQ69" s="109">
        <f t="shared" si="854"/>
        <v>0</v>
      </c>
      <c r="ER69" s="109">
        <f t="shared" si="854"/>
        <v>0</v>
      </c>
      <c r="ES69" s="109">
        <f t="shared" si="854"/>
        <v>0</v>
      </c>
      <c r="ET69" s="109">
        <f t="shared" si="854"/>
        <v>0</v>
      </c>
      <c r="EU69" s="109">
        <f t="shared" si="854"/>
        <v>0</v>
      </c>
      <c r="EV69" s="109">
        <f t="shared" si="854"/>
        <v>0</v>
      </c>
      <c r="EW69" s="109">
        <f t="shared" si="854"/>
        <v>0</v>
      </c>
      <c r="EX69" s="109">
        <f t="shared" si="854"/>
        <v>0</v>
      </c>
      <c r="EY69" s="109">
        <f t="shared" si="854"/>
        <v>0</v>
      </c>
      <c r="EZ69" s="109">
        <f t="shared" si="854"/>
        <v>0</v>
      </c>
      <c r="FA69" s="109">
        <f t="shared" si="854"/>
        <v>0</v>
      </c>
      <c r="FB69" s="109">
        <f t="shared" si="854"/>
        <v>0</v>
      </c>
      <c r="FC69" s="109">
        <f t="shared" si="854"/>
        <v>0</v>
      </c>
      <c r="FD69" s="109">
        <f t="shared" si="854"/>
        <v>0</v>
      </c>
      <c r="FE69" s="109">
        <f t="shared" si="854"/>
        <v>0</v>
      </c>
      <c r="FF69" s="109">
        <f t="shared" si="854"/>
        <v>0</v>
      </c>
      <c r="FG69" s="109">
        <f t="shared" si="854"/>
        <v>0</v>
      </c>
      <c r="FH69" s="109">
        <f t="shared" si="854"/>
        <v>0</v>
      </c>
      <c r="FI69" s="109">
        <f t="shared" si="854"/>
        <v>0</v>
      </c>
      <c r="FJ69" s="109">
        <f t="shared" si="854"/>
        <v>0</v>
      </c>
      <c r="FK69" s="109">
        <f t="shared" si="854"/>
        <v>0</v>
      </c>
      <c r="FL69" s="109">
        <f t="shared" si="854"/>
        <v>0</v>
      </c>
      <c r="FM69" s="109">
        <f t="shared" si="854"/>
        <v>0</v>
      </c>
      <c r="FN69" s="109">
        <f t="shared" si="854"/>
        <v>0</v>
      </c>
      <c r="FO69" s="109">
        <f t="shared" si="854"/>
        <v>0</v>
      </c>
      <c r="FP69" s="109">
        <f t="shared" si="854"/>
        <v>0</v>
      </c>
      <c r="FQ69" s="109">
        <f t="shared" si="854"/>
        <v>0</v>
      </c>
      <c r="FR69" s="109">
        <f t="shared" si="854"/>
        <v>0</v>
      </c>
      <c r="FS69" s="109">
        <f t="shared" si="854"/>
        <v>0</v>
      </c>
      <c r="FT69" s="109">
        <f t="shared" si="854"/>
        <v>0</v>
      </c>
      <c r="FU69" s="109">
        <f t="shared" si="854"/>
        <v>0</v>
      </c>
      <c r="FV69" s="109">
        <f t="shared" si="854"/>
        <v>0</v>
      </c>
      <c r="FW69" s="109">
        <f t="shared" si="854"/>
        <v>0</v>
      </c>
      <c r="FX69" s="109">
        <f t="shared" si="854"/>
        <v>0</v>
      </c>
      <c r="FY69" s="109">
        <f t="shared" si="854"/>
        <v>0</v>
      </c>
      <c r="FZ69" s="109">
        <f t="shared" si="854"/>
        <v>0</v>
      </c>
      <c r="GA69" s="109">
        <f t="shared" si="854"/>
        <v>0</v>
      </c>
      <c r="GB69" s="109">
        <f t="shared" si="854"/>
        <v>0</v>
      </c>
      <c r="GC69" s="109">
        <f t="shared" si="854"/>
        <v>0</v>
      </c>
      <c r="GD69" s="109">
        <f t="shared" si="854"/>
        <v>0</v>
      </c>
      <c r="GE69" s="109">
        <f t="shared" si="854"/>
        <v>0</v>
      </c>
      <c r="GF69" s="109">
        <f t="shared" si="854"/>
        <v>0</v>
      </c>
      <c r="GG69" s="40">
        <f t="shared" si="854"/>
        <v>0</v>
      </c>
      <c r="GH69" s="41">
        <f t="shared" si="854"/>
        <v>0</v>
      </c>
      <c r="GI69" s="41">
        <f t="shared" si="854"/>
        <v>0</v>
      </c>
      <c r="GJ69" s="109">
        <f t="shared" si="854"/>
        <v>0</v>
      </c>
      <c r="GK69" s="28">
        <f t="shared" si="854"/>
        <v>0</v>
      </c>
      <c r="GL69" s="28">
        <f t="shared" si="854"/>
        <v>0</v>
      </c>
      <c r="GM69" s="28">
        <f t="shared" si="854"/>
        <v>0</v>
      </c>
      <c r="GN69" s="20">
        <f t="shared" si="73"/>
        <v>0</v>
      </c>
      <c r="GO69" s="109">
        <f t="shared" si="854"/>
        <v>0</v>
      </c>
      <c r="GP69" s="109">
        <f t="shared" si="854"/>
        <v>0</v>
      </c>
      <c r="GQ69" s="109">
        <f t="shared" si="854"/>
        <v>0</v>
      </c>
      <c r="GR69" s="109">
        <f t="shared" si="854"/>
        <v>0</v>
      </c>
      <c r="GS69" s="109">
        <f t="shared" si="854"/>
        <v>0</v>
      </c>
      <c r="GT69" s="109">
        <f t="shared" si="854"/>
        <v>0</v>
      </c>
      <c r="GU69" s="109">
        <f t="shared" si="854"/>
        <v>0</v>
      </c>
      <c r="GV69" s="109">
        <f t="shared" ref="GV69:JK69" si="855">SUM(GV70+GV72)</f>
        <v>0</v>
      </c>
      <c r="GW69" s="109">
        <f t="shared" si="855"/>
        <v>0</v>
      </c>
      <c r="GX69" s="109">
        <f t="shared" si="855"/>
        <v>0</v>
      </c>
      <c r="GY69" s="109">
        <f t="shared" si="855"/>
        <v>0</v>
      </c>
      <c r="GZ69" s="109">
        <f t="shared" si="855"/>
        <v>0</v>
      </c>
      <c r="HA69" s="109">
        <f t="shared" si="855"/>
        <v>0</v>
      </c>
      <c r="HB69" s="109">
        <f t="shared" si="855"/>
        <v>0</v>
      </c>
      <c r="HC69" s="109">
        <f t="shared" si="855"/>
        <v>0</v>
      </c>
      <c r="HD69" s="109">
        <f t="shared" si="855"/>
        <v>0</v>
      </c>
      <c r="HE69" s="109">
        <f t="shared" si="855"/>
        <v>0</v>
      </c>
      <c r="HF69" s="109">
        <f t="shared" si="855"/>
        <v>0</v>
      </c>
      <c r="HG69" s="109">
        <f t="shared" si="855"/>
        <v>0</v>
      </c>
      <c r="HH69" s="109">
        <f t="shared" si="855"/>
        <v>0</v>
      </c>
      <c r="HI69" s="109">
        <f t="shared" si="855"/>
        <v>0</v>
      </c>
      <c r="HJ69" s="109">
        <f t="shared" si="855"/>
        <v>0</v>
      </c>
      <c r="HK69" s="109">
        <f t="shared" si="855"/>
        <v>0</v>
      </c>
      <c r="HL69" s="109">
        <f t="shared" si="855"/>
        <v>0</v>
      </c>
      <c r="HM69" s="109">
        <f t="shared" si="855"/>
        <v>0</v>
      </c>
      <c r="HN69" s="109">
        <f t="shared" si="855"/>
        <v>0</v>
      </c>
      <c r="HO69" s="109">
        <f t="shared" si="855"/>
        <v>0</v>
      </c>
      <c r="HP69" s="109">
        <f t="shared" si="855"/>
        <v>0</v>
      </c>
      <c r="HQ69" s="109">
        <f t="shared" si="855"/>
        <v>0</v>
      </c>
      <c r="HR69" s="109">
        <f t="shared" si="855"/>
        <v>0</v>
      </c>
      <c r="HS69" s="28">
        <f t="shared" si="855"/>
        <v>0</v>
      </c>
      <c r="HT69" s="28">
        <f t="shared" si="855"/>
        <v>0</v>
      </c>
      <c r="HU69" s="28">
        <f t="shared" si="855"/>
        <v>0</v>
      </c>
      <c r="HV69" s="20">
        <f t="shared" si="80"/>
        <v>0</v>
      </c>
      <c r="HW69" s="109">
        <f t="shared" si="855"/>
        <v>0</v>
      </c>
      <c r="HX69" s="109">
        <f t="shared" si="855"/>
        <v>0</v>
      </c>
      <c r="HY69" s="109">
        <f t="shared" si="855"/>
        <v>0</v>
      </c>
      <c r="HZ69" s="109">
        <f t="shared" si="855"/>
        <v>0</v>
      </c>
      <c r="IA69" s="109">
        <f t="shared" si="855"/>
        <v>0</v>
      </c>
      <c r="IB69" s="109">
        <f t="shared" si="855"/>
        <v>0</v>
      </c>
      <c r="IC69" s="109">
        <f t="shared" si="855"/>
        <v>0</v>
      </c>
      <c r="ID69" s="109">
        <f t="shared" si="855"/>
        <v>0</v>
      </c>
      <c r="IE69" s="109">
        <f t="shared" si="855"/>
        <v>0</v>
      </c>
      <c r="IF69" s="109">
        <f t="shared" si="855"/>
        <v>0</v>
      </c>
      <c r="IG69" s="109">
        <f t="shared" si="855"/>
        <v>0</v>
      </c>
      <c r="IH69" s="109">
        <f t="shared" si="855"/>
        <v>0</v>
      </c>
      <c r="II69" s="109">
        <f t="shared" si="855"/>
        <v>0</v>
      </c>
      <c r="IJ69" s="109">
        <f t="shared" si="855"/>
        <v>0</v>
      </c>
      <c r="IK69" s="109">
        <f t="shared" si="855"/>
        <v>0</v>
      </c>
      <c r="IL69" s="109">
        <f t="shared" si="855"/>
        <v>0</v>
      </c>
      <c r="IM69" s="109">
        <f t="shared" si="855"/>
        <v>0</v>
      </c>
      <c r="IN69" s="109">
        <f t="shared" si="855"/>
        <v>0</v>
      </c>
      <c r="IO69" s="109">
        <f t="shared" si="855"/>
        <v>0</v>
      </c>
      <c r="IP69" s="109">
        <f t="shared" si="855"/>
        <v>0</v>
      </c>
      <c r="IQ69" s="109">
        <f t="shared" si="855"/>
        <v>0</v>
      </c>
      <c r="IR69" s="109">
        <f t="shared" si="855"/>
        <v>0</v>
      </c>
      <c r="IS69" s="109">
        <f t="shared" si="855"/>
        <v>0</v>
      </c>
      <c r="IT69" s="109">
        <f t="shared" si="855"/>
        <v>0</v>
      </c>
      <c r="IU69" s="109">
        <f t="shared" si="855"/>
        <v>0</v>
      </c>
      <c r="IV69" s="109">
        <f t="shared" si="855"/>
        <v>0</v>
      </c>
      <c r="IW69" s="109">
        <f t="shared" si="855"/>
        <v>0</v>
      </c>
      <c r="IX69" s="109">
        <f t="shared" si="855"/>
        <v>0</v>
      </c>
      <c r="IY69" s="109">
        <f t="shared" si="855"/>
        <v>0</v>
      </c>
      <c r="IZ69" s="109">
        <f t="shared" si="855"/>
        <v>0</v>
      </c>
      <c r="JA69" s="109">
        <f t="shared" si="855"/>
        <v>0</v>
      </c>
      <c r="JB69" s="109">
        <f t="shared" si="855"/>
        <v>0</v>
      </c>
      <c r="JC69" s="109">
        <f t="shared" si="855"/>
        <v>0</v>
      </c>
      <c r="JD69" s="109">
        <f t="shared" si="855"/>
        <v>0</v>
      </c>
      <c r="JE69" s="109">
        <f t="shared" si="855"/>
        <v>0</v>
      </c>
      <c r="JF69" s="109">
        <f t="shared" si="855"/>
        <v>0</v>
      </c>
      <c r="JG69" s="109">
        <f t="shared" si="855"/>
        <v>0</v>
      </c>
      <c r="JH69" s="109">
        <f t="shared" si="855"/>
        <v>0</v>
      </c>
      <c r="JI69" s="109">
        <f t="shared" si="855"/>
        <v>0</v>
      </c>
      <c r="JJ69" s="109">
        <f t="shared" si="855"/>
        <v>0</v>
      </c>
      <c r="JK69" s="109">
        <f t="shared" si="855"/>
        <v>0</v>
      </c>
      <c r="JL69" s="109">
        <f t="shared" ref="JL69:MC69" si="856">SUM(JL70+JL72)</f>
        <v>0</v>
      </c>
      <c r="JM69" s="109">
        <f t="shared" si="856"/>
        <v>0</v>
      </c>
      <c r="JN69" s="109">
        <f t="shared" si="856"/>
        <v>0</v>
      </c>
      <c r="JO69" s="109">
        <f t="shared" si="856"/>
        <v>0</v>
      </c>
      <c r="JP69" s="109">
        <f t="shared" si="856"/>
        <v>0</v>
      </c>
      <c r="JQ69" s="109">
        <f t="shared" si="856"/>
        <v>0</v>
      </c>
      <c r="JR69" s="109">
        <f t="shared" si="856"/>
        <v>0</v>
      </c>
      <c r="JS69" s="109">
        <f t="shared" si="856"/>
        <v>0</v>
      </c>
      <c r="JT69" s="109">
        <f t="shared" si="856"/>
        <v>0</v>
      </c>
      <c r="JU69" s="109">
        <f t="shared" si="856"/>
        <v>0</v>
      </c>
      <c r="JV69" s="109">
        <f t="shared" si="856"/>
        <v>0</v>
      </c>
      <c r="JW69" s="109">
        <f t="shared" si="856"/>
        <v>0</v>
      </c>
      <c r="JX69" s="109">
        <f t="shared" si="856"/>
        <v>0</v>
      </c>
      <c r="JY69" s="109">
        <f t="shared" si="856"/>
        <v>0</v>
      </c>
      <c r="JZ69" s="109">
        <f t="shared" si="856"/>
        <v>0</v>
      </c>
      <c r="KA69" s="109">
        <f t="shared" si="856"/>
        <v>0</v>
      </c>
      <c r="KB69" s="109">
        <f t="shared" si="856"/>
        <v>0</v>
      </c>
      <c r="KC69" s="109">
        <f t="shared" si="856"/>
        <v>0</v>
      </c>
      <c r="KD69" s="109">
        <f t="shared" si="856"/>
        <v>0</v>
      </c>
      <c r="KE69" s="109">
        <f t="shared" si="856"/>
        <v>0</v>
      </c>
      <c r="KF69" s="109">
        <f t="shared" si="856"/>
        <v>0</v>
      </c>
      <c r="KG69" s="109">
        <f t="shared" si="856"/>
        <v>0</v>
      </c>
      <c r="KH69" s="109">
        <f t="shared" si="856"/>
        <v>0</v>
      </c>
      <c r="KI69" s="109">
        <f t="shared" si="856"/>
        <v>0</v>
      </c>
      <c r="KJ69" s="109">
        <f t="shared" si="856"/>
        <v>0</v>
      </c>
      <c r="KK69" s="109">
        <f t="shared" si="856"/>
        <v>0</v>
      </c>
      <c r="KL69" s="109">
        <f t="shared" si="856"/>
        <v>0</v>
      </c>
      <c r="KM69" s="109">
        <f t="shared" si="856"/>
        <v>0</v>
      </c>
      <c r="KN69" s="109">
        <f t="shared" si="856"/>
        <v>0</v>
      </c>
      <c r="KO69" s="109">
        <f t="shared" si="856"/>
        <v>0</v>
      </c>
      <c r="KP69" s="109">
        <f t="shared" si="856"/>
        <v>0</v>
      </c>
      <c r="KQ69" s="109">
        <f t="shared" si="856"/>
        <v>0</v>
      </c>
      <c r="KR69" s="109">
        <f t="shared" si="856"/>
        <v>0</v>
      </c>
      <c r="KS69" s="109">
        <f t="shared" si="856"/>
        <v>0</v>
      </c>
      <c r="KT69" s="109">
        <f t="shared" si="856"/>
        <v>0</v>
      </c>
      <c r="KU69" s="109">
        <f t="shared" si="856"/>
        <v>0</v>
      </c>
      <c r="KV69" s="109">
        <f t="shared" si="856"/>
        <v>0</v>
      </c>
      <c r="KW69" s="109">
        <f t="shared" si="856"/>
        <v>0</v>
      </c>
      <c r="KX69" s="109">
        <f t="shared" si="856"/>
        <v>0</v>
      </c>
      <c r="KY69" s="109">
        <f t="shared" si="856"/>
        <v>0</v>
      </c>
      <c r="KZ69" s="109">
        <f t="shared" si="856"/>
        <v>0</v>
      </c>
      <c r="LA69" s="109">
        <f t="shared" si="856"/>
        <v>0</v>
      </c>
      <c r="LB69" s="109">
        <f t="shared" si="856"/>
        <v>0</v>
      </c>
      <c r="LC69" s="109">
        <f t="shared" si="856"/>
        <v>0</v>
      </c>
      <c r="LD69" s="109">
        <f t="shared" si="856"/>
        <v>0</v>
      </c>
      <c r="LE69" s="109">
        <f t="shared" si="856"/>
        <v>0</v>
      </c>
      <c r="LF69" s="109">
        <f t="shared" si="856"/>
        <v>0</v>
      </c>
      <c r="LG69" s="109">
        <f t="shared" si="856"/>
        <v>0</v>
      </c>
      <c r="LH69" s="109">
        <f t="shared" si="856"/>
        <v>0</v>
      </c>
      <c r="LI69" s="109">
        <f t="shared" si="856"/>
        <v>0</v>
      </c>
      <c r="LJ69" s="109">
        <f t="shared" si="856"/>
        <v>0</v>
      </c>
      <c r="LK69" s="109">
        <f t="shared" si="856"/>
        <v>0</v>
      </c>
      <c r="LL69" s="109">
        <f t="shared" si="856"/>
        <v>0</v>
      </c>
      <c r="LM69" s="109">
        <f t="shared" si="856"/>
        <v>0</v>
      </c>
      <c r="LN69" s="109">
        <f t="shared" si="856"/>
        <v>0</v>
      </c>
      <c r="LO69" s="109">
        <f t="shared" si="856"/>
        <v>0</v>
      </c>
      <c r="LP69" s="109">
        <f t="shared" si="856"/>
        <v>0</v>
      </c>
      <c r="LQ69" s="109">
        <f t="shared" si="856"/>
        <v>0</v>
      </c>
      <c r="LR69" s="109">
        <f t="shared" si="856"/>
        <v>0</v>
      </c>
      <c r="LS69" s="109">
        <f t="shared" si="856"/>
        <v>0</v>
      </c>
      <c r="LT69" s="109">
        <f t="shared" si="856"/>
        <v>0</v>
      </c>
      <c r="LU69" s="109">
        <f t="shared" si="856"/>
        <v>0</v>
      </c>
      <c r="LV69" s="109">
        <f t="shared" si="856"/>
        <v>0</v>
      </c>
      <c r="LW69" s="109">
        <f t="shared" si="856"/>
        <v>0</v>
      </c>
      <c r="LX69" s="110">
        <f t="shared" si="96"/>
        <v>0</v>
      </c>
      <c r="LY69" s="109">
        <f t="shared" si="856"/>
        <v>0</v>
      </c>
      <c r="LZ69" s="109">
        <f t="shared" si="856"/>
        <v>0</v>
      </c>
      <c r="MA69" s="109">
        <f t="shared" si="856"/>
        <v>0</v>
      </c>
      <c r="MB69" s="109">
        <f t="shared" si="856"/>
        <v>0</v>
      </c>
      <c r="MC69" s="109">
        <f t="shared" si="856"/>
        <v>0</v>
      </c>
      <c r="MD69" s="109">
        <f t="shared" ref="MD69:OC69" si="857">SUM(MD70+MD72)</f>
        <v>0</v>
      </c>
      <c r="ME69" s="109">
        <f t="shared" si="857"/>
        <v>0</v>
      </c>
      <c r="MF69" s="109">
        <f t="shared" si="857"/>
        <v>0</v>
      </c>
      <c r="MG69" s="109">
        <f t="shared" si="857"/>
        <v>0</v>
      </c>
      <c r="MH69" s="109">
        <f t="shared" si="857"/>
        <v>0</v>
      </c>
      <c r="MI69" s="109">
        <f t="shared" si="857"/>
        <v>0</v>
      </c>
      <c r="MJ69" s="109">
        <f t="shared" si="857"/>
        <v>0</v>
      </c>
      <c r="MK69" s="109">
        <f t="shared" si="857"/>
        <v>0</v>
      </c>
      <c r="ML69" s="109">
        <f t="shared" si="857"/>
        <v>0</v>
      </c>
      <c r="MM69" s="109">
        <f t="shared" si="857"/>
        <v>0</v>
      </c>
      <c r="MN69" s="109">
        <f t="shared" si="857"/>
        <v>0</v>
      </c>
      <c r="MO69" s="109">
        <f t="shared" si="857"/>
        <v>0</v>
      </c>
      <c r="MP69" s="109">
        <f t="shared" si="857"/>
        <v>0</v>
      </c>
      <c r="MQ69" s="109">
        <f t="shared" si="857"/>
        <v>0</v>
      </c>
      <c r="MR69" s="109">
        <f t="shared" si="857"/>
        <v>0</v>
      </c>
      <c r="MS69" s="109">
        <f t="shared" si="857"/>
        <v>0</v>
      </c>
      <c r="MT69" s="109">
        <f t="shared" si="857"/>
        <v>0</v>
      </c>
      <c r="MU69" s="109">
        <f t="shared" si="857"/>
        <v>0</v>
      </c>
      <c r="MV69" s="109">
        <f t="shared" si="857"/>
        <v>0</v>
      </c>
      <c r="MW69" s="109">
        <f t="shared" si="857"/>
        <v>0</v>
      </c>
      <c r="MX69" s="109">
        <f t="shared" si="857"/>
        <v>0</v>
      </c>
      <c r="MY69" s="109">
        <f t="shared" si="857"/>
        <v>0</v>
      </c>
      <c r="MZ69" s="109">
        <f t="shared" si="857"/>
        <v>0</v>
      </c>
      <c r="NA69" s="109">
        <f t="shared" si="857"/>
        <v>0</v>
      </c>
      <c r="NB69" s="109">
        <f t="shared" si="857"/>
        <v>0</v>
      </c>
      <c r="NC69" s="109">
        <f t="shared" si="857"/>
        <v>0</v>
      </c>
      <c r="ND69" s="109">
        <f t="shared" si="857"/>
        <v>0</v>
      </c>
      <c r="NE69" s="109">
        <f t="shared" si="857"/>
        <v>0</v>
      </c>
      <c r="NF69" s="109">
        <f t="shared" si="857"/>
        <v>0</v>
      </c>
      <c r="NG69" s="109">
        <f t="shared" si="857"/>
        <v>0</v>
      </c>
      <c r="NH69" s="109">
        <f t="shared" si="857"/>
        <v>0</v>
      </c>
      <c r="NI69" s="109">
        <f t="shared" si="857"/>
        <v>0</v>
      </c>
      <c r="NJ69" s="109">
        <f t="shared" si="857"/>
        <v>0</v>
      </c>
      <c r="NK69" s="109">
        <f t="shared" si="857"/>
        <v>0</v>
      </c>
      <c r="NL69" s="109">
        <f t="shared" si="857"/>
        <v>0</v>
      </c>
      <c r="NM69" s="109">
        <f t="shared" si="857"/>
        <v>0</v>
      </c>
      <c r="NN69" s="109">
        <f t="shared" si="857"/>
        <v>0</v>
      </c>
      <c r="NO69" s="109">
        <f t="shared" si="857"/>
        <v>0</v>
      </c>
      <c r="NP69" s="109">
        <f t="shared" si="857"/>
        <v>0</v>
      </c>
      <c r="NQ69" s="109">
        <f t="shared" si="857"/>
        <v>0</v>
      </c>
      <c r="NR69" s="109">
        <f t="shared" si="857"/>
        <v>0</v>
      </c>
      <c r="NS69" s="109">
        <f t="shared" si="857"/>
        <v>0</v>
      </c>
      <c r="NT69" s="109">
        <f t="shared" si="857"/>
        <v>0</v>
      </c>
      <c r="NU69" s="109">
        <f t="shared" si="857"/>
        <v>0</v>
      </c>
      <c r="NV69" s="28">
        <f t="shared" si="857"/>
        <v>0</v>
      </c>
      <c r="NW69" s="28">
        <f t="shared" si="857"/>
        <v>0</v>
      </c>
      <c r="NX69" s="28">
        <f t="shared" si="857"/>
        <v>0</v>
      </c>
      <c r="NY69" s="20">
        <f t="shared" si="789"/>
        <v>0</v>
      </c>
      <c r="NZ69" s="28">
        <f t="shared" si="857"/>
        <v>0</v>
      </c>
      <c r="OA69" s="28">
        <f t="shared" si="857"/>
        <v>0</v>
      </c>
      <c r="OB69" s="28">
        <f t="shared" si="857"/>
        <v>0</v>
      </c>
      <c r="OC69" s="28">
        <f t="shared" si="857"/>
        <v>0</v>
      </c>
      <c r="OD69" s="22"/>
      <c r="OE69" s="22"/>
      <c r="OF69" s="22"/>
      <c r="OG69" s="22"/>
      <c r="OH69" s="22"/>
      <c r="OI69" s="22"/>
      <c r="OJ69" s="22"/>
      <c r="OK69" s="22"/>
      <c r="OL69" s="22"/>
      <c r="OM69" s="22"/>
      <c r="ON69" s="22"/>
      <c r="OO69" s="22"/>
      <c r="OP69" s="22"/>
      <c r="OQ69" s="22"/>
      <c r="OR69" s="72">
        <f t="shared" si="735"/>
        <v>0</v>
      </c>
      <c r="OS69" s="28">
        <f t="shared" ref="OS69:RD69" si="858">SUM(OS70+OS72)</f>
        <v>0</v>
      </c>
      <c r="OT69" s="28">
        <f t="shared" si="858"/>
        <v>0</v>
      </c>
      <c r="OU69" s="28">
        <f t="shared" si="858"/>
        <v>0</v>
      </c>
      <c r="OV69" s="28">
        <f t="shared" si="858"/>
        <v>0</v>
      </c>
      <c r="OW69" s="28">
        <f t="shared" si="858"/>
        <v>0</v>
      </c>
      <c r="OX69" s="28">
        <f t="shared" si="858"/>
        <v>0</v>
      </c>
      <c r="OY69" s="28">
        <f t="shared" si="858"/>
        <v>0</v>
      </c>
      <c r="OZ69" s="28">
        <f t="shared" si="858"/>
        <v>0</v>
      </c>
      <c r="PA69" s="28">
        <f t="shared" si="858"/>
        <v>0</v>
      </c>
      <c r="PB69" s="34">
        <f t="shared" si="858"/>
        <v>0</v>
      </c>
      <c r="PC69" s="28">
        <f t="shared" si="858"/>
        <v>0</v>
      </c>
      <c r="PD69" s="28">
        <f t="shared" si="858"/>
        <v>0</v>
      </c>
      <c r="PE69" s="28">
        <f t="shared" si="858"/>
        <v>0</v>
      </c>
      <c r="PF69" s="34">
        <f t="shared" si="858"/>
        <v>0</v>
      </c>
      <c r="PG69" s="28">
        <f t="shared" si="858"/>
        <v>0</v>
      </c>
      <c r="PH69" s="28">
        <f t="shared" si="858"/>
        <v>0</v>
      </c>
      <c r="PI69" s="28">
        <f t="shared" si="858"/>
        <v>0</v>
      </c>
      <c r="PJ69" s="34">
        <f t="shared" si="858"/>
        <v>0</v>
      </c>
      <c r="PK69" s="28">
        <f t="shared" si="858"/>
        <v>0</v>
      </c>
      <c r="PL69" s="28">
        <f t="shared" si="858"/>
        <v>0</v>
      </c>
      <c r="PM69" s="28">
        <f t="shared" si="858"/>
        <v>0</v>
      </c>
      <c r="PN69" s="34">
        <f t="shared" si="858"/>
        <v>0</v>
      </c>
      <c r="PO69" s="28">
        <f t="shared" si="858"/>
        <v>0</v>
      </c>
      <c r="PP69" s="28">
        <f t="shared" si="858"/>
        <v>0</v>
      </c>
      <c r="PQ69" s="28">
        <f t="shared" si="858"/>
        <v>0</v>
      </c>
      <c r="PR69" s="34">
        <f t="shared" si="858"/>
        <v>0</v>
      </c>
      <c r="PS69" s="28">
        <f t="shared" si="858"/>
        <v>0</v>
      </c>
      <c r="PT69" s="28">
        <f t="shared" si="858"/>
        <v>0</v>
      </c>
      <c r="PU69" s="28">
        <f t="shared" si="858"/>
        <v>0</v>
      </c>
      <c r="PV69" s="34">
        <f t="shared" si="858"/>
        <v>0</v>
      </c>
      <c r="PW69" s="28">
        <f t="shared" si="858"/>
        <v>0</v>
      </c>
      <c r="PX69" s="28">
        <f t="shared" si="858"/>
        <v>0</v>
      </c>
      <c r="PY69" s="28">
        <f t="shared" si="858"/>
        <v>0</v>
      </c>
      <c r="PZ69" s="34">
        <f t="shared" si="858"/>
        <v>0</v>
      </c>
      <c r="QA69" s="28">
        <f t="shared" si="858"/>
        <v>0</v>
      </c>
      <c r="QB69" s="28">
        <f t="shared" si="858"/>
        <v>0</v>
      </c>
      <c r="QC69" s="28">
        <f t="shared" si="858"/>
        <v>0</v>
      </c>
      <c r="QD69" s="34">
        <f t="shared" si="858"/>
        <v>0</v>
      </c>
      <c r="QE69" s="28">
        <f t="shared" si="858"/>
        <v>0</v>
      </c>
      <c r="QF69" s="109">
        <f t="shared" si="858"/>
        <v>0</v>
      </c>
      <c r="QG69" s="109">
        <f t="shared" si="858"/>
        <v>0</v>
      </c>
      <c r="QH69" s="109">
        <f t="shared" si="858"/>
        <v>0</v>
      </c>
      <c r="QI69" s="109">
        <f t="shared" si="858"/>
        <v>0</v>
      </c>
      <c r="QJ69" s="109">
        <f t="shared" si="858"/>
        <v>0</v>
      </c>
      <c r="QK69" s="109">
        <f t="shared" si="858"/>
        <v>0</v>
      </c>
      <c r="QL69" s="109">
        <f t="shared" si="858"/>
        <v>0</v>
      </c>
      <c r="QM69" s="109">
        <f t="shared" si="858"/>
        <v>0</v>
      </c>
      <c r="QN69" s="109">
        <f t="shared" si="858"/>
        <v>0</v>
      </c>
      <c r="QO69" s="109">
        <f t="shared" si="858"/>
        <v>0</v>
      </c>
      <c r="QP69" s="109">
        <f t="shared" si="858"/>
        <v>0</v>
      </c>
      <c r="QQ69" s="109">
        <f t="shared" si="858"/>
        <v>0</v>
      </c>
      <c r="QR69" s="109">
        <f t="shared" si="858"/>
        <v>0</v>
      </c>
      <c r="QS69" s="109">
        <f t="shared" si="858"/>
        <v>0</v>
      </c>
      <c r="QT69" s="109">
        <f t="shared" si="858"/>
        <v>0</v>
      </c>
      <c r="QU69" s="109">
        <f t="shared" si="858"/>
        <v>0</v>
      </c>
      <c r="QV69" s="109">
        <f t="shared" si="858"/>
        <v>0</v>
      </c>
      <c r="QW69" s="109">
        <f t="shared" si="858"/>
        <v>0</v>
      </c>
      <c r="QX69" s="109">
        <f t="shared" si="858"/>
        <v>0</v>
      </c>
      <c r="QY69" s="109">
        <f t="shared" si="858"/>
        <v>0</v>
      </c>
      <c r="QZ69" s="109">
        <f t="shared" si="858"/>
        <v>0</v>
      </c>
      <c r="RA69" s="109">
        <f t="shared" si="858"/>
        <v>0</v>
      </c>
      <c r="RB69" s="109">
        <f t="shared" si="858"/>
        <v>0</v>
      </c>
      <c r="RC69" s="109">
        <f t="shared" si="858"/>
        <v>0</v>
      </c>
      <c r="RD69" s="109">
        <f t="shared" si="858"/>
        <v>0</v>
      </c>
      <c r="RE69" s="109">
        <f t="shared" ref="RE69:TP69" si="859">SUM(RE70+RE72)</f>
        <v>0</v>
      </c>
      <c r="RF69" s="109">
        <f t="shared" si="859"/>
        <v>0</v>
      </c>
      <c r="RG69" s="109">
        <f t="shared" si="859"/>
        <v>0</v>
      </c>
      <c r="RH69" s="109">
        <f t="shared" si="859"/>
        <v>0</v>
      </c>
      <c r="RI69" s="109">
        <f t="shared" si="859"/>
        <v>0</v>
      </c>
      <c r="RJ69" s="109">
        <f t="shared" si="859"/>
        <v>0</v>
      </c>
      <c r="RK69" s="109">
        <f t="shared" si="859"/>
        <v>0</v>
      </c>
      <c r="RL69" s="109">
        <f t="shared" si="859"/>
        <v>0</v>
      </c>
      <c r="RM69" s="109">
        <f t="shared" si="859"/>
        <v>0</v>
      </c>
      <c r="RN69" s="109">
        <f t="shared" si="859"/>
        <v>0</v>
      </c>
      <c r="RO69" s="109">
        <f t="shared" si="859"/>
        <v>0</v>
      </c>
      <c r="RP69" s="109">
        <f t="shared" si="859"/>
        <v>0</v>
      </c>
      <c r="RQ69" s="109">
        <f t="shared" si="859"/>
        <v>0</v>
      </c>
      <c r="RR69" s="109">
        <f t="shared" si="859"/>
        <v>0</v>
      </c>
      <c r="RS69" s="109">
        <f t="shared" si="859"/>
        <v>0</v>
      </c>
      <c r="RT69" s="109">
        <f t="shared" si="859"/>
        <v>0</v>
      </c>
      <c r="RU69" s="109">
        <f t="shared" si="859"/>
        <v>0</v>
      </c>
      <c r="RV69" s="109">
        <f t="shared" si="859"/>
        <v>0</v>
      </c>
      <c r="RW69" s="109">
        <f t="shared" si="859"/>
        <v>0</v>
      </c>
      <c r="RX69" s="109">
        <f t="shared" si="859"/>
        <v>0</v>
      </c>
      <c r="RY69" s="109">
        <f t="shared" si="859"/>
        <v>0</v>
      </c>
      <c r="RZ69" s="109">
        <f t="shared" si="859"/>
        <v>0</v>
      </c>
      <c r="SA69" s="109">
        <f t="shared" si="859"/>
        <v>0</v>
      </c>
      <c r="SB69" s="109">
        <f t="shared" si="859"/>
        <v>0</v>
      </c>
      <c r="SC69" s="109">
        <f t="shared" si="859"/>
        <v>0</v>
      </c>
      <c r="SD69" s="109">
        <f t="shared" si="859"/>
        <v>0</v>
      </c>
      <c r="SE69" s="109">
        <f t="shared" si="859"/>
        <v>0</v>
      </c>
      <c r="SF69" s="109">
        <f t="shared" si="859"/>
        <v>0</v>
      </c>
      <c r="SG69" s="109">
        <f t="shared" si="859"/>
        <v>0</v>
      </c>
      <c r="SH69" s="109">
        <f t="shared" si="859"/>
        <v>0</v>
      </c>
      <c r="SI69" s="109">
        <f t="shared" si="859"/>
        <v>0</v>
      </c>
      <c r="SJ69" s="109">
        <f t="shared" si="859"/>
        <v>0</v>
      </c>
      <c r="SK69" s="109">
        <f t="shared" si="859"/>
        <v>0</v>
      </c>
      <c r="SL69" s="109">
        <f t="shared" si="859"/>
        <v>0</v>
      </c>
      <c r="SM69" s="109">
        <f t="shared" si="859"/>
        <v>0</v>
      </c>
      <c r="SN69" s="109">
        <f t="shared" si="859"/>
        <v>0</v>
      </c>
      <c r="SO69" s="109">
        <f t="shared" si="859"/>
        <v>0</v>
      </c>
      <c r="SP69" s="109">
        <f t="shared" si="859"/>
        <v>0</v>
      </c>
      <c r="SQ69" s="109">
        <f t="shared" si="859"/>
        <v>0</v>
      </c>
      <c r="SR69" s="109">
        <f t="shared" si="859"/>
        <v>0</v>
      </c>
      <c r="SS69" s="109">
        <f t="shared" si="859"/>
        <v>0</v>
      </c>
      <c r="ST69" s="109">
        <f t="shared" si="859"/>
        <v>0</v>
      </c>
      <c r="SU69" s="109">
        <f t="shared" si="859"/>
        <v>0</v>
      </c>
      <c r="SV69" s="109">
        <f t="shared" si="859"/>
        <v>0</v>
      </c>
      <c r="SW69" s="109">
        <f t="shared" si="859"/>
        <v>0</v>
      </c>
      <c r="SX69" s="109">
        <f t="shared" si="859"/>
        <v>0</v>
      </c>
      <c r="SY69" s="109">
        <f t="shared" si="859"/>
        <v>0</v>
      </c>
      <c r="SZ69" s="109">
        <f t="shared" si="859"/>
        <v>0</v>
      </c>
      <c r="TA69" s="109">
        <f t="shared" si="859"/>
        <v>0</v>
      </c>
      <c r="TB69" s="109">
        <f t="shared" si="859"/>
        <v>0</v>
      </c>
      <c r="TC69" s="40">
        <f t="shared" si="859"/>
        <v>0</v>
      </c>
      <c r="TD69" s="41">
        <f t="shared" si="859"/>
        <v>0</v>
      </c>
      <c r="TE69" s="41">
        <f t="shared" si="859"/>
        <v>0</v>
      </c>
      <c r="TF69" s="109">
        <f t="shared" si="859"/>
        <v>0</v>
      </c>
      <c r="TG69" s="109">
        <f t="shared" si="859"/>
        <v>0</v>
      </c>
      <c r="TH69" s="28">
        <f t="shared" si="859"/>
        <v>0</v>
      </c>
      <c r="TI69" s="28">
        <f t="shared" si="859"/>
        <v>0</v>
      </c>
      <c r="TJ69" s="28">
        <f t="shared" si="859"/>
        <v>0</v>
      </c>
      <c r="TK69" s="28">
        <f t="shared" si="859"/>
        <v>0</v>
      </c>
      <c r="TL69" s="28">
        <f t="shared" si="859"/>
        <v>0</v>
      </c>
      <c r="TM69" s="28">
        <f t="shared" si="859"/>
        <v>0</v>
      </c>
      <c r="TN69" s="28">
        <f t="shared" si="859"/>
        <v>0</v>
      </c>
      <c r="TO69" s="28">
        <f t="shared" si="859"/>
        <v>0</v>
      </c>
      <c r="TP69" s="109">
        <f t="shared" si="859"/>
        <v>0</v>
      </c>
      <c r="TQ69" s="109">
        <f t="shared" ref="TQ69:UC69" si="860">SUM(TQ70+TQ72)</f>
        <v>0</v>
      </c>
      <c r="TR69" s="109">
        <f t="shared" si="860"/>
        <v>0</v>
      </c>
      <c r="TS69" s="28">
        <f t="shared" si="860"/>
        <v>0</v>
      </c>
      <c r="TT69" s="28">
        <f t="shared" si="860"/>
        <v>0</v>
      </c>
      <c r="TU69" s="28">
        <f t="shared" si="860"/>
        <v>0</v>
      </c>
      <c r="TV69" s="111">
        <f t="shared" si="860"/>
        <v>0</v>
      </c>
      <c r="TW69" s="28">
        <f t="shared" si="860"/>
        <v>0</v>
      </c>
      <c r="TX69" s="28">
        <f t="shared" si="860"/>
        <v>0</v>
      </c>
      <c r="TY69" s="28">
        <f t="shared" si="860"/>
        <v>0</v>
      </c>
      <c r="TZ69" s="112">
        <f t="shared" si="860"/>
        <v>0</v>
      </c>
      <c r="UA69" s="111">
        <f t="shared" si="860"/>
        <v>0</v>
      </c>
      <c r="UB69" s="28">
        <f t="shared" si="860"/>
        <v>0</v>
      </c>
      <c r="UC69" s="112">
        <f t="shared" si="860"/>
        <v>0</v>
      </c>
    </row>
    <row r="70" spans="1:549" hidden="1" x14ac:dyDescent="0.25">
      <c r="A70" s="29">
        <v>120416</v>
      </c>
      <c r="B70" s="30"/>
      <c r="C70" s="31"/>
      <c r="D70" s="32"/>
      <c r="E70" s="42">
        <f>E71</f>
        <v>0</v>
      </c>
      <c r="F70" s="42">
        <f t="shared" ref="F70:BQ70" si="861">F71</f>
        <v>0</v>
      </c>
      <c r="G70" s="42">
        <f t="shared" si="861"/>
        <v>0</v>
      </c>
      <c r="H70" s="42">
        <f t="shared" si="861"/>
        <v>0</v>
      </c>
      <c r="I70" s="42">
        <f t="shared" si="861"/>
        <v>0</v>
      </c>
      <c r="J70" s="42">
        <f t="shared" si="861"/>
        <v>0</v>
      </c>
      <c r="K70" s="42">
        <f t="shared" si="861"/>
        <v>0</v>
      </c>
      <c r="L70" s="42">
        <f t="shared" si="861"/>
        <v>0</v>
      </c>
      <c r="M70" s="42">
        <f t="shared" si="861"/>
        <v>0</v>
      </c>
      <c r="N70" s="42">
        <f t="shared" si="861"/>
        <v>0</v>
      </c>
      <c r="O70" s="42">
        <f t="shared" si="861"/>
        <v>0</v>
      </c>
      <c r="P70" s="42">
        <f t="shared" si="861"/>
        <v>0</v>
      </c>
      <c r="Q70" s="42">
        <f t="shared" si="861"/>
        <v>0</v>
      </c>
      <c r="R70" s="42">
        <f t="shared" si="861"/>
        <v>0</v>
      </c>
      <c r="S70" s="42">
        <f t="shared" si="861"/>
        <v>0</v>
      </c>
      <c r="T70" s="42">
        <f t="shared" si="861"/>
        <v>0</v>
      </c>
      <c r="U70" s="42">
        <f t="shared" si="861"/>
        <v>0</v>
      </c>
      <c r="V70" s="42">
        <f t="shared" si="861"/>
        <v>0</v>
      </c>
      <c r="W70" s="42">
        <f t="shared" si="861"/>
        <v>0</v>
      </c>
      <c r="X70" s="42">
        <f t="shared" si="861"/>
        <v>0</v>
      </c>
      <c r="Y70" s="42">
        <f t="shared" si="861"/>
        <v>0</v>
      </c>
      <c r="Z70" s="42">
        <f t="shared" si="861"/>
        <v>0</v>
      </c>
      <c r="AA70" s="42">
        <f t="shared" si="861"/>
        <v>0</v>
      </c>
      <c r="AB70" s="42">
        <f t="shared" si="861"/>
        <v>0</v>
      </c>
      <c r="AC70" s="42">
        <f t="shared" si="861"/>
        <v>0</v>
      </c>
      <c r="AD70" s="42">
        <f t="shared" si="861"/>
        <v>0</v>
      </c>
      <c r="AE70" s="42">
        <f t="shared" si="861"/>
        <v>0</v>
      </c>
      <c r="AF70" s="42">
        <f t="shared" si="861"/>
        <v>0</v>
      </c>
      <c r="AG70" s="42">
        <f t="shared" si="861"/>
        <v>0</v>
      </c>
      <c r="AH70" s="42">
        <f t="shared" si="861"/>
        <v>0</v>
      </c>
      <c r="AI70" s="42">
        <f t="shared" si="861"/>
        <v>0</v>
      </c>
      <c r="AJ70" s="42">
        <f t="shared" si="861"/>
        <v>0</v>
      </c>
      <c r="AK70" s="42">
        <f t="shared" si="861"/>
        <v>0</v>
      </c>
      <c r="AL70" s="42">
        <f t="shared" si="861"/>
        <v>0</v>
      </c>
      <c r="AM70" s="42">
        <f t="shared" si="861"/>
        <v>0</v>
      </c>
      <c r="AN70" s="42">
        <f t="shared" si="861"/>
        <v>0</v>
      </c>
      <c r="AO70" s="42">
        <f t="shared" si="861"/>
        <v>0</v>
      </c>
      <c r="AP70" s="42">
        <f t="shared" si="861"/>
        <v>0</v>
      </c>
      <c r="AQ70" s="42">
        <f t="shared" si="861"/>
        <v>0</v>
      </c>
      <c r="AR70" s="42">
        <f t="shared" si="861"/>
        <v>0</v>
      </c>
      <c r="AS70" s="42">
        <f t="shared" si="861"/>
        <v>0</v>
      </c>
      <c r="AT70" s="42">
        <f t="shared" si="861"/>
        <v>0</v>
      </c>
      <c r="AU70" s="42">
        <f t="shared" si="861"/>
        <v>0</v>
      </c>
      <c r="AV70" s="42">
        <f t="shared" si="861"/>
        <v>0</v>
      </c>
      <c r="AW70" s="42">
        <f t="shared" si="861"/>
        <v>0</v>
      </c>
      <c r="AX70" s="42">
        <f t="shared" si="861"/>
        <v>0</v>
      </c>
      <c r="AY70" s="42">
        <f t="shared" si="861"/>
        <v>0</v>
      </c>
      <c r="AZ70" s="42">
        <f t="shared" si="861"/>
        <v>0</v>
      </c>
      <c r="BA70" s="42">
        <f t="shared" si="861"/>
        <v>0</v>
      </c>
      <c r="BB70" s="42">
        <f t="shared" si="861"/>
        <v>0</v>
      </c>
      <c r="BC70" s="42">
        <f t="shared" si="861"/>
        <v>0</v>
      </c>
      <c r="BD70" s="42">
        <f t="shared" si="861"/>
        <v>0</v>
      </c>
      <c r="BE70" s="42">
        <f t="shared" si="861"/>
        <v>0</v>
      </c>
      <c r="BF70" s="42">
        <f t="shared" si="861"/>
        <v>0</v>
      </c>
      <c r="BG70" s="42">
        <f t="shared" si="861"/>
        <v>0</v>
      </c>
      <c r="BH70" s="42">
        <f t="shared" si="861"/>
        <v>0</v>
      </c>
      <c r="BI70" s="42">
        <f t="shared" si="861"/>
        <v>0</v>
      </c>
      <c r="BJ70" s="42">
        <f t="shared" si="861"/>
        <v>0</v>
      </c>
      <c r="BK70" s="42">
        <f t="shared" si="861"/>
        <v>0</v>
      </c>
      <c r="BL70" s="42">
        <f t="shared" si="861"/>
        <v>0</v>
      </c>
      <c r="BM70" s="42">
        <f t="shared" si="861"/>
        <v>0</v>
      </c>
      <c r="BN70" s="42">
        <f t="shared" si="861"/>
        <v>0</v>
      </c>
      <c r="BO70" s="42">
        <f t="shared" si="861"/>
        <v>0</v>
      </c>
      <c r="BP70" s="42">
        <f t="shared" si="861"/>
        <v>0</v>
      </c>
      <c r="BQ70" s="42">
        <f t="shared" si="861"/>
        <v>0</v>
      </c>
      <c r="BR70" s="42">
        <f t="shared" ref="BR70:EC70" si="862">BR71</f>
        <v>0</v>
      </c>
      <c r="BS70" s="42">
        <f t="shared" si="862"/>
        <v>0</v>
      </c>
      <c r="BT70" s="42">
        <f t="shared" si="862"/>
        <v>0</v>
      </c>
      <c r="BU70" s="42">
        <f t="shared" si="862"/>
        <v>0</v>
      </c>
      <c r="BV70" s="42">
        <f t="shared" si="862"/>
        <v>0</v>
      </c>
      <c r="BW70" s="42">
        <f t="shared" si="862"/>
        <v>0</v>
      </c>
      <c r="BX70" s="42">
        <f t="shared" si="862"/>
        <v>0</v>
      </c>
      <c r="BY70" s="42">
        <f t="shared" si="862"/>
        <v>0</v>
      </c>
      <c r="BZ70" s="42">
        <f t="shared" si="862"/>
        <v>0</v>
      </c>
      <c r="CA70" s="42">
        <f t="shared" si="862"/>
        <v>0</v>
      </c>
      <c r="CB70" s="42">
        <f t="shared" si="862"/>
        <v>0</v>
      </c>
      <c r="CC70" s="42">
        <f t="shared" si="862"/>
        <v>0</v>
      </c>
      <c r="CD70" s="42">
        <f t="shared" si="862"/>
        <v>0</v>
      </c>
      <c r="CE70" s="42">
        <f t="shared" si="862"/>
        <v>0</v>
      </c>
      <c r="CF70" s="42">
        <f t="shared" si="862"/>
        <v>0</v>
      </c>
      <c r="CG70" s="42">
        <f t="shared" si="862"/>
        <v>0</v>
      </c>
      <c r="CH70" s="42">
        <f t="shared" si="862"/>
        <v>0</v>
      </c>
      <c r="CI70" s="42">
        <f t="shared" si="862"/>
        <v>0</v>
      </c>
      <c r="CJ70" s="42">
        <f t="shared" si="862"/>
        <v>0</v>
      </c>
      <c r="CK70" s="42">
        <f t="shared" si="862"/>
        <v>0</v>
      </c>
      <c r="CL70" s="42">
        <f t="shared" si="862"/>
        <v>0</v>
      </c>
      <c r="CM70" s="42">
        <f t="shared" si="862"/>
        <v>0</v>
      </c>
      <c r="CN70" s="42">
        <f t="shared" si="862"/>
        <v>0</v>
      </c>
      <c r="CO70" s="42">
        <f t="shared" si="862"/>
        <v>0</v>
      </c>
      <c r="CP70" s="42">
        <f t="shared" si="862"/>
        <v>0</v>
      </c>
      <c r="CQ70" s="42">
        <f t="shared" si="862"/>
        <v>0</v>
      </c>
      <c r="CR70" s="42">
        <f t="shared" si="862"/>
        <v>0</v>
      </c>
      <c r="CS70" s="42">
        <f t="shared" si="862"/>
        <v>0</v>
      </c>
      <c r="CT70" s="42">
        <f t="shared" si="862"/>
        <v>0</v>
      </c>
      <c r="CU70" s="42">
        <f t="shared" si="862"/>
        <v>0</v>
      </c>
      <c r="CV70" s="42">
        <f t="shared" si="862"/>
        <v>0</v>
      </c>
      <c r="CW70" s="42">
        <f t="shared" si="862"/>
        <v>0</v>
      </c>
      <c r="CX70" s="42">
        <f t="shared" si="862"/>
        <v>0</v>
      </c>
      <c r="CY70" s="42">
        <f t="shared" si="862"/>
        <v>0</v>
      </c>
      <c r="CZ70" s="42">
        <f t="shared" si="862"/>
        <v>0</v>
      </c>
      <c r="DA70" s="42">
        <f t="shared" si="862"/>
        <v>0</v>
      </c>
      <c r="DB70" s="42">
        <f t="shared" si="862"/>
        <v>0</v>
      </c>
      <c r="DC70" s="42">
        <f t="shared" si="862"/>
        <v>0</v>
      </c>
      <c r="DD70" s="42">
        <f t="shared" si="862"/>
        <v>0</v>
      </c>
      <c r="DE70" s="42">
        <f t="shared" si="862"/>
        <v>0</v>
      </c>
      <c r="DF70" s="42">
        <f t="shared" si="862"/>
        <v>0</v>
      </c>
      <c r="DG70" s="42">
        <f t="shared" si="862"/>
        <v>0</v>
      </c>
      <c r="DH70" s="42">
        <f t="shared" si="862"/>
        <v>0</v>
      </c>
      <c r="DI70" s="42">
        <f t="shared" si="862"/>
        <v>0</v>
      </c>
      <c r="DJ70" s="42">
        <f t="shared" si="862"/>
        <v>0</v>
      </c>
      <c r="DK70" s="42">
        <f t="shared" si="862"/>
        <v>0</v>
      </c>
      <c r="DL70" s="42">
        <f t="shared" si="862"/>
        <v>0</v>
      </c>
      <c r="DM70" s="42">
        <f t="shared" si="862"/>
        <v>0</v>
      </c>
      <c r="DN70" s="42">
        <f t="shared" si="862"/>
        <v>0</v>
      </c>
      <c r="DO70" s="42">
        <f t="shared" si="862"/>
        <v>0</v>
      </c>
      <c r="DP70" s="42">
        <f t="shared" si="862"/>
        <v>0</v>
      </c>
      <c r="DQ70" s="42">
        <f t="shared" si="862"/>
        <v>0</v>
      </c>
      <c r="DR70" s="42">
        <f t="shared" si="862"/>
        <v>0</v>
      </c>
      <c r="DS70" s="42">
        <f t="shared" si="862"/>
        <v>0</v>
      </c>
      <c r="DT70" s="42">
        <f t="shared" si="862"/>
        <v>0</v>
      </c>
      <c r="DU70" s="42">
        <f t="shared" si="862"/>
        <v>0</v>
      </c>
      <c r="DV70" s="42">
        <f t="shared" si="862"/>
        <v>0</v>
      </c>
      <c r="DW70" s="42">
        <f t="shared" si="862"/>
        <v>0</v>
      </c>
      <c r="DX70" s="42">
        <f t="shared" si="862"/>
        <v>0</v>
      </c>
      <c r="DY70" s="42">
        <f t="shared" si="862"/>
        <v>0</v>
      </c>
      <c r="DZ70" s="42">
        <f t="shared" si="862"/>
        <v>0</v>
      </c>
      <c r="EA70" s="42">
        <f t="shared" si="862"/>
        <v>0</v>
      </c>
      <c r="EB70" s="42">
        <f t="shared" si="862"/>
        <v>0</v>
      </c>
      <c r="EC70" s="42">
        <f t="shared" si="862"/>
        <v>0</v>
      </c>
      <c r="ED70" s="42">
        <f t="shared" ref="ED70:GU70" si="863">ED71</f>
        <v>0</v>
      </c>
      <c r="EE70" s="42">
        <f t="shared" si="863"/>
        <v>0</v>
      </c>
      <c r="EF70" s="42">
        <f t="shared" si="863"/>
        <v>0</v>
      </c>
      <c r="EG70" s="42">
        <f t="shared" si="863"/>
        <v>0</v>
      </c>
      <c r="EH70" s="42">
        <f t="shared" si="863"/>
        <v>0</v>
      </c>
      <c r="EI70" s="42">
        <f t="shared" si="863"/>
        <v>0</v>
      </c>
      <c r="EJ70" s="42">
        <f t="shared" si="863"/>
        <v>0</v>
      </c>
      <c r="EK70" s="42">
        <f t="shared" si="863"/>
        <v>0</v>
      </c>
      <c r="EL70" s="42">
        <f t="shared" si="863"/>
        <v>0</v>
      </c>
      <c r="EM70" s="42">
        <f t="shared" si="863"/>
        <v>0</v>
      </c>
      <c r="EN70" s="42">
        <f t="shared" si="863"/>
        <v>0</v>
      </c>
      <c r="EO70" s="42">
        <f t="shared" si="863"/>
        <v>0</v>
      </c>
      <c r="EP70" s="42">
        <f t="shared" si="863"/>
        <v>0</v>
      </c>
      <c r="EQ70" s="42">
        <f t="shared" si="863"/>
        <v>0</v>
      </c>
      <c r="ER70" s="42">
        <f t="shared" si="863"/>
        <v>0</v>
      </c>
      <c r="ES70" s="42">
        <f t="shared" si="863"/>
        <v>0</v>
      </c>
      <c r="ET70" s="42">
        <f t="shared" si="863"/>
        <v>0</v>
      </c>
      <c r="EU70" s="42">
        <f t="shared" si="863"/>
        <v>0</v>
      </c>
      <c r="EV70" s="42">
        <f t="shared" si="863"/>
        <v>0</v>
      </c>
      <c r="EW70" s="42">
        <f t="shared" si="863"/>
        <v>0</v>
      </c>
      <c r="EX70" s="42">
        <f t="shared" si="863"/>
        <v>0</v>
      </c>
      <c r="EY70" s="42">
        <f t="shared" si="863"/>
        <v>0</v>
      </c>
      <c r="EZ70" s="42">
        <f t="shared" si="863"/>
        <v>0</v>
      </c>
      <c r="FA70" s="42">
        <f t="shared" si="863"/>
        <v>0</v>
      </c>
      <c r="FB70" s="42">
        <f t="shared" si="863"/>
        <v>0</v>
      </c>
      <c r="FC70" s="42">
        <f t="shared" si="863"/>
        <v>0</v>
      </c>
      <c r="FD70" s="42">
        <f t="shared" si="863"/>
        <v>0</v>
      </c>
      <c r="FE70" s="42">
        <f t="shared" si="863"/>
        <v>0</v>
      </c>
      <c r="FF70" s="42">
        <f t="shared" si="863"/>
        <v>0</v>
      </c>
      <c r="FG70" s="42">
        <f t="shared" si="863"/>
        <v>0</v>
      </c>
      <c r="FH70" s="42">
        <f t="shared" si="863"/>
        <v>0</v>
      </c>
      <c r="FI70" s="42">
        <f t="shared" si="863"/>
        <v>0</v>
      </c>
      <c r="FJ70" s="42">
        <f t="shared" si="863"/>
        <v>0</v>
      </c>
      <c r="FK70" s="42">
        <f t="shared" si="863"/>
        <v>0</v>
      </c>
      <c r="FL70" s="42">
        <f t="shared" si="863"/>
        <v>0</v>
      </c>
      <c r="FM70" s="42">
        <f t="shared" si="863"/>
        <v>0</v>
      </c>
      <c r="FN70" s="42">
        <f t="shared" si="863"/>
        <v>0</v>
      </c>
      <c r="FO70" s="42">
        <f t="shared" si="863"/>
        <v>0</v>
      </c>
      <c r="FP70" s="42">
        <f t="shared" si="863"/>
        <v>0</v>
      </c>
      <c r="FQ70" s="42">
        <f t="shared" si="863"/>
        <v>0</v>
      </c>
      <c r="FR70" s="42">
        <f t="shared" si="863"/>
        <v>0</v>
      </c>
      <c r="FS70" s="42">
        <f t="shared" si="863"/>
        <v>0</v>
      </c>
      <c r="FT70" s="42">
        <f t="shared" si="863"/>
        <v>0</v>
      </c>
      <c r="FU70" s="42">
        <f t="shared" si="863"/>
        <v>0</v>
      </c>
      <c r="FV70" s="42">
        <f t="shared" si="863"/>
        <v>0</v>
      </c>
      <c r="FW70" s="42">
        <f t="shared" si="863"/>
        <v>0</v>
      </c>
      <c r="FX70" s="42">
        <f t="shared" si="863"/>
        <v>0</v>
      </c>
      <c r="FY70" s="42">
        <f t="shared" si="863"/>
        <v>0</v>
      </c>
      <c r="FZ70" s="42">
        <f t="shared" si="863"/>
        <v>0</v>
      </c>
      <c r="GA70" s="42">
        <f t="shared" si="863"/>
        <v>0</v>
      </c>
      <c r="GB70" s="42">
        <f t="shared" si="863"/>
        <v>0</v>
      </c>
      <c r="GC70" s="42">
        <f t="shared" si="863"/>
        <v>0</v>
      </c>
      <c r="GD70" s="42">
        <f t="shared" si="863"/>
        <v>0</v>
      </c>
      <c r="GE70" s="42">
        <f t="shared" si="863"/>
        <v>0</v>
      </c>
      <c r="GF70" s="42">
        <f t="shared" si="863"/>
        <v>0</v>
      </c>
      <c r="GG70" s="40">
        <f t="shared" si="863"/>
        <v>0</v>
      </c>
      <c r="GH70" s="113">
        <f>GH71</f>
        <v>0</v>
      </c>
      <c r="GI70" s="113">
        <f>GI71</f>
        <v>0</v>
      </c>
      <c r="GJ70" s="42">
        <f t="shared" si="863"/>
        <v>0</v>
      </c>
      <c r="GK70" s="28">
        <f t="shared" si="863"/>
        <v>0</v>
      </c>
      <c r="GL70" s="28">
        <f t="shared" si="863"/>
        <v>0</v>
      </c>
      <c r="GM70" s="28">
        <f t="shared" si="863"/>
        <v>0</v>
      </c>
      <c r="GN70" s="20">
        <f t="shared" si="73"/>
        <v>0</v>
      </c>
      <c r="GO70" s="42">
        <f t="shared" si="863"/>
        <v>0</v>
      </c>
      <c r="GP70" s="42">
        <f t="shared" si="863"/>
        <v>0</v>
      </c>
      <c r="GQ70" s="42">
        <f t="shared" si="863"/>
        <v>0</v>
      </c>
      <c r="GR70" s="42">
        <f t="shared" si="863"/>
        <v>0</v>
      </c>
      <c r="GS70" s="42">
        <f t="shared" si="863"/>
        <v>0</v>
      </c>
      <c r="GT70" s="42">
        <f t="shared" si="863"/>
        <v>0</v>
      </c>
      <c r="GU70" s="42">
        <f t="shared" si="863"/>
        <v>0</v>
      </c>
      <c r="GV70" s="42">
        <f t="shared" ref="GV70:JK70" si="864">GV71</f>
        <v>0</v>
      </c>
      <c r="GW70" s="42">
        <f t="shared" si="864"/>
        <v>0</v>
      </c>
      <c r="GX70" s="42">
        <f t="shared" si="864"/>
        <v>0</v>
      </c>
      <c r="GY70" s="42">
        <f t="shared" si="864"/>
        <v>0</v>
      </c>
      <c r="GZ70" s="42">
        <f t="shared" si="864"/>
        <v>0</v>
      </c>
      <c r="HA70" s="42">
        <f t="shared" si="864"/>
        <v>0</v>
      </c>
      <c r="HB70" s="42">
        <f t="shared" si="864"/>
        <v>0</v>
      </c>
      <c r="HC70" s="42">
        <f t="shared" si="864"/>
        <v>0</v>
      </c>
      <c r="HD70" s="42">
        <f t="shared" si="864"/>
        <v>0</v>
      </c>
      <c r="HE70" s="42">
        <f t="shared" si="864"/>
        <v>0</v>
      </c>
      <c r="HF70" s="42">
        <f t="shared" si="864"/>
        <v>0</v>
      </c>
      <c r="HG70" s="42">
        <f t="shared" si="864"/>
        <v>0</v>
      </c>
      <c r="HH70" s="42">
        <f t="shared" si="864"/>
        <v>0</v>
      </c>
      <c r="HI70" s="42">
        <f t="shared" si="864"/>
        <v>0</v>
      </c>
      <c r="HJ70" s="42">
        <f t="shared" si="864"/>
        <v>0</v>
      </c>
      <c r="HK70" s="42">
        <f t="shared" si="864"/>
        <v>0</v>
      </c>
      <c r="HL70" s="42">
        <f t="shared" si="864"/>
        <v>0</v>
      </c>
      <c r="HM70" s="42">
        <f t="shared" si="864"/>
        <v>0</v>
      </c>
      <c r="HN70" s="42">
        <f t="shared" si="864"/>
        <v>0</v>
      </c>
      <c r="HO70" s="42">
        <f t="shared" si="864"/>
        <v>0</v>
      </c>
      <c r="HP70" s="42">
        <f t="shared" si="864"/>
        <v>0</v>
      </c>
      <c r="HQ70" s="42">
        <f t="shared" si="864"/>
        <v>0</v>
      </c>
      <c r="HR70" s="42">
        <f t="shared" si="864"/>
        <v>0</v>
      </c>
      <c r="HS70" s="28">
        <f t="shared" si="864"/>
        <v>0</v>
      </c>
      <c r="HT70" s="28">
        <f t="shared" si="864"/>
        <v>0</v>
      </c>
      <c r="HU70" s="28">
        <f t="shared" si="864"/>
        <v>0</v>
      </c>
      <c r="HV70" s="20">
        <f t="shared" si="80"/>
        <v>0</v>
      </c>
      <c r="HW70" s="42">
        <f t="shared" si="864"/>
        <v>0</v>
      </c>
      <c r="HX70" s="42">
        <f t="shared" si="864"/>
        <v>0</v>
      </c>
      <c r="HY70" s="42">
        <f t="shared" si="864"/>
        <v>0</v>
      </c>
      <c r="HZ70" s="42">
        <f t="shared" si="864"/>
        <v>0</v>
      </c>
      <c r="IA70" s="42">
        <f t="shared" si="864"/>
        <v>0</v>
      </c>
      <c r="IB70" s="42">
        <f t="shared" si="864"/>
        <v>0</v>
      </c>
      <c r="IC70" s="42">
        <f t="shared" si="864"/>
        <v>0</v>
      </c>
      <c r="ID70" s="42">
        <f t="shared" si="864"/>
        <v>0</v>
      </c>
      <c r="IE70" s="42">
        <f t="shared" si="864"/>
        <v>0</v>
      </c>
      <c r="IF70" s="42">
        <f t="shared" si="864"/>
        <v>0</v>
      </c>
      <c r="IG70" s="42">
        <f t="shared" si="864"/>
        <v>0</v>
      </c>
      <c r="IH70" s="42">
        <f t="shared" si="864"/>
        <v>0</v>
      </c>
      <c r="II70" s="42">
        <f t="shared" si="864"/>
        <v>0</v>
      </c>
      <c r="IJ70" s="42">
        <f t="shared" si="864"/>
        <v>0</v>
      </c>
      <c r="IK70" s="42">
        <f t="shared" si="864"/>
        <v>0</v>
      </c>
      <c r="IL70" s="42">
        <f t="shared" si="864"/>
        <v>0</v>
      </c>
      <c r="IM70" s="42">
        <f t="shared" si="864"/>
        <v>0</v>
      </c>
      <c r="IN70" s="42">
        <f t="shared" si="864"/>
        <v>0</v>
      </c>
      <c r="IO70" s="42">
        <f t="shared" si="864"/>
        <v>0</v>
      </c>
      <c r="IP70" s="42">
        <f t="shared" si="864"/>
        <v>0</v>
      </c>
      <c r="IQ70" s="42">
        <f t="shared" si="864"/>
        <v>0</v>
      </c>
      <c r="IR70" s="42">
        <f t="shared" si="864"/>
        <v>0</v>
      </c>
      <c r="IS70" s="42">
        <f t="shared" si="864"/>
        <v>0</v>
      </c>
      <c r="IT70" s="42">
        <f t="shared" si="864"/>
        <v>0</v>
      </c>
      <c r="IU70" s="42">
        <f t="shared" si="864"/>
        <v>0</v>
      </c>
      <c r="IV70" s="42">
        <f t="shared" si="864"/>
        <v>0</v>
      </c>
      <c r="IW70" s="42">
        <f t="shared" si="864"/>
        <v>0</v>
      </c>
      <c r="IX70" s="42">
        <f t="shared" si="864"/>
        <v>0</v>
      </c>
      <c r="IY70" s="42">
        <f t="shared" si="864"/>
        <v>0</v>
      </c>
      <c r="IZ70" s="42">
        <f t="shared" si="864"/>
        <v>0</v>
      </c>
      <c r="JA70" s="42">
        <f t="shared" si="864"/>
        <v>0</v>
      </c>
      <c r="JB70" s="42">
        <f t="shared" si="864"/>
        <v>0</v>
      </c>
      <c r="JC70" s="42">
        <f t="shared" si="864"/>
        <v>0</v>
      </c>
      <c r="JD70" s="42">
        <f t="shared" si="864"/>
        <v>0</v>
      </c>
      <c r="JE70" s="42">
        <f t="shared" si="864"/>
        <v>0</v>
      </c>
      <c r="JF70" s="42">
        <f t="shared" si="864"/>
        <v>0</v>
      </c>
      <c r="JG70" s="42">
        <f t="shared" si="864"/>
        <v>0</v>
      </c>
      <c r="JH70" s="42">
        <f t="shared" si="864"/>
        <v>0</v>
      </c>
      <c r="JI70" s="42">
        <f t="shared" si="864"/>
        <v>0</v>
      </c>
      <c r="JJ70" s="42">
        <f t="shared" si="864"/>
        <v>0</v>
      </c>
      <c r="JK70" s="42">
        <f t="shared" si="864"/>
        <v>0</v>
      </c>
      <c r="JL70" s="42">
        <f t="shared" ref="JL70:MC70" si="865">JL71</f>
        <v>0</v>
      </c>
      <c r="JM70" s="42">
        <f t="shared" si="865"/>
        <v>0</v>
      </c>
      <c r="JN70" s="42">
        <f t="shared" si="865"/>
        <v>0</v>
      </c>
      <c r="JO70" s="42">
        <f t="shared" si="865"/>
        <v>0</v>
      </c>
      <c r="JP70" s="42">
        <f t="shared" si="865"/>
        <v>0</v>
      </c>
      <c r="JQ70" s="42">
        <f t="shared" si="865"/>
        <v>0</v>
      </c>
      <c r="JR70" s="42">
        <f t="shared" si="865"/>
        <v>0</v>
      </c>
      <c r="JS70" s="42">
        <f t="shared" si="865"/>
        <v>0</v>
      </c>
      <c r="JT70" s="42">
        <f t="shared" si="865"/>
        <v>0</v>
      </c>
      <c r="JU70" s="42">
        <f t="shared" si="865"/>
        <v>0</v>
      </c>
      <c r="JV70" s="42">
        <f t="shared" si="865"/>
        <v>0</v>
      </c>
      <c r="JW70" s="42">
        <f t="shared" si="865"/>
        <v>0</v>
      </c>
      <c r="JX70" s="42">
        <f t="shared" si="865"/>
        <v>0</v>
      </c>
      <c r="JY70" s="42">
        <f t="shared" si="865"/>
        <v>0</v>
      </c>
      <c r="JZ70" s="42">
        <f t="shared" si="865"/>
        <v>0</v>
      </c>
      <c r="KA70" s="42">
        <f t="shared" si="865"/>
        <v>0</v>
      </c>
      <c r="KB70" s="42">
        <f t="shared" si="865"/>
        <v>0</v>
      </c>
      <c r="KC70" s="42">
        <f t="shared" si="865"/>
        <v>0</v>
      </c>
      <c r="KD70" s="42">
        <f t="shared" si="865"/>
        <v>0</v>
      </c>
      <c r="KE70" s="42">
        <f t="shared" si="865"/>
        <v>0</v>
      </c>
      <c r="KF70" s="42">
        <f t="shared" si="865"/>
        <v>0</v>
      </c>
      <c r="KG70" s="42">
        <f t="shared" si="865"/>
        <v>0</v>
      </c>
      <c r="KH70" s="42">
        <f t="shared" si="865"/>
        <v>0</v>
      </c>
      <c r="KI70" s="42">
        <f t="shared" si="865"/>
        <v>0</v>
      </c>
      <c r="KJ70" s="42">
        <f t="shared" si="865"/>
        <v>0</v>
      </c>
      <c r="KK70" s="42">
        <f t="shared" si="865"/>
        <v>0</v>
      </c>
      <c r="KL70" s="42">
        <f t="shared" si="865"/>
        <v>0</v>
      </c>
      <c r="KM70" s="42">
        <f t="shared" si="865"/>
        <v>0</v>
      </c>
      <c r="KN70" s="42">
        <f t="shared" si="865"/>
        <v>0</v>
      </c>
      <c r="KO70" s="42">
        <f t="shared" si="865"/>
        <v>0</v>
      </c>
      <c r="KP70" s="42">
        <f t="shared" si="865"/>
        <v>0</v>
      </c>
      <c r="KQ70" s="42">
        <f t="shared" si="865"/>
        <v>0</v>
      </c>
      <c r="KR70" s="42">
        <f t="shared" si="865"/>
        <v>0</v>
      </c>
      <c r="KS70" s="42">
        <f t="shared" si="865"/>
        <v>0</v>
      </c>
      <c r="KT70" s="42">
        <f t="shared" si="865"/>
        <v>0</v>
      </c>
      <c r="KU70" s="42">
        <f t="shared" si="865"/>
        <v>0</v>
      </c>
      <c r="KV70" s="42">
        <f t="shared" si="865"/>
        <v>0</v>
      </c>
      <c r="KW70" s="42">
        <f t="shared" si="865"/>
        <v>0</v>
      </c>
      <c r="KX70" s="42">
        <f t="shared" si="865"/>
        <v>0</v>
      </c>
      <c r="KY70" s="42">
        <f t="shared" si="865"/>
        <v>0</v>
      </c>
      <c r="KZ70" s="42">
        <f t="shared" si="865"/>
        <v>0</v>
      </c>
      <c r="LA70" s="42">
        <f t="shared" si="865"/>
        <v>0</v>
      </c>
      <c r="LB70" s="42">
        <f t="shared" si="865"/>
        <v>0</v>
      </c>
      <c r="LC70" s="42">
        <f t="shared" si="865"/>
        <v>0</v>
      </c>
      <c r="LD70" s="42">
        <f t="shared" si="865"/>
        <v>0</v>
      </c>
      <c r="LE70" s="42">
        <f t="shared" si="865"/>
        <v>0</v>
      </c>
      <c r="LF70" s="42">
        <f t="shared" si="865"/>
        <v>0</v>
      </c>
      <c r="LG70" s="42">
        <f t="shared" si="865"/>
        <v>0</v>
      </c>
      <c r="LH70" s="42">
        <f t="shared" si="865"/>
        <v>0</v>
      </c>
      <c r="LI70" s="42">
        <f t="shared" si="865"/>
        <v>0</v>
      </c>
      <c r="LJ70" s="42">
        <f t="shared" si="865"/>
        <v>0</v>
      </c>
      <c r="LK70" s="42">
        <f t="shared" si="865"/>
        <v>0</v>
      </c>
      <c r="LL70" s="42">
        <f t="shared" si="865"/>
        <v>0</v>
      </c>
      <c r="LM70" s="42">
        <f t="shared" si="865"/>
        <v>0</v>
      </c>
      <c r="LN70" s="42">
        <f t="shared" si="865"/>
        <v>0</v>
      </c>
      <c r="LO70" s="42">
        <f t="shared" si="865"/>
        <v>0</v>
      </c>
      <c r="LP70" s="42">
        <f t="shared" si="865"/>
        <v>0</v>
      </c>
      <c r="LQ70" s="42">
        <f t="shared" si="865"/>
        <v>0</v>
      </c>
      <c r="LR70" s="42">
        <f t="shared" si="865"/>
        <v>0</v>
      </c>
      <c r="LS70" s="42">
        <f t="shared" si="865"/>
        <v>0</v>
      </c>
      <c r="LT70" s="42">
        <f t="shared" si="865"/>
        <v>0</v>
      </c>
      <c r="LU70" s="42">
        <f t="shared" si="865"/>
        <v>0</v>
      </c>
      <c r="LV70" s="42">
        <f t="shared" si="865"/>
        <v>0</v>
      </c>
      <c r="LW70" s="42">
        <f t="shared" si="865"/>
        <v>0</v>
      </c>
      <c r="LX70" s="45">
        <f t="shared" si="96"/>
        <v>0</v>
      </c>
      <c r="LY70" s="42">
        <f t="shared" si="865"/>
        <v>0</v>
      </c>
      <c r="LZ70" s="42">
        <f t="shared" si="865"/>
        <v>0</v>
      </c>
      <c r="MA70" s="42">
        <f t="shared" si="865"/>
        <v>0</v>
      </c>
      <c r="MB70" s="42">
        <f t="shared" si="865"/>
        <v>0</v>
      </c>
      <c r="MC70" s="42">
        <f t="shared" si="865"/>
        <v>0</v>
      </c>
      <c r="MD70" s="42">
        <f t="shared" ref="MD70:OO70" si="866">MD71</f>
        <v>0</v>
      </c>
      <c r="ME70" s="42">
        <f t="shared" si="866"/>
        <v>0</v>
      </c>
      <c r="MF70" s="42">
        <f t="shared" si="866"/>
        <v>0</v>
      </c>
      <c r="MG70" s="42">
        <f t="shared" si="866"/>
        <v>0</v>
      </c>
      <c r="MH70" s="42">
        <f t="shared" si="866"/>
        <v>0</v>
      </c>
      <c r="MI70" s="42">
        <f t="shared" si="866"/>
        <v>0</v>
      </c>
      <c r="MJ70" s="42">
        <f t="shared" si="866"/>
        <v>0</v>
      </c>
      <c r="MK70" s="42">
        <f t="shared" si="866"/>
        <v>0</v>
      </c>
      <c r="ML70" s="42">
        <f t="shared" si="866"/>
        <v>0</v>
      </c>
      <c r="MM70" s="42">
        <f t="shared" si="866"/>
        <v>0</v>
      </c>
      <c r="MN70" s="42">
        <f t="shared" si="866"/>
        <v>0</v>
      </c>
      <c r="MO70" s="42">
        <f t="shared" si="866"/>
        <v>0</v>
      </c>
      <c r="MP70" s="42">
        <f t="shared" si="866"/>
        <v>0</v>
      </c>
      <c r="MQ70" s="42">
        <f t="shared" si="866"/>
        <v>0</v>
      </c>
      <c r="MR70" s="42">
        <f t="shared" si="866"/>
        <v>0</v>
      </c>
      <c r="MS70" s="42">
        <f t="shared" si="866"/>
        <v>0</v>
      </c>
      <c r="MT70" s="42">
        <f t="shared" si="866"/>
        <v>0</v>
      </c>
      <c r="MU70" s="42">
        <f t="shared" si="866"/>
        <v>0</v>
      </c>
      <c r="MV70" s="42">
        <f t="shared" si="866"/>
        <v>0</v>
      </c>
      <c r="MW70" s="42">
        <f t="shared" si="866"/>
        <v>0</v>
      </c>
      <c r="MX70" s="42">
        <f t="shared" si="866"/>
        <v>0</v>
      </c>
      <c r="MY70" s="42">
        <f t="shared" si="866"/>
        <v>0</v>
      </c>
      <c r="MZ70" s="42">
        <f t="shared" si="866"/>
        <v>0</v>
      </c>
      <c r="NA70" s="42">
        <f t="shared" si="866"/>
        <v>0</v>
      </c>
      <c r="NB70" s="42">
        <f t="shared" si="866"/>
        <v>0</v>
      </c>
      <c r="NC70" s="42">
        <f t="shared" si="866"/>
        <v>0</v>
      </c>
      <c r="ND70" s="42">
        <f t="shared" si="866"/>
        <v>0</v>
      </c>
      <c r="NE70" s="42">
        <f t="shared" si="866"/>
        <v>0</v>
      </c>
      <c r="NF70" s="42">
        <f t="shared" si="866"/>
        <v>0</v>
      </c>
      <c r="NG70" s="42">
        <f t="shared" si="866"/>
        <v>0</v>
      </c>
      <c r="NH70" s="42">
        <f t="shared" si="866"/>
        <v>0</v>
      </c>
      <c r="NI70" s="42">
        <f t="shared" si="866"/>
        <v>0</v>
      </c>
      <c r="NJ70" s="42">
        <f t="shared" si="866"/>
        <v>0</v>
      </c>
      <c r="NK70" s="42">
        <f t="shared" si="866"/>
        <v>0</v>
      </c>
      <c r="NL70" s="42">
        <f t="shared" si="866"/>
        <v>0</v>
      </c>
      <c r="NM70" s="42">
        <f t="shared" si="866"/>
        <v>0</v>
      </c>
      <c r="NN70" s="42">
        <f t="shared" si="866"/>
        <v>0</v>
      </c>
      <c r="NO70" s="42">
        <f t="shared" si="866"/>
        <v>0</v>
      </c>
      <c r="NP70" s="42">
        <f t="shared" si="866"/>
        <v>0</v>
      </c>
      <c r="NQ70" s="42">
        <f t="shared" si="866"/>
        <v>0</v>
      </c>
      <c r="NR70" s="42">
        <f t="shared" si="866"/>
        <v>0</v>
      </c>
      <c r="NS70" s="42">
        <f t="shared" si="866"/>
        <v>0</v>
      </c>
      <c r="NT70" s="42">
        <f t="shared" si="866"/>
        <v>0</v>
      </c>
      <c r="NU70" s="42">
        <f t="shared" si="866"/>
        <v>0</v>
      </c>
      <c r="NV70" s="33">
        <f t="shared" si="866"/>
        <v>0</v>
      </c>
      <c r="NW70" s="33">
        <f t="shared" si="866"/>
        <v>0</v>
      </c>
      <c r="NX70" s="33">
        <f t="shared" si="866"/>
        <v>0</v>
      </c>
      <c r="NY70" s="33">
        <f t="shared" si="866"/>
        <v>0</v>
      </c>
      <c r="NZ70" s="33">
        <f t="shared" si="866"/>
        <v>0</v>
      </c>
      <c r="OA70" s="33">
        <f t="shared" si="866"/>
        <v>0</v>
      </c>
      <c r="OB70" s="33">
        <f t="shared" si="866"/>
        <v>0</v>
      </c>
      <c r="OC70" s="33">
        <f t="shared" si="866"/>
        <v>0</v>
      </c>
      <c r="OD70" s="33">
        <f t="shared" si="866"/>
        <v>0</v>
      </c>
      <c r="OE70" s="33">
        <f t="shared" si="866"/>
        <v>0</v>
      </c>
      <c r="OF70" s="33">
        <f t="shared" si="866"/>
        <v>0</v>
      </c>
      <c r="OG70" s="33">
        <f t="shared" si="866"/>
        <v>0</v>
      </c>
      <c r="OH70" s="33">
        <f t="shared" si="866"/>
        <v>0</v>
      </c>
      <c r="OI70" s="33">
        <f t="shared" si="866"/>
        <v>0</v>
      </c>
      <c r="OJ70" s="33">
        <f t="shared" si="866"/>
        <v>0</v>
      </c>
      <c r="OK70" s="33">
        <f t="shared" si="866"/>
        <v>0</v>
      </c>
      <c r="OL70" s="33">
        <f t="shared" si="866"/>
        <v>0</v>
      </c>
      <c r="OM70" s="33">
        <f t="shared" si="866"/>
        <v>0</v>
      </c>
      <c r="ON70" s="33">
        <f t="shared" si="866"/>
        <v>0</v>
      </c>
      <c r="OO70" s="33">
        <f t="shared" si="866"/>
        <v>0</v>
      </c>
      <c r="OP70" s="33">
        <f t="shared" ref="OP70:OQ70" si="867">OP71</f>
        <v>0</v>
      </c>
      <c r="OQ70" s="33">
        <f t="shared" si="867"/>
        <v>0</v>
      </c>
      <c r="OR70" s="46">
        <f t="shared" si="735"/>
        <v>0</v>
      </c>
      <c r="OS70" s="33">
        <f t="shared" ref="OS70:RD70" si="868">OS71</f>
        <v>0</v>
      </c>
      <c r="OT70" s="33">
        <f t="shared" si="868"/>
        <v>0</v>
      </c>
      <c r="OU70" s="33">
        <f t="shared" si="868"/>
        <v>0</v>
      </c>
      <c r="OV70" s="33">
        <f t="shared" si="868"/>
        <v>0</v>
      </c>
      <c r="OW70" s="33">
        <f t="shared" si="868"/>
        <v>0</v>
      </c>
      <c r="OX70" s="33">
        <f t="shared" ref="OX70" si="869">SUM(OS70:OW70)</f>
        <v>0</v>
      </c>
      <c r="OY70" s="33">
        <f t="shared" si="868"/>
        <v>0</v>
      </c>
      <c r="OZ70" s="33">
        <f t="shared" si="868"/>
        <v>0</v>
      </c>
      <c r="PA70" s="33">
        <f t="shared" si="868"/>
        <v>0</v>
      </c>
      <c r="PB70" s="34">
        <f>SUM(OY70:PA70)</f>
        <v>0</v>
      </c>
      <c r="PC70" s="33">
        <f t="shared" si="868"/>
        <v>0</v>
      </c>
      <c r="PD70" s="33">
        <f t="shared" si="868"/>
        <v>0</v>
      </c>
      <c r="PE70" s="33">
        <f t="shared" si="868"/>
        <v>0</v>
      </c>
      <c r="PF70" s="34">
        <f>SUM(PC70:PE70)</f>
        <v>0</v>
      </c>
      <c r="PG70" s="33">
        <f t="shared" si="868"/>
        <v>0</v>
      </c>
      <c r="PH70" s="33">
        <f t="shared" si="868"/>
        <v>0</v>
      </c>
      <c r="PI70" s="33">
        <f t="shared" si="868"/>
        <v>0</v>
      </c>
      <c r="PJ70" s="34">
        <f>SUM(PG70:PI70)</f>
        <v>0</v>
      </c>
      <c r="PK70" s="33">
        <f t="shared" si="868"/>
        <v>0</v>
      </c>
      <c r="PL70" s="33">
        <f t="shared" si="868"/>
        <v>0</v>
      </c>
      <c r="PM70" s="33">
        <f t="shared" si="868"/>
        <v>0</v>
      </c>
      <c r="PN70" s="34">
        <f>SUM(PK70:PM70)</f>
        <v>0</v>
      </c>
      <c r="PO70" s="33">
        <f t="shared" si="868"/>
        <v>0</v>
      </c>
      <c r="PP70" s="33">
        <f t="shared" si="868"/>
        <v>0</v>
      </c>
      <c r="PQ70" s="33">
        <f t="shared" si="868"/>
        <v>0</v>
      </c>
      <c r="PR70" s="34">
        <f>SUM(PO70:PQ70)</f>
        <v>0</v>
      </c>
      <c r="PS70" s="33">
        <f t="shared" si="868"/>
        <v>0</v>
      </c>
      <c r="PT70" s="33">
        <f t="shared" si="868"/>
        <v>0</v>
      </c>
      <c r="PU70" s="33">
        <f t="shared" si="868"/>
        <v>0</v>
      </c>
      <c r="PV70" s="34">
        <f>SUM(PS70:PU70)</f>
        <v>0</v>
      </c>
      <c r="PW70" s="33">
        <f t="shared" si="868"/>
        <v>0</v>
      </c>
      <c r="PX70" s="33">
        <f t="shared" si="868"/>
        <v>0</v>
      </c>
      <c r="PY70" s="33">
        <f t="shared" si="868"/>
        <v>0</v>
      </c>
      <c r="PZ70" s="34">
        <f>SUM(PW70:PY70)</f>
        <v>0</v>
      </c>
      <c r="QA70" s="33">
        <f t="shared" si="868"/>
        <v>0</v>
      </c>
      <c r="QB70" s="33">
        <f t="shared" si="868"/>
        <v>0</v>
      </c>
      <c r="QC70" s="33">
        <f t="shared" si="868"/>
        <v>0</v>
      </c>
      <c r="QD70" s="24">
        <f t="shared" ref="QD70" si="870">SUM(QA70:QC70)</f>
        <v>0</v>
      </c>
      <c r="QE70" s="33">
        <f t="shared" si="868"/>
        <v>0</v>
      </c>
      <c r="QF70" s="42">
        <f t="shared" si="868"/>
        <v>0</v>
      </c>
      <c r="QG70" s="42">
        <f t="shared" si="868"/>
        <v>0</v>
      </c>
      <c r="QH70" s="42">
        <f t="shared" si="868"/>
        <v>0</v>
      </c>
      <c r="QI70" s="42">
        <f t="shared" si="868"/>
        <v>0</v>
      </c>
      <c r="QJ70" s="42">
        <f t="shared" si="868"/>
        <v>0</v>
      </c>
      <c r="QK70" s="42">
        <f t="shared" si="868"/>
        <v>0</v>
      </c>
      <c r="QL70" s="42">
        <f t="shared" si="868"/>
        <v>0</v>
      </c>
      <c r="QM70" s="42">
        <f t="shared" si="868"/>
        <v>0</v>
      </c>
      <c r="QN70" s="42">
        <f t="shared" si="868"/>
        <v>0</v>
      </c>
      <c r="QO70" s="42">
        <f t="shared" si="868"/>
        <v>0</v>
      </c>
      <c r="QP70" s="42">
        <f t="shared" si="868"/>
        <v>0</v>
      </c>
      <c r="QQ70" s="42">
        <f t="shared" si="868"/>
        <v>0</v>
      </c>
      <c r="QR70" s="42">
        <f t="shared" si="868"/>
        <v>0</v>
      </c>
      <c r="QS70" s="42">
        <f t="shared" si="868"/>
        <v>0</v>
      </c>
      <c r="QT70" s="42">
        <f t="shared" si="868"/>
        <v>0</v>
      </c>
      <c r="QU70" s="42">
        <f t="shared" si="868"/>
        <v>0</v>
      </c>
      <c r="QV70" s="42">
        <f t="shared" si="868"/>
        <v>0</v>
      </c>
      <c r="QW70" s="42">
        <f t="shared" si="868"/>
        <v>0</v>
      </c>
      <c r="QX70" s="42">
        <f t="shared" si="868"/>
        <v>0</v>
      </c>
      <c r="QY70" s="42">
        <f t="shared" si="868"/>
        <v>0</v>
      </c>
      <c r="QZ70" s="42">
        <f t="shared" si="868"/>
        <v>0</v>
      </c>
      <c r="RA70" s="42">
        <f t="shared" si="868"/>
        <v>0</v>
      </c>
      <c r="RB70" s="42">
        <f t="shared" si="868"/>
        <v>0</v>
      </c>
      <c r="RC70" s="42">
        <f t="shared" si="868"/>
        <v>0</v>
      </c>
      <c r="RD70" s="42">
        <f t="shared" si="868"/>
        <v>0</v>
      </c>
      <c r="RE70" s="42">
        <f t="shared" ref="RE70:TP70" si="871">RE71</f>
        <v>0</v>
      </c>
      <c r="RF70" s="42">
        <f t="shared" si="871"/>
        <v>0</v>
      </c>
      <c r="RG70" s="42">
        <f t="shared" si="871"/>
        <v>0</v>
      </c>
      <c r="RH70" s="42">
        <f t="shared" si="871"/>
        <v>0</v>
      </c>
      <c r="RI70" s="42">
        <f t="shared" si="871"/>
        <v>0</v>
      </c>
      <c r="RJ70" s="42">
        <f t="shared" si="871"/>
        <v>0</v>
      </c>
      <c r="RK70" s="42">
        <f t="shared" si="871"/>
        <v>0</v>
      </c>
      <c r="RL70" s="42">
        <f t="shared" si="871"/>
        <v>0</v>
      </c>
      <c r="RM70" s="42">
        <f t="shared" si="871"/>
        <v>0</v>
      </c>
      <c r="RN70" s="42">
        <f t="shared" si="871"/>
        <v>0</v>
      </c>
      <c r="RO70" s="42">
        <f t="shared" si="871"/>
        <v>0</v>
      </c>
      <c r="RP70" s="42">
        <f t="shared" si="871"/>
        <v>0</v>
      </c>
      <c r="RQ70" s="42">
        <f t="shared" si="871"/>
        <v>0</v>
      </c>
      <c r="RR70" s="42">
        <f t="shared" si="871"/>
        <v>0</v>
      </c>
      <c r="RS70" s="42">
        <f t="shared" si="871"/>
        <v>0</v>
      </c>
      <c r="RT70" s="42">
        <f t="shared" si="871"/>
        <v>0</v>
      </c>
      <c r="RU70" s="42">
        <f t="shared" si="871"/>
        <v>0</v>
      </c>
      <c r="RV70" s="42">
        <f t="shared" si="871"/>
        <v>0</v>
      </c>
      <c r="RW70" s="42">
        <f t="shared" si="871"/>
        <v>0</v>
      </c>
      <c r="RX70" s="42">
        <f t="shared" si="871"/>
        <v>0</v>
      </c>
      <c r="RY70" s="42">
        <f t="shared" si="871"/>
        <v>0</v>
      </c>
      <c r="RZ70" s="42">
        <f t="shared" si="871"/>
        <v>0</v>
      </c>
      <c r="SA70" s="42">
        <f t="shared" si="871"/>
        <v>0</v>
      </c>
      <c r="SB70" s="42">
        <f t="shared" si="871"/>
        <v>0</v>
      </c>
      <c r="SC70" s="42">
        <f t="shared" si="871"/>
        <v>0</v>
      </c>
      <c r="SD70" s="42">
        <f t="shared" si="871"/>
        <v>0</v>
      </c>
      <c r="SE70" s="42">
        <f t="shared" si="871"/>
        <v>0</v>
      </c>
      <c r="SF70" s="42">
        <f t="shared" si="871"/>
        <v>0</v>
      </c>
      <c r="SG70" s="42">
        <f t="shared" si="871"/>
        <v>0</v>
      </c>
      <c r="SH70" s="42">
        <f t="shared" si="871"/>
        <v>0</v>
      </c>
      <c r="SI70" s="42">
        <f t="shared" si="871"/>
        <v>0</v>
      </c>
      <c r="SJ70" s="42">
        <f t="shared" si="871"/>
        <v>0</v>
      </c>
      <c r="SK70" s="42">
        <f t="shared" si="871"/>
        <v>0</v>
      </c>
      <c r="SL70" s="42">
        <f t="shared" si="871"/>
        <v>0</v>
      </c>
      <c r="SM70" s="42">
        <f t="shared" si="871"/>
        <v>0</v>
      </c>
      <c r="SN70" s="42">
        <f t="shared" si="871"/>
        <v>0</v>
      </c>
      <c r="SO70" s="42">
        <f t="shared" si="871"/>
        <v>0</v>
      </c>
      <c r="SP70" s="42">
        <f t="shared" si="871"/>
        <v>0</v>
      </c>
      <c r="SQ70" s="42">
        <f t="shared" si="871"/>
        <v>0</v>
      </c>
      <c r="SR70" s="42">
        <f t="shared" si="871"/>
        <v>0</v>
      </c>
      <c r="SS70" s="42">
        <f t="shared" si="871"/>
        <v>0</v>
      </c>
      <c r="ST70" s="42">
        <f t="shared" si="871"/>
        <v>0</v>
      </c>
      <c r="SU70" s="42">
        <f t="shared" si="871"/>
        <v>0</v>
      </c>
      <c r="SV70" s="42">
        <f t="shared" si="871"/>
        <v>0</v>
      </c>
      <c r="SW70" s="42">
        <f t="shared" si="871"/>
        <v>0</v>
      </c>
      <c r="SX70" s="42">
        <f t="shared" si="871"/>
        <v>0</v>
      </c>
      <c r="SY70" s="42">
        <f t="shared" si="871"/>
        <v>0</v>
      </c>
      <c r="SZ70" s="42">
        <f t="shared" si="871"/>
        <v>0</v>
      </c>
      <c r="TA70" s="42">
        <f t="shared" si="871"/>
        <v>0</v>
      </c>
      <c r="TB70" s="42">
        <f t="shared" si="871"/>
        <v>0</v>
      </c>
      <c r="TC70" s="40">
        <f t="shared" si="871"/>
        <v>0</v>
      </c>
      <c r="TD70" s="41"/>
      <c r="TE70" s="41"/>
      <c r="TF70" s="42">
        <f t="shared" si="871"/>
        <v>0</v>
      </c>
      <c r="TG70" s="42">
        <f t="shared" si="871"/>
        <v>0</v>
      </c>
      <c r="TH70" s="33">
        <f t="shared" si="871"/>
        <v>0</v>
      </c>
      <c r="TI70" s="33">
        <f t="shared" si="871"/>
        <v>0</v>
      </c>
      <c r="TJ70" s="33">
        <f t="shared" si="871"/>
        <v>0</v>
      </c>
      <c r="TK70" s="33">
        <f t="shared" si="871"/>
        <v>0</v>
      </c>
      <c r="TL70" s="33">
        <f t="shared" si="871"/>
        <v>0</v>
      </c>
      <c r="TM70" s="42">
        <f t="shared" si="871"/>
        <v>0</v>
      </c>
      <c r="TN70" s="42">
        <f t="shared" si="871"/>
        <v>0</v>
      </c>
      <c r="TO70" s="42">
        <f t="shared" si="871"/>
        <v>0</v>
      </c>
      <c r="TP70" s="42">
        <f t="shared" si="871"/>
        <v>0</v>
      </c>
      <c r="TQ70" s="42">
        <f t="shared" ref="TQ70:UC70" si="872">TQ71</f>
        <v>0</v>
      </c>
      <c r="TR70" s="42">
        <f t="shared" si="872"/>
        <v>0</v>
      </c>
      <c r="TS70" s="33">
        <f t="shared" si="872"/>
        <v>0</v>
      </c>
      <c r="TT70" s="33">
        <f t="shared" si="872"/>
        <v>0</v>
      </c>
      <c r="TU70" s="33">
        <f t="shared" si="872"/>
        <v>0</v>
      </c>
      <c r="TV70" s="47">
        <f t="shared" si="872"/>
        <v>0</v>
      </c>
      <c r="TW70" s="33">
        <f t="shared" si="872"/>
        <v>0</v>
      </c>
      <c r="TX70" s="33">
        <f t="shared" si="872"/>
        <v>0</v>
      </c>
      <c r="TY70" s="33">
        <f t="shared" si="872"/>
        <v>0</v>
      </c>
      <c r="TZ70" s="48">
        <f t="shared" si="872"/>
        <v>0</v>
      </c>
      <c r="UA70" s="47">
        <f t="shared" si="872"/>
        <v>0</v>
      </c>
      <c r="UB70" s="33">
        <f t="shared" si="872"/>
        <v>0</v>
      </c>
      <c r="UC70" s="48">
        <f t="shared" si="872"/>
        <v>0</v>
      </c>
    </row>
    <row r="71" spans="1:549" s="4" customFormat="1" hidden="1" x14ac:dyDescent="0.25">
      <c r="A71" s="114">
        <v>120416302</v>
      </c>
      <c r="B71" s="50">
        <v>361</v>
      </c>
      <c r="C71" s="51"/>
      <c r="D71" s="104"/>
      <c r="E71" s="87"/>
      <c r="F71" s="85"/>
      <c r="G71" s="85"/>
      <c r="H71" s="55">
        <v>0</v>
      </c>
      <c r="I71" s="86"/>
      <c r="J71" s="85"/>
      <c r="K71" s="85"/>
      <c r="L71" s="55">
        <v>0</v>
      </c>
      <c r="M71" s="87"/>
      <c r="N71" s="87"/>
      <c r="O71" s="55">
        <v>0</v>
      </c>
      <c r="P71" s="87"/>
      <c r="Q71" s="86"/>
      <c r="R71" s="86"/>
      <c r="S71" s="86"/>
      <c r="T71" s="18">
        <f t="shared" ref="T71:T75" si="873">SUM(Q71:S71)</f>
        <v>0</v>
      </c>
      <c r="U71" s="85"/>
      <c r="V71" s="85"/>
      <c r="W71" s="85"/>
      <c r="X71" s="55">
        <v>0</v>
      </c>
      <c r="Y71" s="85"/>
      <c r="Z71" s="85"/>
      <c r="AA71" s="55">
        <v>0</v>
      </c>
      <c r="AB71" s="85"/>
      <c r="AC71" s="85"/>
      <c r="AD71" s="55">
        <v>0</v>
      </c>
      <c r="AE71" s="85"/>
      <c r="AF71" s="86"/>
      <c r="AG71" s="86"/>
      <c r="AH71" s="55">
        <f t="shared" ref="AH71" si="874">SUM(AF71:AG71)</f>
        <v>0</v>
      </c>
      <c r="AI71" s="85"/>
      <c r="AJ71" s="86"/>
      <c r="AK71" s="115"/>
      <c r="AL71" s="55">
        <f t="shared" ref="AL71" si="875">SUM(AJ71:AK71)</f>
        <v>0</v>
      </c>
      <c r="AM71" s="85"/>
      <c r="AN71" s="115"/>
      <c r="AO71" s="115"/>
      <c r="AP71" s="55">
        <v>0</v>
      </c>
      <c r="AQ71" s="85"/>
      <c r="AR71" s="85"/>
      <c r="AS71" s="85"/>
      <c r="AT71" s="85"/>
      <c r="AU71" s="55">
        <v>0</v>
      </c>
      <c r="AV71" s="85"/>
      <c r="AW71" s="85"/>
      <c r="AX71" s="86"/>
      <c r="AY71" s="86"/>
      <c r="AZ71" s="88"/>
      <c r="BA71" s="88"/>
      <c r="BB71" s="85"/>
      <c r="BC71" s="85"/>
      <c r="BD71" s="55">
        <v>0</v>
      </c>
      <c r="BE71" s="85"/>
      <c r="BF71" s="86"/>
      <c r="BG71" s="86"/>
      <c r="BH71" s="86"/>
      <c r="BI71" s="86"/>
      <c r="BJ71" s="85"/>
      <c r="BK71" s="86"/>
      <c r="BL71" s="55">
        <v>0</v>
      </c>
      <c r="BM71" s="85"/>
      <c r="BN71" s="86"/>
      <c r="BO71" s="85"/>
      <c r="BP71" s="85"/>
      <c r="BQ71" s="85"/>
      <c r="BR71" s="86"/>
      <c r="BS71" s="55">
        <v>0</v>
      </c>
      <c r="BT71" s="85"/>
      <c r="BU71" s="85"/>
      <c r="BV71" s="85"/>
      <c r="BW71" s="55">
        <v>0</v>
      </c>
      <c r="BX71" s="85"/>
      <c r="BY71" s="85"/>
      <c r="BZ71" s="55">
        <v>0</v>
      </c>
      <c r="CA71" s="85"/>
      <c r="CB71" s="85"/>
      <c r="CC71" s="55">
        <v>0</v>
      </c>
      <c r="CD71" s="85"/>
      <c r="CE71" s="85"/>
      <c r="CF71" s="86"/>
      <c r="CG71" s="86"/>
      <c r="CH71" s="86"/>
      <c r="CI71" s="85"/>
      <c r="CJ71" s="85"/>
      <c r="CK71" s="85"/>
      <c r="CL71" s="55">
        <v>0</v>
      </c>
      <c r="CM71" s="86"/>
      <c r="CN71" s="86"/>
      <c r="CO71" s="85"/>
      <c r="CP71" s="85"/>
      <c r="CQ71" s="55">
        <v>0</v>
      </c>
      <c r="CR71" s="85"/>
      <c r="CS71" s="85"/>
      <c r="CT71" s="85"/>
      <c r="CU71" s="85"/>
      <c r="CV71" s="85"/>
      <c r="CW71" s="85"/>
      <c r="CX71" s="18">
        <f t="shared" ref="CX71" si="876">SUM(CU71:CW71)</f>
        <v>0</v>
      </c>
      <c r="CY71" s="85"/>
      <c r="CZ71" s="85"/>
      <c r="DA71" s="85"/>
      <c r="DB71" s="18">
        <f t="shared" ref="DB71" si="877">SUM(CZ71:DA71)</f>
        <v>0</v>
      </c>
      <c r="DC71" s="85"/>
      <c r="DD71" s="85"/>
      <c r="DE71" s="18">
        <f t="shared" ref="DE71" si="878">SUM(DC71:DD71)</f>
        <v>0</v>
      </c>
      <c r="DF71" s="85"/>
      <c r="DG71" s="85"/>
      <c r="DH71" s="55">
        <v>0</v>
      </c>
      <c r="DI71" s="85"/>
      <c r="DJ71" s="85"/>
      <c r="DK71" s="55">
        <v>0</v>
      </c>
      <c r="DL71" s="85"/>
      <c r="DM71" s="85"/>
      <c r="DN71" s="89"/>
      <c r="DO71" s="85"/>
      <c r="DP71" s="85"/>
      <c r="DQ71" s="86"/>
      <c r="DR71" s="86"/>
      <c r="DS71" s="86"/>
      <c r="DT71" s="85"/>
      <c r="DU71" s="85"/>
      <c r="DV71" s="85"/>
      <c r="DW71" s="55">
        <v>0</v>
      </c>
      <c r="DX71" s="86"/>
      <c r="DY71" s="85"/>
      <c r="DZ71" s="85"/>
      <c r="EA71" s="55">
        <v>0</v>
      </c>
      <c r="EB71" s="85"/>
      <c r="EC71" s="85"/>
      <c r="ED71" s="85"/>
      <c r="EE71" s="85"/>
      <c r="EF71" s="85"/>
      <c r="EG71" s="85"/>
      <c r="EH71" s="55">
        <v>0</v>
      </c>
      <c r="EI71" s="85"/>
      <c r="EJ71" s="85"/>
      <c r="EK71" s="85"/>
      <c r="EL71" s="55">
        <v>0</v>
      </c>
      <c r="EM71" s="85"/>
      <c r="EN71" s="85"/>
      <c r="EO71" s="55">
        <v>0</v>
      </c>
      <c r="EP71" s="85"/>
      <c r="EQ71" s="85"/>
      <c r="ER71" s="55">
        <v>0</v>
      </c>
      <c r="ES71" s="85"/>
      <c r="ET71" s="85"/>
      <c r="EU71" s="55">
        <v>0</v>
      </c>
      <c r="EV71" s="85"/>
      <c r="EW71" s="85"/>
      <c r="EX71" s="85"/>
      <c r="EY71" s="85"/>
      <c r="EZ71" s="85"/>
      <c r="FA71" s="86"/>
      <c r="FB71" s="86"/>
      <c r="FC71" s="86"/>
      <c r="FD71" s="85"/>
      <c r="FE71" s="85"/>
      <c r="FF71" s="85"/>
      <c r="FG71" s="55">
        <v>0</v>
      </c>
      <c r="FH71" s="85"/>
      <c r="FI71" s="85"/>
      <c r="FJ71" s="85"/>
      <c r="FK71" s="55">
        <v>0</v>
      </c>
      <c r="FL71" s="85"/>
      <c r="FM71" s="85"/>
      <c r="FN71" s="85"/>
      <c r="FO71" s="85"/>
      <c r="FP71" s="85"/>
      <c r="FQ71" s="85"/>
      <c r="FR71" s="55">
        <v>0</v>
      </c>
      <c r="FS71" s="85"/>
      <c r="FT71" s="85"/>
      <c r="FU71" s="85"/>
      <c r="FV71" s="55">
        <v>0</v>
      </c>
      <c r="FW71" s="85"/>
      <c r="FX71" s="85"/>
      <c r="FY71" s="55">
        <v>0</v>
      </c>
      <c r="FZ71" s="85"/>
      <c r="GA71" s="85"/>
      <c r="GB71" s="55">
        <v>0</v>
      </c>
      <c r="GC71" s="85"/>
      <c r="GD71" s="85"/>
      <c r="GE71" s="55">
        <v>0</v>
      </c>
      <c r="GF71" s="85"/>
      <c r="GG71" s="60">
        <v>0</v>
      </c>
      <c r="GH71" s="61"/>
      <c r="GI71" s="60"/>
      <c r="GJ71" s="86"/>
      <c r="GK71" s="62"/>
      <c r="GL71" s="62"/>
      <c r="GM71" s="62"/>
      <c r="GN71" s="63">
        <v>0</v>
      </c>
      <c r="GO71" s="86"/>
      <c r="GP71" s="116"/>
      <c r="GQ71" s="85"/>
      <c r="GR71" s="55">
        <v>0</v>
      </c>
      <c r="GS71" s="85"/>
      <c r="GT71" s="85"/>
      <c r="GU71" s="116"/>
      <c r="GV71" s="85"/>
      <c r="GW71" s="55">
        <v>0</v>
      </c>
      <c r="GX71" s="85"/>
      <c r="GY71" s="86"/>
      <c r="GZ71" s="86"/>
      <c r="HA71" s="85"/>
      <c r="HB71" s="55">
        <v>0</v>
      </c>
      <c r="HC71" s="85"/>
      <c r="HD71" s="86"/>
      <c r="HE71" s="86"/>
      <c r="HF71" s="86"/>
      <c r="HG71" s="55">
        <v>0</v>
      </c>
      <c r="HH71" s="85"/>
      <c r="HI71" s="86"/>
      <c r="HJ71" s="85"/>
      <c r="HK71" s="85"/>
      <c r="HL71" s="55">
        <v>0</v>
      </c>
      <c r="HM71" s="85"/>
      <c r="HN71" s="86"/>
      <c r="HO71" s="85"/>
      <c r="HP71" s="86"/>
      <c r="HQ71" s="55">
        <v>0</v>
      </c>
      <c r="HR71" s="85"/>
      <c r="HS71" s="64"/>
      <c r="HT71" s="64"/>
      <c r="HU71" s="64"/>
      <c r="HV71" s="63">
        <v>0</v>
      </c>
      <c r="HW71" s="85"/>
      <c r="HX71" s="85"/>
      <c r="HY71" s="85"/>
      <c r="HZ71" s="55">
        <v>0</v>
      </c>
      <c r="IA71" s="85"/>
      <c r="IB71" s="85"/>
      <c r="IC71" s="85"/>
      <c r="ID71" s="85"/>
      <c r="IE71" s="55">
        <v>0</v>
      </c>
      <c r="IF71" s="85"/>
      <c r="IG71" s="56"/>
      <c r="IH71" s="56"/>
      <c r="II71" s="56"/>
      <c r="IJ71" s="55">
        <v>0</v>
      </c>
      <c r="IK71" s="85"/>
      <c r="IL71" s="56"/>
      <c r="IM71" s="56"/>
      <c r="IN71" s="85"/>
      <c r="IO71" s="18">
        <f t="shared" ref="IO71" si="879">SUM(IL71:IN71)</f>
        <v>0</v>
      </c>
      <c r="IP71" s="85"/>
      <c r="IQ71" s="85"/>
      <c r="IR71" s="116"/>
      <c r="IS71" s="85"/>
      <c r="IT71" s="18">
        <f t="shared" ref="IT71" si="880">SUM(IQ71:IS71)</f>
        <v>0</v>
      </c>
      <c r="IU71" s="86"/>
      <c r="IV71" s="86"/>
      <c r="IW71" s="86"/>
      <c r="IX71" s="55">
        <f t="shared" ref="IX71" si="881">SUM(IU71:IW71)</f>
        <v>0</v>
      </c>
      <c r="IY71" s="86"/>
      <c r="IZ71" s="86"/>
      <c r="JA71" s="86"/>
      <c r="JB71" s="55">
        <f t="shared" ref="JB71" si="882">SUM(IY71:JA71)</f>
        <v>0</v>
      </c>
      <c r="JC71" s="86"/>
      <c r="JD71" s="86"/>
      <c r="JE71" s="86"/>
      <c r="JF71" s="55">
        <v>0</v>
      </c>
      <c r="JG71" s="85"/>
      <c r="JH71" s="85"/>
      <c r="JI71" s="85"/>
      <c r="JJ71" s="86"/>
      <c r="JK71" s="86"/>
      <c r="JL71" s="86"/>
      <c r="JM71" s="86"/>
      <c r="JN71" s="86"/>
      <c r="JO71" s="86"/>
      <c r="JP71" s="86"/>
      <c r="JQ71" s="86"/>
      <c r="JR71" s="86"/>
      <c r="JS71" s="86"/>
      <c r="JT71" s="86"/>
      <c r="JU71" s="85"/>
      <c r="JV71" s="85"/>
      <c r="JW71" s="85"/>
      <c r="JX71" s="85"/>
      <c r="JY71" s="85"/>
      <c r="JZ71" s="85"/>
      <c r="KA71" s="85"/>
      <c r="KB71" s="85"/>
      <c r="KC71" s="85"/>
      <c r="KD71" s="85"/>
      <c r="KE71" s="86"/>
      <c r="KF71" s="85"/>
      <c r="KG71" s="85"/>
      <c r="KH71" s="85"/>
      <c r="KI71" s="65"/>
      <c r="KJ71" s="85"/>
      <c r="KK71" s="85"/>
      <c r="KL71" s="116"/>
      <c r="KM71" s="86"/>
      <c r="KN71" s="60"/>
      <c r="KO71" s="85"/>
      <c r="KP71" s="85"/>
      <c r="KQ71" s="85"/>
      <c r="KR71" s="85"/>
      <c r="KS71" s="85"/>
      <c r="KT71" s="85"/>
      <c r="KU71" s="86"/>
      <c r="KV71" s="85"/>
      <c r="KW71" s="85"/>
      <c r="KX71" s="85"/>
      <c r="KY71" s="85"/>
      <c r="KZ71" s="55">
        <v>0</v>
      </c>
      <c r="LA71" s="86"/>
      <c r="LB71" s="86"/>
      <c r="LC71" s="116"/>
      <c r="LD71" s="55">
        <f t="shared" ref="LD71" si="883">SUM(LA71:LC71)</f>
        <v>0</v>
      </c>
      <c r="LE71" s="86"/>
      <c r="LF71" s="86"/>
      <c r="LG71" s="86"/>
      <c r="LH71" s="55">
        <f t="shared" ref="LH71:LH75" si="884">SUM(LE71:LG71)</f>
        <v>0</v>
      </c>
      <c r="LI71" s="86"/>
      <c r="LJ71" s="86"/>
      <c r="LK71" s="86"/>
      <c r="LL71" s="55">
        <f t="shared" ref="LL71:LL75" si="885">SUM(LI71:LK71)</f>
        <v>0</v>
      </c>
      <c r="LM71" s="85"/>
      <c r="LN71" s="85"/>
      <c r="LO71" s="85"/>
      <c r="LP71" s="55">
        <v>0</v>
      </c>
      <c r="LQ71" s="85"/>
      <c r="LR71" s="85"/>
      <c r="LS71" s="85"/>
      <c r="LT71" s="55">
        <v>0</v>
      </c>
      <c r="LU71" s="66"/>
      <c r="LV71" s="66"/>
      <c r="LW71" s="66"/>
      <c r="LX71" s="67">
        <v>0</v>
      </c>
      <c r="LY71" s="86"/>
      <c r="LZ71" s="86"/>
      <c r="MA71" s="85"/>
      <c r="MB71" s="55">
        <v>0</v>
      </c>
      <c r="MC71" s="90"/>
      <c r="MD71" s="18">
        <f t="shared" ref="MD71" si="886">MC71</f>
        <v>0</v>
      </c>
      <c r="ME71" s="90"/>
      <c r="MF71" s="18">
        <f t="shared" ref="MF71:MF75" si="887">ME71</f>
        <v>0</v>
      </c>
      <c r="MG71" s="90"/>
      <c r="MH71" s="55">
        <f t="shared" ref="MH71" si="888">MG71</f>
        <v>0</v>
      </c>
      <c r="MI71" s="90"/>
      <c r="MJ71" s="18">
        <f t="shared" ref="MJ71" si="889">MI71</f>
        <v>0</v>
      </c>
      <c r="MK71" s="90"/>
      <c r="ML71" s="55">
        <v>0</v>
      </c>
      <c r="MM71" s="85"/>
      <c r="MN71" s="85"/>
      <c r="MO71" s="85"/>
      <c r="MP71" s="85"/>
      <c r="MQ71" s="90"/>
      <c r="MR71" s="85"/>
      <c r="MS71" s="85"/>
      <c r="MT71" s="85"/>
      <c r="MU71" s="85"/>
      <c r="MV71" s="85"/>
      <c r="MW71" s="55">
        <v>0</v>
      </c>
      <c r="MX71" s="85"/>
      <c r="MY71" s="85"/>
      <c r="MZ71" s="85"/>
      <c r="NA71" s="55">
        <v>0</v>
      </c>
      <c r="NB71" s="85"/>
      <c r="NC71" s="85"/>
      <c r="ND71" s="85"/>
      <c r="NE71" s="55">
        <v>0</v>
      </c>
      <c r="NF71" s="85"/>
      <c r="NG71" s="85"/>
      <c r="NH71" s="85"/>
      <c r="NI71" s="55">
        <v>0</v>
      </c>
      <c r="NJ71" s="85"/>
      <c r="NK71" s="85"/>
      <c r="NL71" s="85"/>
      <c r="NM71" s="55">
        <v>0</v>
      </c>
      <c r="NN71" s="85"/>
      <c r="NO71" s="85"/>
      <c r="NP71" s="85"/>
      <c r="NQ71" s="55">
        <v>0</v>
      </c>
      <c r="NR71" s="85"/>
      <c r="NS71" s="85"/>
      <c r="NT71" s="85"/>
      <c r="NU71" s="55">
        <v>0</v>
      </c>
      <c r="NV71" s="71"/>
      <c r="NW71" s="71"/>
      <c r="NX71" s="71"/>
      <c r="NY71" s="20">
        <f t="shared" ref="NY71" si="890">SUM(NV71:NX71)</f>
        <v>0</v>
      </c>
      <c r="NZ71" s="71"/>
      <c r="OA71" s="71"/>
      <c r="OB71" s="71"/>
      <c r="OC71" s="71"/>
      <c r="OD71" s="72"/>
      <c r="OE71" s="72"/>
      <c r="OF71" s="72"/>
      <c r="OG71" s="72"/>
      <c r="OH71" s="72"/>
      <c r="OI71" s="72"/>
      <c r="OJ71" s="72"/>
      <c r="OK71" s="72"/>
      <c r="OL71" s="72"/>
      <c r="OM71" s="72"/>
      <c r="ON71" s="72"/>
      <c r="OO71" s="72"/>
      <c r="OP71" s="72"/>
      <c r="OQ71" s="72"/>
      <c r="OR71" s="72">
        <f t="shared" si="735"/>
        <v>0</v>
      </c>
      <c r="OS71" s="75"/>
      <c r="OT71" s="75"/>
      <c r="OU71" s="75"/>
      <c r="OV71" s="75"/>
      <c r="OW71" s="75"/>
      <c r="OX71" s="74">
        <v>0</v>
      </c>
      <c r="OY71" s="75"/>
      <c r="OZ71" s="75"/>
      <c r="PA71" s="75"/>
      <c r="PB71" s="76">
        <v>0</v>
      </c>
      <c r="PC71" s="75"/>
      <c r="PD71" s="75"/>
      <c r="PE71" s="75"/>
      <c r="PF71" s="76">
        <v>0</v>
      </c>
      <c r="PG71" s="75"/>
      <c r="PH71" s="75"/>
      <c r="PI71" s="75"/>
      <c r="PJ71" s="76">
        <v>0</v>
      </c>
      <c r="PK71" s="75"/>
      <c r="PL71" s="75"/>
      <c r="PM71" s="75"/>
      <c r="PN71" s="76">
        <v>0</v>
      </c>
      <c r="PO71" s="75"/>
      <c r="PP71" s="75"/>
      <c r="PQ71" s="75"/>
      <c r="PR71" s="76">
        <v>0</v>
      </c>
      <c r="PS71" s="75"/>
      <c r="PT71" s="75"/>
      <c r="PU71" s="75"/>
      <c r="PV71" s="76">
        <v>0</v>
      </c>
      <c r="PW71" s="75"/>
      <c r="PX71" s="75"/>
      <c r="PY71" s="75"/>
      <c r="PZ71" s="76">
        <v>0</v>
      </c>
      <c r="QA71" s="87"/>
      <c r="QB71" s="87"/>
      <c r="QC71" s="75"/>
      <c r="QD71" s="77"/>
      <c r="QE71" s="75"/>
      <c r="QF71" s="85"/>
      <c r="QG71" s="85"/>
      <c r="QH71" s="85"/>
      <c r="QI71" s="85"/>
      <c r="QJ71" s="85"/>
      <c r="QK71" s="85"/>
      <c r="QL71" s="55">
        <v>0</v>
      </c>
      <c r="QM71" s="85"/>
      <c r="QN71" s="85"/>
      <c r="QO71" s="85"/>
      <c r="QP71" s="85"/>
      <c r="QQ71" s="85"/>
      <c r="QR71" s="85"/>
      <c r="QS71" s="55">
        <v>0</v>
      </c>
      <c r="QT71" s="85"/>
      <c r="QU71" s="85"/>
      <c r="QV71" s="85"/>
      <c r="QW71" s="85"/>
      <c r="QX71" s="85"/>
      <c r="QY71" s="85"/>
      <c r="QZ71" s="55">
        <v>0</v>
      </c>
      <c r="RA71" s="85"/>
      <c r="RB71" s="85"/>
      <c r="RC71" s="85"/>
      <c r="RD71" s="85"/>
      <c r="RE71" s="85"/>
      <c r="RF71" s="85"/>
      <c r="RG71" s="55">
        <v>0</v>
      </c>
      <c r="RH71" s="85"/>
      <c r="RI71" s="85"/>
      <c r="RJ71" s="85"/>
      <c r="RK71" s="85"/>
      <c r="RL71" s="85"/>
      <c r="RM71" s="85"/>
      <c r="RN71" s="55">
        <v>0</v>
      </c>
      <c r="RO71" s="85"/>
      <c r="RP71" s="85"/>
      <c r="RQ71" s="85"/>
      <c r="RR71" s="85"/>
      <c r="RS71" s="85"/>
      <c r="RT71" s="85"/>
      <c r="RU71" s="55">
        <v>0</v>
      </c>
      <c r="RV71" s="85"/>
      <c r="RW71" s="86"/>
      <c r="RX71" s="86"/>
      <c r="RY71" s="86"/>
      <c r="RZ71" s="85"/>
      <c r="SA71" s="85"/>
      <c r="SB71" s="85"/>
      <c r="SC71" s="55">
        <v>0</v>
      </c>
      <c r="SD71" s="85"/>
      <c r="SE71" s="85"/>
      <c r="SF71" s="85"/>
      <c r="SG71" s="55">
        <v>0</v>
      </c>
      <c r="SH71" s="85"/>
      <c r="SI71" s="85"/>
      <c r="SJ71" s="85"/>
      <c r="SK71" s="85"/>
      <c r="SL71" s="85"/>
      <c r="SM71" s="85"/>
      <c r="SN71" s="55">
        <v>0</v>
      </c>
      <c r="SO71" s="85"/>
      <c r="SP71" s="85"/>
      <c r="SQ71" s="85"/>
      <c r="SR71" s="55">
        <v>0</v>
      </c>
      <c r="SS71" s="85"/>
      <c r="ST71" s="85"/>
      <c r="SU71" s="55">
        <v>0</v>
      </c>
      <c r="SV71" s="85"/>
      <c r="SW71" s="85"/>
      <c r="SX71" s="55">
        <v>0</v>
      </c>
      <c r="SY71" s="85"/>
      <c r="SZ71" s="85"/>
      <c r="TA71" s="55">
        <v>0</v>
      </c>
      <c r="TB71" s="85"/>
      <c r="TC71" s="60"/>
      <c r="TD71" s="61"/>
      <c r="TE71" s="60"/>
      <c r="TF71" s="86"/>
      <c r="TG71" s="86"/>
      <c r="TH71" s="75"/>
      <c r="TI71" s="75"/>
      <c r="TJ71" s="75"/>
      <c r="TK71" s="75"/>
      <c r="TL71" s="75"/>
      <c r="TM71" s="37"/>
      <c r="TN71" s="37"/>
      <c r="TO71" s="37"/>
      <c r="TP71" s="86"/>
      <c r="TQ71" s="86"/>
      <c r="TR71" s="86"/>
      <c r="TS71" s="75"/>
      <c r="TT71" s="75"/>
      <c r="TU71" s="75"/>
      <c r="TV71" s="117"/>
      <c r="TW71" s="118"/>
      <c r="TX71" s="118"/>
      <c r="TY71" s="118"/>
      <c r="TZ71" s="119"/>
      <c r="UA71" s="120"/>
      <c r="UB71" s="121"/>
      <c r="UC71" s="122"/>
    </row>
    <row r="72" spans="1:549" hidden="1" x14ac:dyDescent="0.25">
      <c r="A72" s="29">
        <v>120419</v>
      </c>
      <c r="B72" s="30"/>
      <c r="C72" s="31"/>
      <c r="D72" s="123"/>
      <c r="E72" s="42">
        <f t="shared" ref="E72:AC72" si="891">SUM(E73+E74+E75)</f>
        <v>0</v>
      </c>
      <c r="F72" s="42">
        <f t="shared" si="891"/>
        <v>0</v>
      </c>
      <c r="G72" s="42">
        <f t="shared" si="891"/>
        <v>0</v>
      </c>
      <c r="H72" s="124">
        <f t="shared" si="891"/>
        <v>0</v>
      </c>
      <c r="I72" s="42">
        <f t="shared" si="891"/>
        <v>0</v>
      </c>
      <c r="J72" s="42">
        <f t="shared" si="891"/>
        <v>0</v>
      </c>
      <c r="K72" s="42">
        <f t="shared" si="891"/>
        <v>0</v>
      </c>
      <c r="L72" s="124">
        <f t="shared" si="891"/>
        <v>0</v>
      </c>
      <c r="M72" s="42">
        <f t="shared" si="891"/>
        <v>0</v>
      </c>
      <c r="N72" s="42">
        <f t="shared" si="891"/>
        <v>0</v>
      </c>
      <c r="O72" s="124">
        <f t="shared" si="891"/>
        <v>0</v>
      </c>
      <c r="P72" s="42">
        <f t="shared" si="891"/>
        <v>0</v>
      </c>
      <c r="Q72" s="42">
        <f t="shared" si="891"/>
        <v>0</v>
      </c>
      <c r="R72" s="42">
        <f t="shared" si="891"/>
        <v>0</v>
      </c>
      <c r="S72" s="42">
        <f t="shared" si="891"/>
        <v>0</v>
      </c>
      <c r="T72" s="124">
        <f t="shared" si="891"/>
        <v>0</v>
      </c>
      <c r="U72" s="42">
        <f t="shared" si="891"/>
        <v>0</v>
      </c>
      <c r="V72" s="42">
        <f t="shared" si="891"/>
        <v>0</v>
      </c>
      <c r="W72" s="42">
        <f t="shared" si="891"/>
        <v>0</v>
      </c>
      <c r="X72" s="124">
        <f t="shared" si="891"/>
        <v>0</v>
      </c>
      <c r="Y72" s="42">
        <f t="shared" si="891"/>
        <v>0</v>
      </c>
      <c r="Z72" s="42">
        <f t="shared" si="891"/>
        <v>0</v>
      </c>
      <c r="AA72" s="124">
        <f t="shared" si="891"/>
        <v>0</v>
      </c>
      <c r="AB72" s="42">
        <f t="shared" si="891"/>
        <v>0</v>
      </c>
      <c r="AC72" s="42">
        <f t="shared" si="891"/>
        <v>0</v>
      </c>
      <c r="AD72" s="42">
        <f t="shared" ref="AD72" si="892">SUM(AD73+AD74)</f>
        <v>0</v>
      </c>
      <c r="AE72" s="42">
        <f>SUM(AE73+AE74+AE75)</f>
        <v>0</v>
      </c>
      <c r="AF72" s="42">
        <f t="shared" ref="AF72:AT72" si="893">SUM(AF73+AF74+AF75)</f>
        <v>0</v>
      </c>
      <c r="AG72" s="42">
        <f t="shared" si="893"/>
        <v>0</v>
      </c>
      <c r="AH72" s="124">
        <f t="shared" si="893"/>
        <v>0</v>
      </c>
      <c r="AI72" s="42">
        <f t="shared" si="893"/>
        <v>0</v>
      </c>
      <c r="AJ72" s="42">
        <f t="shared" si="893"/>
        <v>0</v>
      </c>
      <c r="AK72" s="42">
        <f t="shared" si="893"/>
        <v>0</v>
      </c>
      <c r="AL72" s="124">
        <f t="shared" si="893"/>
        <v>0</v>
      </c>
      <c r="AM72" s="42">
        <f t="shared" si="893"/>
        <v>0</v>
      </c>
      <c r="AN72" s="42">
        <f t="shared" si="893"/>
        <v>0</v>
      </c>
      <c r="AO72" s="42">
        <f t="shared" si="893"/>
        <v>0</v>
      </c>
      <c r="AP72" s="124">
        <f t="shared" si="893"/>
        <v>0</v>
      </c>
      <c r="AQ72" s="42">
        <f t="shared" si="893"/>
        <v>0</v>
      </c>
      <c r="AR72" s="42">
        <f t="shared" si="893"/>
        <v>0</v>
      </c>
      <c r="AS72" s="42">
        <f t="shared" si="893"/>
        <v>0</v>
      </c>
      <c r="AT72" s="42">
        <f t="shared" si="893"/>
        <v>0</v>
      </c>
      <c r="AU72" s="124">
        <f>SUM(AU73+AU74+AU75)</f>
        <v>0</v>
      </c>
      <c r="AV72" s="42">
        <f>SUM(AV73+AV74+AV75)</f>
        <v>0</v>
      </c>
      <c r="AW72" s="42">
        <f t="shared" ref="AW72:BC72" si="894">SUM(AW73+AW74+AW75)</f>
        <v>0</v>
      </c>
      <c r="AX72" s="42">
        <f t="shared" si="894"/>
        <v>0</v>
      </c>
      <c r="AY72" s="42">
        <f t="shared" si="894"/>
        <v>0</v>
      </c>
      <c r="AZ72" s="42">
        <f t="shared" si="894"/>
        <v>0</v>
      </c>
      <c r="BA72" s="42">
        <f t="shared" si="894"/>
        <v>0</v>
      </c>
      <c r="BB72" s="42">
        <f t="shared" si="894"/>
        <v>0</v>
      </c>
      <c r="BC72" s="42">
        <f t="shared" si="894"/>
        <v>0</v>
      </c>
      <c r="BD72" s="124">
        <f>SUM(BD73+BD74+BD75)</f>
        <v>0</v>
      </c>
      <c r="BE72" s="42">
        <f>SUM(BE73+BE74+BE75)</f>
        <v>0</v>
      </c>
      <c r="BF72" s="42">
        <f t="shared" ref="BF72:BK72" si="895">SUM(BF73+BF74+BF75)</f>
        <v>0</v>
      </c>
      <c r="BG72" s="42">
        <f t="shared" si="895"/>
        <v>0</v>
      </c>
      <c r="BH72" s="42">
        <f t="shared" si="895"/>
        <v>0</v>
      </c>
      <c r="BI72" s="42">
        <f t="shared" si="895"/>
        <v>0</v>
      </c>
      <c r="BJ72" s="42">
        <f t="shared" si="895"/>
        <v>0</v>
      </c>
      <c r="BK72" s="42">
        <f t="shared" si="895"/>
        <v>0</v>
      </c>
      <c r="BL72" s="124">
        <f>SUM(BL73+BL74+BL75)</f>
        <v>0</v>
      </c>
      <c r="BM72" s="42">
        <f>SUM(BM73+BM74+BM75)</f>
        <v>0</v>
      </c>
      <c r="BN72" s="42">
        <f t="shared" ref="BN72:BQ72" si="896">SUM(BN73+BN74+BN75)</f>
        <v>0</v>
      </c>
      <c r="BO72" s="42">
        <f t="shared" si="896"/>
        <v>0</v>
      </c>
      <c r="BP72" s="42">
        <f t="shared" si="896"/>
        <v>0</v>
      </c>
      <c r="BQ72" s="42">
        <f t="shared" si="896"/>
        <v>0</v>
      </c>
      <c r="BR72" s="42">
        <f>SUM(BR73+BR74+BR75)</f>
        <v>0</v>
      </c>
      <c r="BS72" s="124">
        <f>SUM(BS73+BS74+BS75)</f>
        <v>0</v>
      </c>
      <c r="BT72" s="42">
        <f>SUM(BT73+BT74+BT75)</f>
        <v>0</v>
      </c>
      <c r="BU72" s="42">
        <f t="shared" ref="BU72:EF72" si="897">SUM(BU73+BU74+BU75)</f>
        <v>0</v>
      </c>
      <c r="BV72" s="42">
        <f t="shared" si="897"/>
        <v>0</v>
      </c>
      <c r="BW72" s="42">
        <f t="shared" si="897"/>
        <v>0</v>
      </c>
      <c r="BX72" s="42">
        <f t="shared" si="897"/>
        <v>0</v>
      </c>
      <c r="BY72" s="42">
        <f t="shared" si="897"/>
        <v>0</v>
      </c>
      <c r="BZ72" s="42">
        <f t="shared" si="897"/>
        <v>0</v>
      </c>
      <c r="CA72" s="42">
        <f t="shared" si="897"/>
        <v>0</v>
      </c>
      <c r="CB72" s="42">
        <f t="shared" si="897"/>
        <v>0</v>
      </c>
      <c r="CC72" s="42">
        <f t="shared" si="897"/>
        <v>0</v>
      </c>
      <c r="CD72" s="42">
        <f t="shared" si="897"/>
        <v>0</v>
      </c>
      <c r="CE72" s="42">
        <f t="shared" si="897"/>
        <v>0</v>
      </c>
      <c r="CF72" s="42">
        <f t="shared" si="897"/>
        <v>0</v>
      </c>
      <c r="CG72" s="42">
        <f t="shared" si="897"/>
        <v>0</v>
      </c>
      <c r="CH72" s="42">
        <f t="shared" si="897"/>
        <v>0</v>
      </c>
      <c r="CI72" s="42">
        <f t="shared" si="897"/>
        <v>0</v>
      </c>
      <c r="CJ72" s="42">
        <f t="shared" si="897"/>
        <v>0</v>
      </c>
      <c r="CK72" s="42">
        <f t="shared" si="897"/>
        <v>0</v>
      </c>
      <c r="CL72" s="42">
        <f t="shared" si="897"/>
        <v>0</v>
      </c>
      <c r="CM72" s="42">
        <f t="shared" si="897"/>
        <v>0</v>
      </c>
      <c r="CN72" s="42">
        <f t="shared" si="897"/>
        <v>0</v>
      </c>
      <c r="CO72" s="42">
        <f t="shared" si="897"/>
        <v>0</v>
      </c>
      <c r="CP72" s="42">
        <f t="shared" si="897"/>
        <v>0</v>
      </c>
      <c r="CQ72" s="42">
        <f t="shared" si="897"/>
        <v>0</v>
      </c>
      <c r="CR72" s="42">
        <f t="shared" si="897"/>
        <v>0</v>
      </c>
      <c r="CS72" s="42">
        <f t="shared" si="897"/>
        <v>0</v>
      </c>
      <c r="CT72" s="42">
        <f t="shared" si="897"/>
        <v>0</v>
      </c>
      <c r="CU72" s="42">
        <f t="shared" si="897"/>
        <v>0</v>
      </c>
      <c r="CV72" s="42">
        <f t="shared" si="897"/>
        <v>0</v>
      </c>
      <c r="CW72" s="42">
        <f t="shared" si="897"/>
        <v>0</v>
      </c>
      <c r="CX72" s="42">
        <f t="shared" si="897"/>
        <v>0</v>
      </c>
      <c r="CY72" s="42">
        <f t="shared" si="897"/>
        <v>0</v>
      </c>
      <c r="CZ72" s="42">
        <f t="shared" si="897"/>
        <v>0</v>
      </c>
      <c r="DA72" s="42">
        <f t="shared" si="897"/>
        <v>0</v>
      </c>
      <c r="DB72" s="42">
        <f t="shared" si="897"/>
        <v>0</v>
      </c>
      <c r="DC72" s="42">
        <f t="shared" si="897"/>
        <v>0</v>
      </c>
      <c r="DD72" s="42">
        <f t="shared" si="897"/>
        <v>0</v>
      </c>
      <c r="DE72" s="42">
        <f t="shared" si="897"/>
        <v>0</v>
      </c>
      <c r="DF72" s="42">
        <f t="shared" si="897"/>
        <v>0</v>
      </c>
      <c r="DG72" s="42">
        <f t="shared" si="897"/>
        <v>0</v>
      </c>
      <c r="DH72" s="42">
        <f t="shared" si="897"/>
        <v>0</v>
      </c>
      <c r="DI72" s="42">
        <f t="shared" si="897"/>
        <v>0</v>
      </c>
      <c r="DJ72" s="42">
        <f t="shared" si="897"/>
        <v>0</v>
      </c>
      <c r="DK72" s="42">
        <f t="shared" si="897"/>
        <v>0</v>
      </c>
      <c r="DL72" s="42">
        <f t="shared" si="897"/>
        <v>0</v>
      </c>
      <c r="DM72" s="42">
        <f t="shared" si="897"/>
        <v>0</v>
      </c>
      <c r="DN72" s="42">
        <f t="shared" si="897"/>
        <v>0</v>
      </c>
      <c r="DO72" s="42">
        <f t="shared" si="897"/>
        <v>0</v>
      </c>
      <c r="DP72" s="42">
        <f t="shared" si="897"/>
        <v>0</v>
      </c>
      <c r="DQ72" s="42">
        <f t="shared" si="897"/>
        <v>0</v>
      </c>
      <c r="DR72" s="42">
        <f t="shared" si="897"/>
        <v>0</v>
      </c>
      <c r="DS72" s="42">
        <f t="shared" si="897"/>
        <v>0</v>
      </c>
      <c r="DT72" s="42">
        <f t="shared" si="897"/>
        <v>0</v>
      </c>
      <c r="DU72" s="42">
        <f t="shared" si="897"/>
        <v>0</v>
      </c>
      <c r="DV72" s="42">
        <f t="shared" si="897"/>
        <v>0</v>
      </c>
      <c r="DW72" s="42">
        <f t="shared" si="897"/>
        <v>0</v>
      </c>
      <c r="DX72" s="42">
        <f t="shared" si="897"/>
        <v>0</v>
      </c>
      <c r="DY72" s="42">
        <f t="shared" si="897"/>
        <v>0</v>
      </c>
      <c r="DZ72" s="42">
        <f t="shared" si="897"/>
        <v>0</v>
      </c>
      <c r="EA72" s="42">
        <f t="shared" si="897"/>
        <v>0</v>
      </c>
      <c r="EB72" s="42">
        <f t="shared" si="897"/>
        <v>0</v>
      </c>
      <c r="EC72" s="42">
        <f t="shared" si="897"/>
        <v>0</v>
      </c>
      <c r="ED72" s="42">
        <f t="shared" si="897"/>
        <v>0</v>
      </c>
      <c r="EE72" s="42">
        <f t="shared" si="897"/>
        <v>0</v>
      </c>
      <c r="EF72" s="42">
        <f t="shared" si="897"/>
        <v>0</v>
      </c>
      <c r="EG72" s="42">
        <f t="shared" ref="EG72:GF72" si="898">SUM(EG73+EG74+EG75)</f>
        <v>0</v>
      </c>
      <c r="EH72" s="42">
        <f t="shared" si="898"/>
        <v>0</v>
      </c>
      <c r="EI72" s="42">
        <f t="shared" si="898"/>
        <v>0</v>
      </c>
      <c r="EJ72" s="42">
        <f t="shared" si="898"/>
        <v>0</v>
      </c>
      <c r="EK72" s="42">
        <f t="shared" si="898"/>
        <v>0</v>
      </c>
      <c r="EL72" s="42">
        <f t="shared" si="898"/>
        <v>0</v>
      </c>
      <c r="EM72" s="42">
        <f t="shared" si="898"/>
        <v>0</v>
      </c>
      <c r="EN72" s="42">
        <f t="shared" si="898"/>
        <v>0</v>
      </c>
      <c r="EO72" s="42">
        <f t="shared" si="898"/>
        <v>0</v>
      </c>
      <c r="EP72" s="42">
        <f t="shared" si="898"/>
        <v>0</v>
      </c>
      <c r="EQ72" s="42">
        <f t="shared" si="898"/>
        <v>0</v>
      </c>
      <c r="ER72" s="42">
        <f t="shared" si="898"/>
        <v>0</v>
      </c>
      <c r="ES72" s="42">
        <f t="shared" si="898"/>
        <v>0</v>
      </c>
      <c r="ET72" s="42">
        <f t="shared" si="898"/>
        <v>0</v>
      </c>
      <c r="EU72" s="42">
        <f t="shared" si="898"/>
        <v>0</v>
      </c>
      <c r="EV72" s="42">
        <f t="shared" si="898"/>
        <v>0</v>
      </c>
      <c r="EW72" s="42">
        <f t="shared" si="898"/>
        <v>0</v>
      </c>
      <c r="EX72" s="42">
        <f t="shared" si="898"/>
        <v>0</v>
      </c>
      <c r="EY72" s="42">
        <f t="shared" si="898"/>
        <v>0</v>
      </c>
      <c r="EZ72" s="42">
        <f t="shared" si="898"/>
        <v>0</v>
      </c>
      <c r="FA72" s="42">
        <f t="shared" si="898"/>
        <v>0</v>
      </c>
      <c r="FB72" s="42">
        <f t="shared" si="898"/>
        <v>0</v>
      </c>
      <c r="FC72" s="42">
        <f t="shared" si="898"/>
        <v>0</v>
      </c>
      <c r="FD72" s="42">
        <f t="shared" si="898"/>
        <v>0</v>
      </c>
      <c r="FE72" s="42">
        <f t="shared" si="898"/>
        <v>0</v>
      </c>
      <c r="FF72" s="42">
        <f t="shared" si="898"/>
        <v>0</v>
      </c>
      <c r="FG72" s="42">
        <f t="shared" si="898"/>
        <v>0</v>
      </c>
      <c r="FH72" s="42">
        <f t="shared" si="898"/>
        <v>0</v>
      </c>
      <c r="FI72" s="42">
        <f t="shared" si="898"/>
        <v>0</v>
      </c>
      <c r="FJ72" s="42">
        <f t="shared" si="898"/>
        <v>0</v>
      </c>
      <c r="FK72" s="42">
        <f t="shared" si="898"/>
        <v>0</v>
      </c>
      <c r="FL72" s="42">
        <f t="shared" si="898"/>
        <v>0</v>
      </c>
      <c r="FM72" s="42">
        <f t="shared" si="898"/>
        <v>0</v>
      </c>
      <c r="FN72" s="42">
        <f t="shared" si="898"/>
        <v>0</v>
      </c>
      <c r="FO72" s="42">
        <f t="shared" si="898"/>
        <v>0</v>
      </c>
      <c r="FP72" s="42">
        <f t="shared" si="898"/>
        <v>0</v>
      </c>
      <c r="FQ72" s="42">
        <f t="shared" si="898"/>
        <v>0</v>
      </c>
      <c r="FR72" s="42">
        <f t="shared" si="898"/>
        <v>0</v>
      </c>
      <c r="FS72" s="42">
        <f t="shared" si="898"/>
        <v>0</v>
      </c>
      <c r="FT72" s="42">
        <f t="shared" si="898"/>
        <v>0</v>
      </c>
      <c r="FU72" s="42">
        <f t="shared" si="898"/>
        <v>0</v>
      </c>
      <c r="FV72" s="42">
        <f t="shared" si="898"/>
        <v>0</v>
      </c>
      <c r="FW72" s="42">
        <f t="shared" si="898"/>
        <v>0</v>
      </c>
      <c r="FX72" s="42">
        <f t="shared" si="898"/>
        <v>0</v>
      </c>
      <c r="FY72" s="42">
        <f t="shared" si="898"/>
        <v>0</v>
      </c>
      <c r="FZ72" s="42">
        <f t="shared" si="898"/>
        <v>0</v>
      </c>
      <c r="GA72" s="42">
        <f t="shared" si="898"/>
        <v>0</v>
      </c>
      <c r="GB72" s="42">
        <f t="shared" si="898"/>
        <v>0</v>
      </c>
      <c r="GC72" s="42">
        <f t="shared" si="898"/>
        <v>0</v>
      </c>
      <c r="GD72" s="42">
        <f t="shared" si="898"/>
        <v>0</v>
      </c>
      <c r="GE72" s="42">
        <f t="shared" si="898"/>
        <v>0</v>
      </c>
      <c r="GF72" s="42">
        <f t="shared" si="898"/>
        <v>0</v>
      </c>
      <c r="GG72" s="125">
        <f>SUM(GG73+GG74+GG75)</f>
        <v>0</v>
      </c>
      <c r="GH72" s="113">
        <f>SUM(GH73+GH74+GH75)</f>
        <v>0</v>
      </c>
      <c r="GI72" s="113">
        <f>SUM(GI73+GI74+GI75)</f>
        <v>0</v>
      </c>
      <c r="GJ72" s="126">
        <f>SUM(GJ73+GJ74+GJ75)</f>
        <v>0</v>
      </c>
      <c r="GK72" s="127">
        <f>SUM(GK73+GK74+GK75)</f>
        <v>0</v>
      </c>
      <c r="GL72" s="127">
        <f t="shared" ref="GL72:GN72" si="899">SUM(GL73+GL74+GL75)</f>
        <v>0</v>
      </c>
      <c r="GM72" s="127">
        <f t="shared" si="899"/>
        <v>0</v>
      </c>
      <c r="GN72" s="127">
        <f t="shared" si="899"/>
        <v>0</v>
      </c>
      <c r="GO72" s="126">
        <f>SUM(GO73+GO74+GO75)</f>
        <v>0</v>
      </c>
      <c r="GP72" s="126">
        <f t="shared" ref="GP72:HR72" si="900">SUM(GP73+GP74+GP75)</f>
        <v>0</v>
      </c>
      <c r="GQ72" s="126">
        <f t="shared" si="900"/>
        <v>0</v>
      </c>
      <c r="GR72" s="126">
        <f t="shared" si="900"/>
        <v>0</v>
      </c>
      <c r="GS72" s="126">
        <f t="shared" si="900"/>
        <v>0</v>
      </c>
      <c r="GT72" s="126">
        <f t="shared" si="900"/>
        <v>0</v>
      </c>
      <c r="GU72" s="126">
        <f t="shared" si="900"/>
        <v>0</v>
      </c>
      <c r="GV72" s="126">
        <f t="shared" si="900"/>
        <v>0</v>
      </c>
      <c r="GW72" s="126">
        <f t="shared" si="900"/>
        <v>0</v>
      </c>
      <c r="GX72" s="126">
        <f t="shared" si="900"/>
        <v>0</v>
      </c>
      <c r="GY72" s="126">
        <f t="shared" si="900"/>
        <v>0</v>
      </c>
      <c r="GZ72" s="126">
        <f t="shared" si="900"/>
        <v>0</v>
      </c>
      <c r="HA72" s="126">
        <f t="shared" si="900"/>
        <v>0</v>
      </c>
      <c r="HB72" s="126">
        <f t="shared" si="900"/>
        <v>0</v>
      </c>
      <c r="HC72" s="126">
        <f t="shared" si="900"/>
        <v>0</v>
      </c>
      <c r="HD72" s="126">
        <f t="shared" si="900"/>
        <v>0</v>
      </c>
      <c r="HE72" s="126">
        <f t="shared" si="900"/>
        <v>0</v>
      </c>
      <c r="HF72" s="126">
        <f t="shared" si="900"/>
        <v>0</v>
      </c>
      <c r="HG72" s="126">
        <f t="shared" si="900"/>
        <v>0</v>
      </c>
      <c r="HH72" s="126">
        <f t="shared" si="900"/>
        <v>0</v>
      </c>
      <c r="HI72" s="126">
        <f t="shared" si="900"/>
        <v>0</v>
      </c>
      <c r="HJ72" s="126">
        <f t="shared" si="900"/>
        <v>0</v>
      </c>
      <c r="HK72" s="126">
        <f t="shared" si="900"/>
        <v>0</v>
      </c>
      <c r="HL72" s="126">
        <f t="shared" si="900"/>
        <v>0</v>
      </c>
      <c r="HM72" s="126">
        <f t="shared" si="900"/>
        <v>0</v>
      </c>
      <c r="HN72" s="126">
        <f t="shared" si="900"/>
        <v>0</v>
      </c>
      <c r="HO72" s="126">
        <f t="shared" si="900"/>
        <v>0</v>
      </c>
      <c r="HP72" s="126">
        <f t="shared" si="900"/>
        <v>0</v>
      </c>
      <c r="HQ72" s="126">
        <f t="shared" si="900"/>
        <v>0</v>
      </c>
      <c r="HR72" s="126">
        <f t="shared" si="900"/>
        <v>0</v>
      </c>
      <c r="HS72" s="28">
        <f>SUM(HS73+HS74+HS75)</f>
        <v>0</v>
      </c>
      <c r="HT72" s="28">
        <f t="shared" ref="HT72:HV72" si="901">SUM(HT73+HT74+HT75)</f>
        <v>0</v>
      </c>
      <c r="HU72" s="28">
        <f t="shared" si="901"/>
        <v>0</v>
      </c>
      <c r="HV72" s="28">
        <f t="shared" si="901"/>
        <v>0</v>
      </c>
      <c r="HW72" s="42">
        <f>SUM(HW73+HW74+HW75)</f>
        <v>0</v>
      </c>
      <c r="HX72" s="42">
        <f t="shared" ref="HX72:KI72" si="902">SUM(HX73+HX74+HX75)</f>
        <v>0</v>
      </c>
      <c r="HY72" s="42">
        <f t="shared" si="902"/>
        <v>0</v>
      </c>
      <c r="HZ72" s="42">
        <f t="shared" si="902"/>
        <v>0</v>
      </c>
      <c r="IA72" s="42">
        <f t="shared" si="902"/>
        <v>0</v>
      </c>
      <c r="IB72" s="42">
        <f t="shared" si="902"/>
        <v>0</v>
      </c>
      <c r="IC72" s="42">
        <f t="shared" si="902"/>
        <v>0</v>
      </c>
      <c r="ID72" s="42">
        <f t="shared" si="902"/>
        <v>0</v>
      </c>
      <c r="IE72" s="42">
        <f t="shared" si="902"/>
        <v>0</v>
      </c>
      <c r="IF72" s="42">
        <f t="shared" si="902"/>
        <v>0</v>
      </c>
      <c r="IG72" s="42">
        <f t="shared" si="902"/>
        <v>0</v>
      </c>
      <c r="IH72" s="42">
        <f t="shared" si="902"/>
        <v>0</v>
      </c>
      <c r="II72" s="42">
        <f t="shared" si="902"/>
        <v>0</v>
      </c>
      <c r="IJ72" s="42">
        <f t="shared" si="902"/>
        <v>0</v>
      </c>
      <c r="IK72" s="42">
        <f t="shared" si="902"/>
        <v>0</v>
      </c>
      <c r="IL72" s="42">
        <f t="shared" si="902"/>
        <v>0</v>
      </c>
      <c r="IM72" s="42">
        <f t="shared" si="902"/>
        <v>0</v>
      </c>
      <c r="IN72" s="42">
        <f t="shared" si="902"/>
        <v>0</v>
      </c>
      <c r="IO72" s="42">
        <f t="shared" si="902"/>
        <v>0</v>
      </c>
      <c r="IP72" s="42">
        <f t="shared" si="902"/>
        <v>0</v>
      </c>
      <c r="IQ72" s="42">
        <f t="shared" si="902"/>
        <v>0</v>
      </c>
      <c r="IR72" s="42">
        <f t="shared" si="902"/>
        <v>0</v>
      </c>
      <c r="IS72" s="42">
        <f t="shared" si="902"/>
        <v>0</v>
      </c>
      <c r="IT72" s="42">
        <f t="shared" si="902"/>
        <v>0</v>
      </c>
      <c r="IU72" s="42">
        <f t="shared" si="902"/>
        <v>0</v>
      </c>
      <c r="IV72" s="42">
        <f t="shared" si="902"/>
        <v>0</v>
      </c>
      <c r="IW72" s="42">
        <f t="shared" si="902"/>
        <v>0</v>
      </c>
      <c r="IX72" s="42">
        <f t="shared" si="902"/>
        <v>0</v>
      </c>
      <c r="IY72" s="42">
        <f t="shared" si="902"/>
        <v>0</v>
      </c>
      <c r="IZ72" s="42">
        <f t="shared" si="902"/>
        <v>0</v>
      </c>
      <c r="JA72" s="42">
        <f t="shared" si="902"/>
        <v>0</v>
      </c>
      <c r="JB72" s="42">
        <f t="shared" si="902"/>
        <v>0</v>
      </c>
      <c r="JC72" s="42">
        <f t="shared" si="902"/>
        <v>0</v>
      </c>
      <c r="JD72" s="42">
        <f t="shared" si="902"/>
        <v>0</v>
      </c>
      <c r="JE72" s="42">
        <f t="shared" si="902"/>
        <v>0</v>
      </c>
      <c r="JF72" s="42">
        <f t="shared" si="902"/>
        <v>0</v>
      </c>
      <c r="JG72" s="42">
        <f t="shared" si="902"/>
        <v>0</v>
      </c>
      <c r="JH72" s="42">
        <f t="shared" si="902"/>
        <v>0</v>
      </c>
      <c r="JI72" s="42">
        <f t="shared" si="902"/>
        <v>0</v>
      </c>
      <c r="JJ72" s="42">
        <f t="shared" si="902"/>
        <v>0</v>
      </c>
      <c r="JK72" s="42">
        <f t="shared" si="902"/>
        <v>0</v>
      </c>
      <c r="JL72" s="42">
        <f t="shared" si="902"/>
        <v>0</v>
      </c>
      <c r="JM72" s="42">
        <f t="shared" si="902"/>
        <v>0</v>
      </c>
      <c r="JN72" s="42">
        <f t="shared" si="902"/>
        <v>0</v>
      </c>
      <c r="JO72" s="42">
        <f t="shared" si="902"/>
        <v>0</v>
      </c>
      <c r="JP72" s="42">
        <f t="shared" si="902"/>
        <v>0</v>
      </c>
      <c r="JQ72" s="42">
        <f t="shared" si="902"/>
        <v>0</v>
      </c>
      <c r="JR72" s="42">
        <f t="shared" si="902"/>
        <v>0</v>
      </c>
      <c r="JS72" s="42">
        <f t="shared" si="902"/>
        <v>0</v>
      </c>
      <c r="JT72" s="42">
        <f t="shared" si="902"/>
        <v>0</v>
      </c>
      <c r="JU72" s="42">
        <f t="shared" si="902"/>
        <v>0</v>
      </c>
      <c r="JV72" s="42">
        <f t="shared" si="902"/>
        <v>0</v>
      </c>
      <c r="JW72" s="42">
        <f t="shared" si="902"/>
        <v>0</v>
      </c>
      <c r="JX72" s="42">
        <f t="shared" si="902"/>
        <v>0</v>
      </c>
      <c r="JY72" s="42">
        <f t="shared" si="902"/>
        <v>0</v>
      </c>
      <c r="JZ72" s="42">
        <f t="shared" si="902"/>
        <v>0</v>
      </c>
      <c r="KA72" s="42">
        <f t="shared" si="902"/>
        <v>0</v>
      </c>
      <c r="KB72" s="42">
        <f t="shared" si="902"/>
        <v>0</v>
      </c>
      <c r="KC72" s="42">
        <f t="shared" si="902"/>
        <v>0</v>
      </c>
      <c r="KD72" s="42">
        <f t="shared" si="902"/>
        <v>0</v>
      </c>
      <c r="KE72" s="42">
        <f t="shared" si="902"/>
        <v>0</v>
      </c>
      <c r="KF72" s="42">
        <f t="shared" si="902"/>
        <v>0</v>
      </c>
      <c r="KG72" s="42">
        <f t="shared" si="902"/>
        <v>0</v>
      </c>
      <c r="KH72" s="42">
        <f t="shared" si="902"/>
        <v>0</v>
      </c>
      <c r="KI72" s="42">
        <f t="shared" si="902"/>
        <v>0</v>
      </c>
      <c r="KJ72" s="42">
        <f t="shared" ref="KJ72:MU72" si="903">SUM(KJ73+KJ74+KJ75)</f>
        <v>0</v>
      </c>
      <c r="KK72" s="42">
        <f t="shared" si="903"/>
        <v>0</v>
      </c>
      <c r="KL72" s="42">
        <f t="shared" si="903"/>
        <v>0</v>
      </c>
      <c r="KM72" s="42">
        <f t="shared" si="903"/>
        <v>0</v>
      </c>
      <c r="KN72" s="42">
        <f t="shared" si="903"/>
        <v>0</v>
      </c>
      <c r="KO72" s="42">
        <f t="shared" si="903"/>
        <v>0</v>
      </c>
      <c r="KP72" s="42">
        <f t="shared" si="903"/>
        <v>0</v>
      </c>
      <c r="KQ72" s="42">
        <f t="shared" si="903"/>
        <v>0</v>
      </c>
      <c r="KR72" s="42">
        <f t="shared" si="903"/>
        <v>0</v>
      </c>
      <c r="KS72" s="42">
        <f t="shared" si="903"/>
        <v>0</v>
      </c>
      <c r="KT72" s="42">
        <f t="shared" si="903"/>
        <v>0</v>
      </c>
      <c r="KU72" s="42">
        <f t="shared" si="903"/>
        <v>0</v>
      </c>
      <c r="KV72" s="42">
        <f t="shared" si="903"/>
        <v>0</v>
      </c>
      <c r="KW72" s="42">
        <f t="shared" si="903"/>
        <v>0</v>
      </c>
      <c r="KX72" s="42">
        <f t="shared" si="903"/>
        <v>0</v>
      </c>
      <c r="KY72" s="42">
        <f t="shared" si="903"/>
        <v>0</v>
      </c>
      <c r="KZ72" s="42">
        <f t="shared" si="903"/>
        <v>0</v>
      </c>
      <c r="LA72" s="42">
        <f t="shared" si="903"/>
        <v>0</v>
      </c>
      <c r="LB72" s="42">
        <f t="shared" si="903"/>
        <v>0</v>
      </c>
      <c r="LC72" s="42">
        <f t="shared" si="903"/>
        <v>0</v>
      </c>
      <c r="LD72" s="42">
        <f t="shared" si="903"/>
        <v>0</v>
      </c>
      <c r="LE72" s="42">
        <f t="shared" si="903"/>
        <v>0</v>
      </c>
      <c r="LF72" s="42">
        <f t="shared" si="903"/>
        <v>0</v>
      </c>
      <c r="LG72" s="42">
        <f t="shared" si="903"/>
        <v>0</v>
      </c>
      <c r="LH72" s="42">
        <f t="shared" si="903"/>
        <v>0</v>
      </c>
      <c r="LI72" s="42">
        <f t="shared" si="903"/>
        <v>0</v>
      </c>
      <c r="LJ72" s="42">
        <f t="shared" si="903"/>
        <v>0</v>
      </c>
      <c r="LK72" s="42">
        <f t="shared" si="903"/>
        <v>0</v>
      </c>
      <c r="LL72" s="42">
        <f t="shared" si="903"/>
        <v>0</v>
      </c>
      <c r="LM72" s="42">
        <f t="shared" si="903"/>
        <v>0</v>
      </c>
      <c r="LN72" s="42">
        <f t="shared" si="903"/>
        <v>0</v>
      </c>
      <c r="LO72" s="42">
        <f t="shared" si="903"/>
        <v>0</v>
      </c>
      <c r="LP72" s="42">
        <f t="shared" si="903"/>
        <v>0</v>
      </c>
      <c r="LQ72" s="42">
        <f t="shared" si="903"/>
        <v>0</v>
      </c>
      <c r="LR72" s="42">
        <f t="shared" si="903"/>
        <v>0</v>
      </c>
      <c r="LS72" s="42">
        <f t="shared" si="903"/>
        <v>0</v>
      </c>
      <c r="LT72" s="42">
        <f t="shared" si="903"/>
        <v>0</v>
      </c>
      <c r="LU72" s="42">
        <f t="shared" si="903"/>
        <v>0</v>
      </c>
      <c r="LV72" s="42">
        <f t="shared" si="903"/>
        <v>0</v>
      </c>
      <c r="LW72" s="42">
        <f t="shared" si="903"/>
        <v>0</v>
      </c>
      <c r="LX72" s="42">
        <f t="shared" si="903"/>
        <v>0</v>
      </c>
      <c r="LY72" s="42">
        <f t="shared" si="903"/>
        <v>0</v>
      </c>
      <c r="LZ72" s="42">
        <f t="shared" si="903"/>
        <v>0</v>
      </c>
      <c r="MA72" s="42">
        <f t="shared" si="903"/>
        <v>0</v>
      </c>
      <c r="MB72" s="42">
        <f t="shared" si="903"/>
        <v>0</v>
      </c>
      <c r="MC72" s="42">
        <f t="shared" si="903"/>
        <v>0</v>
      </c>
      <c r="MD72" s="42">
        <f t="shared" si="903"/>
        <v>0</v>
      </c>
      <c r="ME72" s="42">
        <f t="shared" si="903"/>
        <v>0</v>
      </c>
      <c r="MF72" s="42">
        <f t="shared" si="903"/>
        <v>0</v>
      </c>
      <c r="MG72" s="42">
        <f t="shared" si="903"/>
        <v>0</v>
      </c>
      <c r="MH72" s="42">
        <f t="shared" si="903"/>
        <v>0</v>
      </c>
      <c r="MI72" s="42">
        <f t="shared" si="903"/>
        <v>0</v>
      </c>
      <c r="MJ72" s="42">
        <f t="shared" si="903"/>
        <v>0</v>
      </c>
      <c r="MK72" s="42">
        <f t="shared" si="903"/>
        <v>0</v>
      </c>
      <c r="ML72" s="42">
        <f t="shared" si="903"/>
        <v>0</v>
      </c>
      <c r="MM72" s="42">
        <f t="shared" si="903"/>
        <v>0</v>
      </c>
      <c r="MN72" s="42">
        <f t="shared" si="903"/>
        <v>0</v>
      </c>
      <c r="MO72" s="42">
        <f t="shared" si="903"/>
        <v>0</v>
      </c>
      <c r="MP72" s="42">
        <f t="shared" si="903"/>
        <v>0</v>
      </c>
      <c r="MQ72" s="42">
        <f t="shared" si="903"/>
        <v>0</v>
      </c>
      <c r="MR72" s="42">
        <f t="shared" si="903"/>
        <v>0</v>
      </c>
      <c r="MS72" s="42">
        <f t="shared" si="903"/>
        <v>0</v>
      </c>
      <c r="MT72" s="42">
        <f t="shared" si="903"/>
        <v>0</v>
      </c>
      <c r="MU72" s="42">
        <f t="shared" si="903"/>
        <v>0</v>
      </c>
      <c r="MV72" s="42">
        <f t="shared" ref="MV72:PG72" si="904">SUM(MV73+MV74+MV75)</f>
        <v>0</v>
      </c>
      <c r="MW72" s="42">
        <f t="shared" si="904"/>
        <v>0</v>
      </c>
      <c r="MX72" s="42">
        <f t="shared" si="904"/>
        <v>0</v>
      </c>
      <c r="MY72" s="42">
        <f t="shared" si="904"/>
        <v>0</v>
      </c>
      <c r="MZ72" s="42">
        <f t="shared" si="904"/>
        <v>0</v>
      </c>
      <c r="NA72" s="42">
        <f t="shared" si="904"/>
        <v>0</v>
      </c>
      <c r="NB72" s="42">
        <f t="shared" si="904"/>
        <v>0</v>
      </c>
      <c r="NC72" s="42">
        <f t="shared" si="904"/>
        <v>0</v>
      </c>
      <c r="ND72" s="42">
        <f t="shared" si="904"/>
        <v>0</v>
      </c>
      <c r="NE72" s="42">
        <f t="shared" si="904"/>
        <v>0</v>
      </c>
      <c r="NF72" s="42">
        <f t="shared" si="904"/>
        <v>0</v>
      </c>
      <c r="NG72" s="42">
        <f t="shared" si="904"/>
        <v>0</v>
      </c>
      <c r="NH72" s="42">
        <f t="shared" si="904"/>
        <v>0</v>
      </c>
      <c r="NI72" s="42">
        <f t="shared" si="904"/>
        <v>0</v>
      </c>
      <c r="NJ72" s="42">
        <f t="shared" si="904"/>
        <v>0</v>
      </c>
      <c r="NK72" s="42">
        <f t="shared" si="904"/>
        <v>0</v>
      </c>
      <c r="NL72" s="42">
        <f t="shared" si="904"/>
        <v>0</v>
      </c>
      <c r="NM72" s="42">
        <f t="shared" si="904"/>
        <v>0</v>
      </c>
      <c r="NN72" s="42">
        <f t="shared" si="904"/>
        <v>0</v>
      </c>
      <c r="NO72" s="42">
        <f t="shared" si="904"/>
        <v>0</v>
      </c>
      <c r="NP72" s="42">
        <f t="shared" si="904"/>
        <v>0</v>
      </c>
      <c r="NQ72" s="42">
        <f t="shared" si="904"/>
        <v>0</v>
      </c>
      <c r="NR72" s="42">
        <f t="shared" si="904"/>
        <v>0</v>
      </c>
      <c r="NS72" s="42">
        <f t="shared" si="904"/>
        <v>0</v>
      </c>
      <c r="NT72" s="42">
        <f t="shared" si="904"/>
        <v>0</v>
      </c>
      <c r="NU72" s="42">
        <f t="shared" si="904"/>
        <v>0</v>
      </c>
      <c r="NV72" s="42">
        <f t="shared" si="904"/>
        <v>0</v>
      </c>
      <c r="NW72" s="42">
        <f t="shared" si="904"/>
        <v>0</v>
      </c>
      <c r="NX72" s="42">
        <f t="shared" si="904"/>
        <v>0</v>
      </c>
      <c r="NY72" s="42">
        <f t="shared" si="904"/>
        <v>0</v>
      </c>
      <c r="NZ72" s="42">
        <f t="shared" si="904"/>
        <v>0</v>
      </c>
      <c r="OA72" s="42">
        <f t="shared" si="904"/>
        <v>0</v>
      </c>
      <c r="OB72" s="42">
        <f t="shared" si="904"/>
        <v>0</v>
      </c>
      <c r="OC72" s="42">
        <f t="shared" si="904"/>
        <v>0</v>
      </c>
      <c r="OD72" s="42">
        <f t="shared" si="904"/>
        <v>0</v>
      </c>
      <c r="OE72" s="42">
        <f t="shared" si="904"/>
        <v>0</v>
      </c>
      <c r="OF72" s="42">
        <f t="shared" si="904"/>
        <v>0</v>
      </c>
      <c r="OG72" s="42">
        <f t="shared" si="904"/>
        <v>0</v>
      </c>
      <c r="OH72" s="42">
        <f t="shared" si="904"/>
        <v>0</v>
      </c>
      <c r="OI72" s="42">
        <f t="shared" si="904"/>
        <v>0</v>
      </c>
      <c r="OJ72" s="42">
        <f t="shared" si="904"/>
        <v>0</v>
      </c>
      <c r="OK72" s="42">
        <f t="shared" si="904"/>
        <v>0</v>
      </c>
      <c r="OL72" s="42">
        <f t="shared" si="904"/>
        <v>0</v>
      </c>
      <c r="OM72" s="42">
        <f t="shared" si="904"/>
        <v>0</v>
      </c>
      <c r="ON72" s="42">
        <f t="shared" si="904"/>
        <v>0</v>
      </c>
      <c r="OO72" s="42">
        <f t="shared" si="904"/>
        <v>0</v>
      </c>
      <c r="OP72" s="42">
        <f t="shared" si="904"/>
        <v>0</v>
      </c>
      <c r="OQ72" s="42">
        <f t="shared" si="904"/>
        <v>0</v>
      </c>
      <c r="OR72" s="42">
        <f t="shared" si="904"/>
        <v>0</v>
      </c>
      <c r="OS72" s="42">
        <f t="shared" si="904"/>
        <v>0</v>
      </c>
      <c r="OT72" s="42">
        <f t="shared" si="904"/>
        <v>0</v>
      </c>
      <c r="OU72" s="42">
        <f t="shared" si="904"/>
        <v>0</v>
      </c>
      <c r="OV72" s="42">
        <f t="shared" si="904"/>
        <v>0</v>
      </c>
      <c r="OW72" s="42">
        <f t="shared" si="904"/>
        <v>0</v>
      </c>
      <c r="OX72" s="42">
        <f t="shared" si="904"/>
        <v>0</v>
      </c>
      <c r="OY72" s="42">
        <f t="shared" si="904"/>
        <v>0</v>
      </c>
      <c r="OZ72" s="42">
        <f t="shared" si="904"/>
        <v>0</v>
      </c>
      <c r="PA72" s="42">
        <f t="shared" si="904"/>
        <v>0</v>
      </c>
      <c r="PB72" s="42">
        <f t="shared" si="904"/>
        <v>0</v>
      </c>
      <c r="PC72" s="42">
        <f t="shared" si="904"/>
        <v>0</v>
      </c>
      <c r="PD72" s="42">
        <f t="shared" si="904"/>
        <v>0</v>
      </c>
      <c r="PE72" s="42">
        <f t="shared" si="904"/>
        <v>0</v>
      </c>
      <c r="PF72" s="42">
        <f t="shared" si="904"/>
        <v>0</v>
      </c>
      <c r="PG72" s="42">
        <f t="shared" si="904"/>
        <v>0</v>
      </c>
      <c r="PH72" s="42">
        <f t="shared" ref="PH72:RS72" si="905">SUM(PH73+PH74+PH75)</f>
        <v>0</v>
      </c>
      <c r="PI72" s="42">
        <f t="shared" si="905"/>
        <v>0</v>
      </c>
      <c r="PJ72" s="42">
        <f t="shared" si="905"/>
        <v>0</v>
      </c>
      <c r="PK72" s="42">
        <f t="shared" si="905"/>
        <v>0</v>
      </c>
      <c r="PL72" s="42">
        <f t="shared" si="905"/>
        <v>0</v>
      </c>
      <c r="PM72" s="42">
        <f t="shared" si="905"/>
        <v>0</v>
      </c>
      <c r="PN72" s="42">
        <f t="shared" si="905"/>
        <v>0</v>
      </c>
      <c r="PO72" s="42">
        <f t="shared" si="905"/>
        <v>0</v>
      </c>
      <c r="PP72" s="42">
        <f t="shared" si="905"/>
        <v>0</v>
      </c>
      <c r="PQ72" s="42">
        <f t="shared" si="905"/>
        <v>0</v>
      </c>
      <c r="PR72" s="42">
        <f t="shared" si="905"/>
        <v>0</v>
      </c>
      <c r="PS72" s="42">
        <f t="shared" si="905"/>
        <v>0</v>
      </c>
      <c r="PT72" s="42">
        <f t="shared" si="905"/>
        <v>0</v>
      </c>
      <c r="PU72" s="42">
        <f t="shared" si="905"/>
        <v>0</v>
      </c>
      <c r="PV72" s="42">
        <f t="shared" si="905"/>
        <v>0</v>
      </c>
      <c r="PW72" s="42">
        <f t="shared" si="905"/>
        <v>0</v>
      </c>
      <c r="PX72" s="42">
        <f t="shared" si="905"/>
        <v>0</v>
      </c>
      <c r="PY72" s="42">
        <f t="shared" si="905"/>
        <v>0</v>
      </c>
      <c r="PZ72" s="42">
        <f t="shared" si="905"/>
        <v>0</v>
      </c>
      <c r="QA72" s="42">
        <f t="shared" si="905"/>
        <v>0</v>
      </c>
      <c r="QB72" s="42">
        <f t="shared" si="905"/>
        <v>0</v>
      </c>
      <c r="QC72" s="42">
        <f t="shared" si="905"/>
        <v>0</v>
      </c>
      <c r="QD72" s="42">
        <f t="shared" si="905"/>
        <v>0</v>
      </c>
      <c r="QE72" s="42">
        <f t="shared" si="905"/>
        <v>0</v>
      </c>
      <c r="QF72" s="42">
        <f t="shared" si="905"/>
        <v>0</v>
      </c>
      <c r="QG72" s="42">
        <f t="shared" si="905"/>
        <v>0</v>
      </c>
      <c r="QH72" s="42">
        <f t="shared" si="905"/>
        <v>0</v>
      </c>
      <c r="QI72" s="42">
        <f t="shared" si="905"/>
        <v>0</v>
      </c>
      <c r="QJ72" s="42">
        <f t="shared" si="905"/>
        <v>0</v>
      </c>
      <c r="QK72" s="42">
        <f t="shared" si="905"/>
        <v>0</v>
      </c>
      <c r="QL72" s="42">
        <f t="shared" si="905"/>
        <v>0</v>
      </c>
      <c r="QM72" s="42">
        <f t="shared" si="905"/>
        <v>0</v>
      </c>
      <c r="QN72" s="42">
        <f t="shared" si="905"/>
        <v>0</v>
      </c>
      <c r="QO72" s="42">
        <f t="shared" si="905"/>
        <v>0</v>
      </c>
      <c r="QP72" s="42">
        <f t="shared" si="905"/>
        <v>0</v>
      </c>
      <c r="QQ72" s="42">
        <f t="shared" si="905"/>
        <v>0</v>
      </c>
      <c r="QR72" s="42">
        <f t="shared" si="905"/>
        <v>0</v>
      </c>
      <c r="QS72" s="42">
        <f t="shared" si="905"/>
        <v>0</v>
      </c>
      <c r="QT72" s="42">
        <f t="shared" si="905"/>
        <v>0</v>
      </c>
      <c r="QU72" s="42">
        <f t="shared" si="905"/>
        <v>0</v>
      </c>
      <c r="QV72" s="42">
        <f t="shared" si="905"/>
        <v>0</v>
      </c>
      <c r="QW72" s="42">
        <f t="shared" si="905"/>
        <v>0</v>
      </c>
      <c r="QX72" s="42">
        <f t="shared" si="905"/>
        <v>0</v>
      </c>
      <c r="QY72" s="42">
        <f t="shared" si="905"/>
        <v>0</v>
      </c>
      <c r="QZ72" s="42">
        <f t="shared" si="905"/>
        <v>0</v>
      </c>
      <c r="RA72" s="42">
        <f t="shared" si="905"/>
        <v>0</v>
      </c>
      <c r="RB72" s="42">
        <f t="shared" si="905"/>
        <v>0</v>
      </c>
      <c r="RC72" s="42">
        <f t="shared" si="905"/>
        <v>0</v>
      </c>
      <c r="RD72" s="42">
        <f t="shared" si="905"/>
        <v>0</v>
      </c>
      <c r="RE72" s="42">
        <f t="shared" si="905"/>
        <v>0</v>
      </c>
      <c r="RF72" s="42">
        <f t="shared" si="905"/>
        <v>0</v>
      </c>
      <c r="RG72" s="42">
        <f t="shared" si="905"/>
        <v>0</v>
      </c>
      <c r="RH72" s="42">
        <f t="shared" si="905"/>
        <v>0</v>
      </c>
      <c r="RI72" s="42">
        <f t="shared" si="905"/>
        <v>0</v>
      </c>
      <c r="RJ72" s="42">
        <f t="shared" si="905"/>
        <v>0</v>
      </c>
      <c r="RK72" s="42">
        <f t="shared" si="905"/>
        <v>0</v>
      </c>
      <c r="RL72" s="42">
        <f t="shared" si="905"/>
        <v>0</v>
      </c>
      <c r="RM72" s="42">
        <f t="shared" si="905"/>
        <v>0</v>
      </c>
      <c r="RN72" s="42">
        <f t="shared" si="905"/>
        <v>0</v>
      </c>
      <c r="RO72" s="42">
        <f t="shared" si="905"/>
        <v>0</v>
      </c>
      <c r="RP72" s="42">
        <f t="shared" si="905"/>
        <v>0</v>
      </c>
      <c r="RQ72" s="42">
        <f t="shared" si="905"/>
        <v>0</v>
      </c>
      <c r="RR72" s="42">
        <f t="shared" si="905"/>
        <v>0</v>
      </c>
      <c r="RS72" s="42">
        <f t="shared" si="905"/>
        <v>0</v>
      </c>
      <c r="RT72" s="42">
        <f t="shared" ref="RT72:TB72" si="906">SUM(RT73+RT74+RT75)</f>
        <v>0</v>
      </c>
      <c r="RU72" s="42">
        <f t="shared" si="906"/>
        <v>0</v>
      </c>
      <c r="RV72" s="42">
        <f t="shared" si="906"/>
        <v>0</v>
      </c>
      <c r="RW72" s="42">
        <f t="shared" si="906"/>
        <v>0</v>
      </c>
      <c r="RX72" s="42">
        <f t="shared" si="906"/>
        <v>0</v>
      </c>
      <c r="RY72" s="42">
        <f t="shared" si="906"/>
        <v>0</v>
      </c>
      <c r="RZ72" s="42">
        <f t="shared" si="906"/>
        <v>0</v>
      </c>
      <c r="SA72" s="42">
        <f t="shared" si="906"/>
        <v>0</v>
      </c>
      <c r="SB72" s="42">
        <f t="shared" si="906"/>
        <v>0</v>
      </c>
      <c r="SC72" s="42">
        <f t="shared" si="906"/>
        <v>0</v>
      </c>
      <c r="SD72" s="42">
        <f t="shared" si="906"/>
        <v>0</v>
      </c>
      <c r="SE72" s="42">
        <f t="shared" si="906"/>
        <v>0</v>
      </c>
      <c r="SF72" s="42">
        <f t="shared" si="906"/>
        <v>0</v>
      </c>
      <c r="SG72" s="42">
        <f t="shared" si="906"/>
        <v>0</v>
      </c>
      <c r="SH72" s="42">
        <f t="shared" si="906"/>
        <v>0</v>
      </c>
      <c r="SI72" s="42">
        <f t="shared" si="906"/>
        <v>0</v>
      </c>
      <c r="SJ72" s="42">
        <f t="shared" si="906"/>
        <v>0</v>
      </c>
      <c r="SK72" s="42">
        <f t="shared" si="906"/>
        <v>0</v>
      </c>
      <c r="SL72" s="42">
        <f t="shared" si="906"/>
        <v>0</v>
      </c>
      <c r="SM72" s="42">
        <f t="shared" si="906"/>
        <v>0</v>
      </c>
      <c r="SN72" s="42">
        <f t="shared" si="906"/>
        <v>0</v>
      </c>
      <c r="SO72" s="42">
        <f t="shared" si="906"/>
        <v>0</v>
      </c>
      <c r="SP72" s="42">
        <f t="shared" si="906"/>
        <v>0</v>
      </c>
      <c r="SQ72" s="42">
        <f t="shared" si="906"/>
        <v>0</v>
      </c>
      <c r="SR72" s="42">
        <f t="shared" si="906"/>
        <v>0</v>
      </c>
      <c r="SS72" s="42">
        <f t="shared" si="906"/>
        <v>0</v>
      </c>
      <c r="ST72" s="42">
        <f t="shared" si="906"/>
        <v>0</v>
      </c>
      <c r="SU72" s="42">
        <f t="shared" si="906"/>
        <v>0</v>
      </c>
      <c r="SV72" s="42">
        <f t="shared" si="906"/>
        <v>0</v>
      </c>
      <c r="SW72" s="42">
        <f t="shared" si="906"/>
        <v>0</v>
      </c>
      <c r="SX72" s="42">
        <f t="shared" si="906"/>
        <v>0</v>
      </c>
      <c r="SY72" s="42">
        <f t="shared" si="906"/>
        <v>0</v>
      </c>
      <c r="SZ72" s="42">
        <f t="shared" si="906"/>
        <v>0</v>
      </c>
      <c r="TA72" s="42">
        <f t="shared" si="906"/>
        <v>0</v>
      </c>
      <c r="TB72" s="42">
        <f t="shared" si="906"/>
        <v>0</v>
      </c>
      <c r="TC72" s="125">
        <f>SUM(TC73+TC74+TC75)</f>
        <v>0</v>
      </c>
      <c r="TD72" s="113">
        <f>SUM(TD73+TD74+TD75)</f>
        <v>0</v>
      </c>
      <c r="TE72" s="113">
        <f>SUM(TE73+TE74+TE75)</f>
        <v>0</v>
      </c>
      <c r="TF72" s="126">
        <f>SUM(TF73+TF74+TF75)</f>
        <v>0</v>
      </c>
      <c r="TG72" s="42">
        <f t="shared" ref="TG72:UC72" si="907">SUM(TG73+TG74+TG75)</f>
        <v>0</v>
      </c>
      <c r="TH72" s="42">
        <f t="shared" si="907"/>
        <v>0</v>
      </c>
      <c r="TI72" s="42">
        <f t="shared" si="907"/>
        <v>0</v>
      </c>
      <c r="TJ72" s="42">
        <f t="shared" si="907"/>
        <v>0</v>
      </c>
      <c r="TK72" s="42">
        <f t="shared" si="907"/>
        <v>0</v>
      </c>
      <c r="TL72" s="42">
        <f t="shared" si="907"/>
        <v>0</v>
      </c>
      <c r="TM72" s="42">
        <f t="shared" si="907"/>
        <v>0</v>
      </c>
      <c r="TN72" s="42">
        <f t="shared" si="907"/>
        <v>0</v>
      </c>
      <c r="TO72" s="42">
        <f t="shared" si="907"/>
        <v>0</v>
      </c>
      <c r="TP72" s="42">
        <f t="shared" si="907"/>
        <v>0</v>
      </c>
      <c r="TQ72" s="42">
        <f t="shared" si="907"/>
        <v>0</v>
      </c>
      <c r="TR72" s="42">
        <f t="shared" si="907"/>
        <v>0</v>
      </c>
      <c r="TS72" s="42">
        <f t="shared" si="907"/>
        <v>0</v>
      </c>
      <c r="TT72" s="42">
        <f t="shared" si="907"/>
        <v>0</v>
      </c>
      <c r="TU72" s="42">
        <f t="shared" si="907"/>
        <v>0</v>
      </c>
      <c r="TV72" s="43">
        <f t="shared" si="907"/>
        <v>0</v>
      </c>
      <c r="TW72" s="42">
        <f t="shared" si="907"/>
        <v>0</v>
      </c>
      <c r="TX72" s="42">
        <f t="shared" si="907"/>
        <v>0</v>
      </c>
      <c r="TY72" s="42">
        <f t="shared" si="907"/>
        <v>0</v>
      </c>
      <c r="TZ72" s="44">
        <f t="shared" si="907"/>
        <v>0</v>
      </c>
      <c r="UA72" s="43">
        <f t="shared" si="907"/>
        <v>0</v>
      </c>
      <c r="UB72" s="42">
        <f t="shared" si="907"/>
        <v>0</v>
      </c>
      <c r="UC72" s="44">
        <f t="shared" si="907"/>
        <v>0</v>
      </c>
    </row>
    <row r="73" spans="1:549" s="4" customFormat="1" hidden="1" x14ac:dyDescent="0.25">
      <c r="A73" s="49">
        <v>120419301</v>
      </c>
      <c r="B73" s="50">
        <v>362</v>
      </c>
      <c r="C73" s="128"/>
      <c r="D73" s="84"/>
      <c r="E73" s="87"/>
      <c r="F73" s="85"/>
      <c r="G73" s="85"/>
      <c r="H73" s="55">
        <v>0</v>
      </c>
      <c r="I73" s="86"/>
      <c r="J73" s="85"/>
      <c r="K73" s="85"/>
      <c r="L73" s="55">
        <v>0</v>
      </c>
      <c r="M73" s="87"/>
      <c r="N73" s="87"/>
      <c r="O73" s="55">
        <v>0</v>
      </c>
      <c r="P73" s="87"/>
      <c r="Q73" s="86"/>
      <c r="R73" s="86"/>
      <c r="S73" s="86"/>
      <c r="T73" s="18">
        <f t="shared" si="873"/>
        <v>0</v>
      </c>
      <c r="U73" s="85"/>
      <c r="V73" s="85"/>
      <c r="W73" s="85"/>
      <c r="X73" s="55">
        <v>0</v>
      </c>
      <c r="Y73" s="85"/>
      <c r="Z73" s="85"/>
      <c r="AA73" s="55">
        <v>0</v>
      </c>
      <c r="AB73" s="85"/>
      <c r="AC73" s="85"/>
      <c r="AD73" s="55">
        <v>0</v>
      </c>
      <c r="AE73" s="85"/>
      <c r="AF73" s="86"/>
      <c r="AG73" s="86"/>
      <c r="AH73" s="55">
        <f t="shared" ref="AH73:AH75" si="908">SUM(AF73:AG73)</f>
        <v>0</v>
      </c>
      <c r="AI73" s="85"/>
      <c r="AJ73" s="86"/>
      <c r="AK73" s="86"/>
      <c r="AL73" s="55">
        <f t="shared" ref="AL73:AL75" si="909">SUM(AJ73:AK73)</f>
        <v>0</v>
      </c>
      <c r="AM73" s="85"/>
      <c r="AN73" s="86"/>
      <c r="AO73" s="86"/>
      <c r="AP73" s="55">
        <v>0</v>
      </c>
      <c r="AQ73" s="85"/>
      <c r="AR73" s="85"/>
      <c r="AS73" s="85"/>
      <c r="AT73" s="85"/>
      <c r="AU73" s="55">
        <v>0</v>
      </c>
      <c r="AV73" s="85"/>
      <c r="AW73" s="85"/>
      <c r="AX73" s="86"/>
      <c r="AY73" s="86"/>
      <c r="AZ73" s="88"/>
      <c r="BA73" s="88"/>
      <c r="BB73" s="85"/>
      <c r="BC73" s="85"/>
      <c r="BD73" s="55">
        <v>0</v>
      </c>
      <c r="BE73" s="85"/>
      <c r="BF73" s="86"/>
      <c r="BG73" s="86"/>
      <c r="BH73" s="86"/>
      <c r="BI73" s="86"/>
      <c r="BJ73" s="85"/>
      <c r="BK73" s="86"/>
      <c r="BL73" s="55">
        <v>0</v>
      </c>
      <c r="BM73" s="85"/>
      <c r="BN73" s="86"/>
      <c r="BO73" s="85"/>
      <c r="BP73" s="85"/>
      <c r="BQ73" s="85"/>
      <c r="BR73" s="86"/>
      <c r="BS73" s="55">
        <v>0</v>
      </c>
      <c r="BT73" s="85"/>
      <c r="BU73" s="85"/>
      <c r="BV73" s="85"/>
      <c r="BW73" s="55">
        <v>0</v>
      </c>
      <c r="BX73" s="85"/>
      <c r="BY73" s="85"/>
      <c r="BZ73" s="55">
        <v>0</v>
      </c>
      <c r="CA73" s="85"/>
      <c r="CB73" s="85"/>
      <c r="CC73" s="55">
        <v>0</v>
      </c>
      <c r="CD73" s="85"/>
      <c r="CE73" s="85"/>
      <c r="CF73" s="86"/>
      <c r="CG73" s="86"/>
      <c r="CH73" s="86"/>
      <c r="CI73" s="85"/>
      <c r="CJ73" s="85"/>
      <c r="CK73" s="85"/>
      <c r="CL73" s="55">
        <v>0</v>
      </c>
      <c r="CM73" s="86"/>
      <c r="CN73" s="86"/>
      <c r="CO73" s="85"/>
      <c r="CP73" s="85"/>
      <c r="CQ73" s="55">
        <v>0</v>
      </c>
      <c r="CR73" s="85"/>
      <c r="CS73" s="85"/>
      <c r="CT73" s="85"/>
      <c r="CU73" s="85"/>
      <c r="CV73" s="85"/>
      <c r="CW73" s="85"/>
      <c r="CX73" s="18">
        <f t="shared" ref="CX73:CX75" si="910">SUM(CU73:CW73)</f>
        <v>0</v>
      </c>
      <c r="CY73" s="85"/>
      <c r="CZ73" s="85"/>
      <c r="DA73" s="85"/>
      <c r="DB73" s="18">
        <f t="shared" ref="DB73:DB75" si="911">SUM(CZ73:DA73)</f>
        <v>0</v>
      </c>
      <c r="DC73" s="85"/>
      <c r="DD73" s="85"/>
      <c r="DE73" s="18">
        <f t="shared" ref="DE73:DE75" si="912">SUM(DC73:DD73)</f>
        <v>0</v>
      </c>
      <c r="DF73" s="85"/>
      <c r="DG73" s="85"/>
      <c r="DH73" s="55">
        <v>0</v>
      </c>
      <c r="DI73" s="85"/>
      <c r="DJ73" s="85"/>
      <c r="DK73" s="55">
        <v>0</v>
      </c>
      <c r="DL73" s="85"/>
      <c r="DM73" s="85"/>
      <c r="DN73" s="89"/>
      <c r="DO73" s="85"/>
      <c r="DP73" s="85"/>
      <c r="DQ73" s="86"/>
      <c r="DR73" s="86"/>
      <c r="DS73" s="86"/>
      <c r="DT73" s="85"/>
      <c r="DU73" s="85"/>
      <c r="DV73" s="85"/>
      <c r="DW73" s="55">
        <v>0</v>
      </c>
      <c r="DX73" s="86"/>
      <c r="DY73" s="85"/>
      <c r="DZ73" s="85"/>
      <c r="EA73" s="55">
        <v>0</v>
      </c>
      <c r="EB73" s="85"/>
      <c r="EC73" s="85"/>
      <c r="ED73" s="85"/>
      <c r="EE73" s="85"/>
      <c r="EF73" s="85"/>
      <c r="EG73" s="85"/>
      <c r="EH73" s="55">
        <v>0</v>
      </c>
      <c r="EI73" s="85"/>
      <c r="EJ73" s="85"/>
      <c r="EK73" s="85"/>
      <c r="EL73" s="55">
        <v>0</v>
      </c>
      <c r="EM73" s="85"/>
      <c r="EN73" s="85"/>
      <c r="EO73" s="55">
        <v>0</v>
      </c>
      <c r="EP73" s="85"/>
      <c r="EQ73" s="85"/>
      <c r="ER73" s="55">
        <v>0</v>
      </c>
      <c r="ES73" s="85"/>
      <c r="ET73" s="85"/>
      <c r="EU73" s="55">
        <v>0</v>
      </c>
      <c r="EV73" s="85"/>
      <c r="EW73" s="85"/>
      <c r="EX73" s="85"/>
      <c r="EY73" s="85"/>
      <c r="EZ73" s="85"/>
      <c r="FA73" s="86"/>
      <c r="FB73" s="86"/>
      <c r="FC73" s="86"/>
      <c r="FD73" s="85"/>
      <c r="FE73" s="85"/>
      <c r="FF73" s="85"/>
      <c r="FG73" s="55">
        <v>0</v>
      </c>
      <c r="FH73" s="85"/>
      <c r="FI73" s="85"/>
      <c r="FJ73" s="85"/>
      <c r="FK73" s="55">
        <v>0</v>
      </c>
      <c r="FL73" s="85"/>
      <c r="FM73" s="85"/>
      <c r="FN73" s="85"/>
      <c r="FO73" s="85"/>
      <c r="FP73" s="85"/>
      <c r="FQ73" s="85"/>
      <c r="FR73" s="55">
        <v>0</v>
      </c>
      <c r="FS73" s="85"/>
      <c r="FT73" s="85"/>
      <c r="FU73" s="85"/>
      <c r="FV73" s="55">
        <v>0</v>
      </c>
      <c r="FW73" s="85"/>
      <c r="FX73" s="85"/>
      <c r="FY73" s="55">
        <v>0</v>
      </c>
      <c r="FZ73" s="85"/>
      <c r="GA73" s="85"/>
      <c r="GB73" s="55">
        <v>0</v>
      </c>
      <c r="GC73" s="85"/>
      <c r="GD73" s="85"/>
      <c r="GE73" s="55">
        <v>0</v>
      </c>
      <c r="GF73" s="85"/>
      <c r="GG73" s="60">
        <v>0</v>
      </c>
      <c r="GH73" s="61"/>
      <c r="GI73" s="60"/>
      <c r="GJ73" s="86"/>
      <c r="GK73" s="62"/>
      <c r="GL73" s="62"/>
      <c r="GM73" s="62"/>
      <c r="GN73" s="63">
        <v>0</v>
      </c>
      <c r="GO73" s="86"/>
      <c r="GP73" s="85"/>
      <c r="GQ73" s="85"/>
      <c r="GR73" s="55">
        <v>0</v>
      </c>
      <c r="GS73" s="85"/>
      <c r="GT73" s="85"/>
      <c r="GU73" s="85"/>
      <c r="GV73" s="85"/>
      <c r="GW73" s="55">
        <v>0</v>
      </c>
      <c r="GX73" s="85"/>
      <c r="GY73" s="86"/>
      <c r="GZ73" s="86"/>
      <c r="HA73" s="85"/>
      <c r="HB73" s="55">
        <v>0</v>
      </c>
      <c r="HC73" s="85"/>
      <c r="HD73" s="86"/>
      <c r="HE73" s="86"/>
      <c r="HF73" s="86"/>
      <c r="HG73" s="55">
        <v>0</v>
      </c>
      <c r="HH73" s="85"/>
      <c r="HI73" s="86"/>
      <c r="HJ73" s="85"/>
      <c r="HK73" s="85"/>
      <c r="HL73" s="55">
        <v>0</v>
      </c>
      <c r="HM73" s="85"/>
      <c r="HN73" s="86"/>
      <c r="HO73" s="85"/>
      <c r="HP73" s="86"/>
      <c r="HQ73" s="55">
        <v>0</v>
      </c>
      <c r="HR73" s="85"/>
      <c r="HS73" s="64"/>
      <c r="HT73" s="64"/>
      <c r="HU73" s="64"/>
      <c r="HV73" s="63">
        <v>0</v>
      </c>
      <c r="HW73" s="85"/>
      <c r="HX73" s="85"/>
      <c r="HY73" s="85"/>
      <c r="HZ73" s="55">
        <v>0</v>
      </c>
      <c r="IA73" s="85"/>
      <c r="IB73" s="85"/>
      <c r="IC73" s="85"/>
      <c r="ID73" s="85"/>
      <c r="IE73" s="55">
        <v>0</v>
      </c>
      <c r="IF73" s="85"/>
      <c r="IG73" s="56"/>
      <c r="IH73" s="56"/>
      <c r="II73" s="56"/>
      <c r="IJ73" s="55">
        <v>0</v>
      </c>
      <c r="IK73" s="85"/>
      <c r="IL73" s="56"/>
      <c r="IM73" s="56"/>
      <c r="IN73" s="85"/>
      <c r="IO73" s="18">
        <f t="shared" ref="IO73:IO75" si="913">SUM(IL73:IN73)</f>
        <v>0</v>
      </c>
      <c r="IP73" s="85"/>
      <c r="IQ73" s="85"/>
      <c r="IR73" s="85"/>
      <c r="IS73" s="85"/>
      <c r="IT73" s="18">
        <f t="shared" ref="IT73:IT75" si="914">SUM(IQ73:IS73)</f>
        <v>0</v>
      </c>
      <c r="IU73" s="86"/>
      <c r="IV73" s="86"/>
      <c r="IW73" s="86"/>
      <c r="IX73" s="55">
        <f t="shared" ref="IX73:IX75" si="915">SUM(IU73:IW73)</f>
        <v>0</v>
      </c>
      <c r="IY73" s="86"/>
      <c r="IZ73" s="86"/>
      <c r="JA73" s="86"/>
      <c r="JB73" s="55">
        <f t="shared" ref="JB73:JB75" si="916">SUM(IY73:JA73)</f>
        <v>0</v>
      </c>
      <c r="JC73" s="86"/>
      <c r="JD73" s="86"/>
      <c r="JE73" s="86"/>
      <c r="JF73" s="55">
        <v>0</v>
      </c>
      <c r="JG73" s="85"/>
      <c r="JH73" s="85"/>
      <c r="JI73" s="85"/>
      <c r="JJ73" s="86"/>
      <c r="JK73" s="86"/>
      <c r="JL73" s="86"/>
      <c r="JM73" s="86"/>
      <c r="JN73" s="86"/>
      <c r="JO73" s="86"/>
      <c r="JP73" s="86"/>
      <c r="JQ73" s="86"/>
      <c r="JR73" s="86"/>
      <c r="JS73" s="86"/>
      <c r="JT73" s="86"/>
      <c r="JU73" s="85"/>
      <c r="JV73" s="85"/>
      <c r="JW73" s="85"/>
      <c r="JX73" s="85"/>
      <c r="JY73" s="85"/>
      <c r="JZ73" s="85"/>
      <c r="KA73" s="85"/>
      <c r="KB73" s="85"/>
      <c r="KC73" s="85"/>
      <c r="KD73" s="85"/>
      <c r="KE73" s="86"/>
      <c r="KF73" s="85"/>
      <c r="KG73" s="85"/>
      <c r="KH73" s="85"/>
      <c r="KI73" s="65"/>
      <c r="KJ73" s="85"/>
      <c r="KK73" s="85"/>
      <c r="KL73" s="85"/>
      <c r="KM73" s="86"/>
      <c r="KN73" s="60"/>
      <c r="KO73" s="85"/>
      <c r="KP73" s="85"/>
      <c r="KQ73" s="85"/>
      <c r="KR73" s="85"/>
      <c r="KS73" s="85"/>
      <c r="KT73" s="85"/>
      <c r="KU73" s="86"/>
      <c r="KV73" s="85"/>
      <c r="KW73" s="85"/>
      <c r="KX73" s="85"/>
      <c r="KY73" s="85"/>
      <c r="KZ73" s="55">
        <v>0</v>
      </c>
      <c r="LA73" s="86"/>
      <c r="LB73" s="86"/>
      <c r="LC73" s="85"/>
      <c r="LD73" s="55">
        <f t="shared" ref="LD73:LD75" si="917">SUM(LA73:LC73)</f>
        <v>0</v>
      </c>
      <c r="LE73" s="86"/>
      <c r="LF73" s="86"/>
      <c r="LG73" s="86"/>
      <c r="LH73" s="55">
        <f t="shared" si="884"/>
        <v>0</v>
      </c>
      <c r="LI73" s="86"/>
      <c r="LJ73" s="86"/>
      <c r="LK73" s="86"/>
      <c r="LL73" s="55">
        <f t="shared" si="885"/>
        <v>0</v>
      </c>
      <c r="LM73" s="85"/>
      <c r="LN73" s="85"/>
      <c r="LO73" s="85"/>
      <c r="LP73" s="55">
        <v>0</v>
      </c>
      <c r="LQ73" s="85"/>
      <c r="LR73" s="85"/>
      <c r="LS73" s="85"/>
      <c r="LT73" s="55">
        <v>0</v>
      </c>
      <c r="LU73" s="66"/>
      <c r="LV73" s="66"/>
      <c r="LW73" s="66"/>
      <c r="LX73" s="67">
        <v>0</v>
      </c>
      <c r="LY73" s="86"/>
      <c r="LZ73" s="86"/>
      <c r="MA73" s="85"/>
      <c r="MB73" s="55">
        <v>0</v>
      </c>
      <c r="MC73" s="90"/>
      <c r="MD73" s="18">
        <f t="shared" ref="MD73:MD75" si="918">MC73</f>
        <v>0</v>
      </c>
      <c r="ME73" s="90"/>
      <c r="MF73" s="18">
        <f t="shared" si="887"/>
        <v>0</v>
      </c>
      <c r="MG73" s="90"/>
      <c r="MH73" s="55">
        <f t="shared" ref="MH73:MH75" si="919">MG73</f>
        <v>0</v>
      </c>
      <c r="MI73" s="90"/>
      <c r="MJ73" s="18">
        <f t="shared" ref="MJ73:MJ75" si="920">MI73</f>
        <v>0</v>
      </c>
      <c r="MK73" s="90"/>
      <c r="ML73" s="55">
        <v>0</v>
      </c>
      <c r="MM73" s="85"/>
      <c r="MN73" s="85"/>
      <c r="MO73" s="90"/>
      <c r="MP73" s="85"/>
      <c r="MQ73" s="90"/>
      <c r="MR73" s="85"/>
      <c r="MS73" s="85"/>
      <c r="MT73" s="85"/>
      <c r="MU73" s="85"/>
      <c r="MV73" s="85"/>
      <c r="MW73" s="55">
        <v>0</v>
      </c>
      <c r="MX73" s="85"/>
      <c r="MY73" s="85"/>
      <c r="MZ73" s="85"/>
      <c r="NA73" s="55">
        <v>0</v>
      </c>
      <c r="NB73" s="85"/>
      <c r="NC73" s="85"/>
      <c r="ND73" s="85"/>
      <c r="NE73" s="55">
        <v>0</v>
      </c>
      <c r="NF73" s="85"/>
      <c r="NG73" s="85"/>
      <c r="NH73" s="85"/>
      <c r="NI73" s="55">
        <v>0</v>
      </c>
      <c r="NJ73" s="85"/>
      <c r="NK73" s="85"/>
      <c r="NL73" s="85"/>
      <c r="NM73" s="55">
        <v>0</v>
      </c>
      <c r="NN73" s="85"/>
      <c r="NO73" s="85"/>
      <c r="NP73" s="85"/>
      <c r="NQ73" s="55">
        <v>0</v>
      </c>
      <c r="NR73" s="85"/>
      <c r="NS73" s="85"/>
      <c r="NT73" s="85"/>
      <c r="NU73" s="55">
        <v>0</v>
      </c>
      <c r="NV73" s="71"/>
      <c r="NW73" s="71"/>
      <c r="NX73" s="71"/>
      <c r="NY73" s="20">
        <f t="shared" ref="NY73:NY75" si="921">SUM(NV73:NX73)</f>
        <v>0</v>
      </c>
      <c r="NZ73" s="71"/>
      <c r="OA73" s="71"/>
      <c r="OB73" s="71"/>
      <c r="OC73" s="71"/>
      <c r="OD73" s="72"/>
      <c r="OE73" s="72"/>
      <c r="OF73" s="72"/>
      <c r="OG73" s="72"/>
      <c r="OH73" s="72"/>
      <c r="OI73" s="72"/>
      <c r="OJ73" s="72"/>
      <c r="OK73" s="72"/>
      <c r="OL73" s="72"/>
      <c r="OM73" s="72"/>
      <c r="ON73" s="72"/>
      <c r="OO73" s="72"/>
      <c r="OP73" s="72"/>
      <c r="OQ73" s="72"/>
      <c r="OR73" s="72">
        <f t="shared" si="735"/>
        <v>0</v>
      </c>
      <c r="OS73" s="75"/>
      <c r="OT73" s="75"/>
      <c r="OU73" s="75"/>
      <c r="OV73" s="75"/>
      <c r="OW73" s="75"/>
      <c r="OX73" s="74">
        <v>0</v>
      </c>
      <c r="OY73" s="75"/>
      <c r="OZ73" s="75"/>
      <c r="PA73" s="75"/>
      <c r="PB73" s="76">
        <v>0</v>
      </c>
      <c r="PC73" s="75"/>
      <c r="PD73" s="75"/>
      <c r="PE73" s="75"/>
      <c r="PF73" s="76">
        <v>0</v>
      </c>
      <c r="PG73" s="75"/>
      <c r="PH73" s="75"/>
      <c r="PI73" s="75"/>
      <c r="PJ73" s="76">
        <v>0</v>
      </c>
      <c r="PK73" s="75"/>
      <c r="PL73" s="75"/>
      <c r="PM73" s="75"/>
      <c r="PN73" s="76">
        <v>0</v>
      </c>
      <c r="PO73" s="75"/>
      <c r="PP73" s="75"/>
      <c r="PQ73" s="75"/>
      <c r="PR73" s="76">
        <v>0</v>
      </c>
      <c r="PS73" s="75"/>
      <c r="PT73" s="75"/>
      <c r="PU73" s="75"/>
      <c r="PV73" s="76">
        <v>0</v>
      </c>
      <c r="PW73" s="75"/>
      <c r="PX73" s="75"/>
      <c r="PY73" s="75"/>
      <c r="PZ73" s="76">
        <v>0</v>
      </c>
      <c r="QA73" s="87"/>
      <c r="QB73" s="75"/>
      <c r="QC73" s="75"/>
      <c r="QD73" s="77"/>
      <c r="QE73" s="75"/>
      <c r="QF73" s="85"/>
      <c r="QG73" s="85"/>
      <c r="QH73" s="85"/>
      <c r="QI73" s="85"/>
      <c r="QJ73" s="85"/>
      <c r="QK73" s="85"/>
      <c r="QL73" s="55">
        <v>0</v>
      </c>
      <c r="QM73" s="85"/>
      <c r="QN73" s="85"/>
      <c r="QO73" s="85"/>
      <c r="QP73" s="85"/>
      <c r="QQ73" s="85"/>
      <c r="QR73" s="85"/>
      <c r="QS73" s="55">
        <v>0</v>
      </c>
      <c r="QT73" s="85"/>
      <c r="QU73" s="85"/>
      <c r="QV73" s="85"/>
      <c r="QW73" s="85"/>
      <c r="QX73" s="85"/>
      <c r="QY73" s="85"/>
      <c r="QZ73" s="55">
        <v>0</v>
      </c>
      <c r="RA73" s="85"/>
      <c r="RB73" s="85"/>
      <c r="RC73" s="85"/>
      <c r="RD73" s="85"/>
      <c r="RE73" s="85"/>
      <c r="RF73" s="85"/>
      <c r="RG73" s="55">
        <v>0</v>
      </c>
      <c r="RH73" s="85"/>
      <c r="RI73" s="85"/>
      <c r="RJ73" s="85"/>
      <c r="RK73" s="85"/>
      <c r="RL73" s="85"/>
      <c r="RM73" s="85"/>
      <c r="RN73" s="55">
        <v>0</v>
      </c>
      <c r="RO73" s="85"/>
      <c r="RP73" s="85"/>
      <c r="RQ73" s="85"/>
      <c r="RR73" s="85"/>
      <c r="RS73" s="85"/>
      <c r="RT73" s="85"/>
      <c r="RU73" s="55">
        <v>0</v>
      </c>
      <c r="RV73" s="85"/>
      <c r="RW73" s="86"/>
      <c r="RX73" s="86"/>
      <c r="RY73" s="86"/>
      <c r="RZ73" s="85"/>
      <c r="SA73" s="85"/>
      <c r="SB73" s="85"/>
      <c r="SC73" s="55">
        <v>0</v>
      </c>
      <c r="SD73" s="85"/>
      <c r="SE73" s="85"/>
      <c r="SF73" s="85"/>
      <c r="SG73" s="55">
        <v>0</v>
      </c>
      <c r="SH73" s="85"/>
      <c r="SI73" s="85"/>
      <c r="SJ73" s="85"/>
      <c r="SK73" s="85"/>
      <c r="SL73" s="85"/>
      <c r="SM73" s="85"/>
      <c r="SN73" s="55">
        <v>0</v>
      </c>
      <c r="SO73" s="85"/>
      <c r="SP73" s="85"/>
      <c r="SQ73" s="85"/>
      <c r="SR73" s="55">
        <v>0</v>
      </c>
      <c r="SS73" s="85"/>
      <c r="ST73" s="85"/>
      <c r="SU73" s="55">
        <v>0</v>
      </c>
      <c r="SV73" s="85"/>
      <c r="SW73" s="85"/>
      <c r="SX73" s="55">
        <v>0</v>
      </c>
      <c r="SY73" s="85"/>
      <c r="SZ73" s="85"/>
      <c r="TA73" s="55">
        <v>0</v>
      </c>
      <c r="TB73" s="85"/>
      <c r="TC73" s="60"/>
      <c r="TD73" s="61"/>
      <c r="TE73" s="60"/>
      <c r="TF73" s="86"/>
      <c r="TG73" s="86"/>
      <c r="TH73" s="75"/>
      <c r="TI73" s="75"/>
      <c r="TJ73" s="75"/>
      <c r="TK73" s="75"/>
      <c r="TL73" s="75"/>
      <c r="TM73" s="37"/>
      <c r="TN73" s="37"/>
      <c r="TO73" s="37"/>
      <c r="TP73" s="86"/>
      <c r="TQ73" s="86"/>
      <c r="TR73" s="86"/>
      <c r="TS73" s="75"/>
      <c r="TT73" s="75"/>
      <c r="TU73" s="75"/>
      <c r="TV73" s="117"/>
      <c r="TW73" s="118"/>
      <c r="TX73" s="118"/>
      <c r="TY73" s="118"/>
      <c r="TZ73" s="119"/>
      <c r="UA73" s="120"/>
      <c r="UB73" s="121"/>
      <c r="UC73" s="122"/>
    </row>
    <row r="74" spans="1:549" s="4" customFormat="1" hidden="1" x14ac:dyDescent="0.25">
      <c r="A74" s="49">
        <v>120419302</v>
      </c>
      <c r="B74" s="50">
        <v>363</v>
      </c>
      <c r="C74" s="128"/>
      <c r="D74" s="104"/>
      <c r="E74" s="87"/>
      <c r="F74" s="85"/>
      <c r="G74" s="85"/>
      <c r="H74" s="55">
        <v>0</v>
      </c>
      <c r="I74" s="86"/>
      <c r="J74" s="85"/>
      <c r="K74" s="85"/>
      <c r="L74" s="55">
        <v>0</v>
      </c>
      <c r="M74" s="87"/>
      <c r="N74" s="87"/>
      <c r="O74" s="55">
        <v>0</v>
      </c>
      <c r="P74" s="87"/>
      <c r="Q74" s="86"/>
      <c r="R74" s="86"/>
      <c r="S74" s="86"/>
      <c r="T74" s="18">
        <f t="shared" si="873"/>
        <v>0</v>
      </c>
      <c r="U74" s="85"/>
      <c r="V74" s="85"/>
      <c r="W74" s="85"/>
      <c r="X74" s="55">
        <v>0</v>
      </c>
      <c r="Y74" s="85"/>
      <c r="Z74" s="85"/>
      <c r="AA74" s="55">
        <v>0</v>
      </c>
      <c r="AB74" s="85"/>
      <c r="AC74" s="85"/>
      <c r="AD74" s="55">
        <v>0</v>
      </c>
      <c r="AE74" s="85"/>
      <c r="AF74" s="86"/>
      <c r="AG74" s="86"/>
      <c r="AH74" s="55">
        <f t="shared" si="908"/>
        <v>0</v>
      </c>
      <c r="AI74" s="85"/>
      <c r="AJ74" s="86"/>
      <c r="AK74" s="86"/>
      <c r="AL74" s="55">
        <f t="shared" si="909"/>
        <v>0</v>
      </c>
      <c r="AM74" s="85"/>
      <c r="AN74" s="86"/>
      <c r="AO74" s="86"/>
      <c r="AP74" s="55">
        <v>0</v>
      </c>
      <c r="AQ74" s="85"/>
      <c r="AR74" s="85"/>
      <c r="AS74" s="85"/>
      <c r="AT74" s="85"/>
      <c r="AU74" s="55">
        <v>0</v>
      </c>
      <c r="AV74" s="85"/>
      <c r="AW74" s="85"/>
      <c r="AX74" s="86"/>
      <c r="AY74" s="86"/>
      <c r="AZ74" s="88"/>
      <c r="BA74" s="88"/>
      <c r="BB74" s="85"/>
      <c r="BC74" s="85"/>
      <c r="BD74" s="55">
        <v>0</v>
      </c>
      <c r="BE74" s="85"/>
      <c r="BF74" s="85"/>
      <c r="BG74" s="56"/>
      <c r="BH74" s="56"/>
      <c r="BI74" s="56"/>
      <c r="BJ74" s="85"/>
      <c r="BK74" s="86"/>
      <c r="BL74" s="55">
        <v>0</v>
      </c>
      <c r="BM74" s="85"/>
      <c r="BN74" s="86"/>
      <c r="BO74" s="85"/>
      <c r="BP74" s="85"/>
      <c r="BQ74" s="85"/>
      <c r="BR74" s="86"/>
      <c r="BS74" s="55">
        <v>0</v>
      </c>
      <c r="BT74" s="85"/>
      <c r="BU74" s="85"/>
      <c r="BV74" s="85"/>
      <c r="BW74" s="55">
        <v>0</v>
      </c>
      <c r="BX74" s="85"/>
      <c r="BY74" s="85"/>
      <c r="BZ74" s="55">
        <v>0</v>
      </c>
      <c r="CA74" s="85"/>
      <c r="CB74" s="85"/>
      <c r="CC74" s="55">
        <v>0</v>
      </c>
      <c r="CD74" s="85"/>
      <c r="CE74" s="85"/>
      <c r="CF74" s="86"/>
      <c r="CG74" s="86"/>
      <c r="CH74" s="86"/>
      <c r="CI74" s="85"/>
      <c r="CJ74" s="85"/>
      <c r="CK74" s="85"/>
      <c r="CL74" s="55">
        <v>0</v>
      </c>
      <c r="CM74" s="86"/>
      <c r="CN74" s="86"/>
      <c r="CO74" s="85"/>
      <c r="CP74" s="85"/>
      <c r="CQ74" s="55">
        <v>0</v>
      </c>
      <c r="CR74" s="85"/>
      <c r="CS74" s="85"/>
      <c r="CT74" s="85"/>
      <c r="CU74" s="85"/>
      <c r="CV74" s="85"/>
      <c r="CW74" s="85"/>
      <c r="CX74" s="18">
        <f t="shared" si="910"/>
        <v>0</v>
      </c>
      <c r="CY74" s="85"/>
      <c r="CZ74" s="85"/>
      <c r="DA74" s="85"/>
      <c r="DB74" s="18">
        <f t="shared" si="911"/>
        <v>0</v>
      </c>
      <c r="DC74" s="85"/>
      <c r="DD74" s="85"/>
      <c r="DE74" s="18">
        <f t="shared" si="912"/>
        <v>0</v>
      </c>
      <c r="DF74" s="85"/>
      <c r="DG74" s="85"/>
      <c r="DH74" s="55">
        <v>0</v>
      </c>
      <c r="DI74" s="85"/>
      <c r="DJ74" s="85"/>
      <c r="DK74" s="55">
        <v>0</v>
      </c>
      <c r="DL74" s="85"/>
      <c r="DM74" s="85"/>
      <c r="DN74" s="89"/>
      <c r="DO74" s="85"/>
      <c r="DP74" s="85"/>
      <c r="DQ74" s="86"/>
      <c r="DR74" s="86"/>
      <c r="DS74" s="86"/>
      <c r="DT74" s="85"/>
      <c r="DU74" s="85"/>
      <c r="DV74" s="85"/>
      <c r="DW74" s="55">
        <v>0</v>
      </c>
      <c r="DX74" s="86"/>
      <c r="DY74" s="85"/>
      <c r="DZ74" s="85"/>
      <c r="EA74" s="55">
        <v>0</v>
      </c>
      <c r="EB74" s="85"/>
      <c r="EC74" s="85"/>
      <c r="ED74" s="85"/>
      <c r="EE74" s="85"/>
      <c r="EF74" s="85"/>
      <c r="EG74" s="85"/>
      <c r="EH74" s="55">
        <v>0</v>
      </c>
      <c r="EI74" s="85"/>
      <c r="EJ74" s="85"/>
      <c r="EK74" s="85"/>
      <c r="EL74" s="55">
        <v>0</v>
      </c>
      <c r="EM74" s="85"/>
      <c r="EN74" s="85"/>
      <c r="EO74" s="55">
        <v>0</v>
      </c>
      <c r="EP74" s="85"/>
      <c r="EQ74" s="85"/>
      <c r="ER74" s="55">
        <v>0</v>
      </c>
      <c r="ES74" s="85"/>
      <c r="ET74" s="85"/>
      <c r="EU74" s="55">
        <v>0</v>
      </c>
      <c r="EV74" s="85"/>
      <c r="EW74" s="85"/>
      <c r="EX74" s="85"/>
      <c r="EY74" s="85"/>
      <c r="EZ74" s="85"/>
      <c r="FA74" s="86"/>
      <c r="FB74" s="86"/>
      <c r="FC74" s="86"/>
      <c r="FD74" s="85"/>
      <c r="FE74" s="85"/>
      <c r="FF74" s="85"/>
      <c r="FG74" s="55">
        <v>0</v>
      </c>
      <c r="FH74" s="85"/>
      <c r="FI74" s="85"/>
      <c r="FJ74" s="85"/>
      <c r="FK74" s="55">
        <v>0</v>
      </c>
      <c r="FL74" s="85"/>
      <c r="FM74" s="85"/>
      <c r="FN74" s="85"/>
      <c r="FO74" s="85"/>
      <c r="FP74" s="85"/>
      <c r="FQ74" s="85"/>
      <c r="FR74" s="55">
        <v>0</v>
      </c>
      <c r="FS74" s="85"/>
      <c r="FT74" s="85"/>
      <c r="FU74" s="85"/>
      <c r="FV74" s="55">
        <v>0</v>
      </c>
      <c r="FW74" s="85"/>
      <c r="FX74" s="85"/>
      <c r="FY74" s="55">
        <v>0</v>
      </c>
      <c r="FZ74" s="85"/>
      <c r="GA74" s="85"/>
      <c r="GB74" s="55">
        <v>0</v>
      </c>
      <c r="GC74" s="85"/>
      <c r="GD74" s="85"/>
      <c r="GE74" s="55">
        <v>0</v>
      </c>
      <c r="GF74" s="85"/>
      <c r="GG74" s="60">
        <v>0</v>
      </c>
      <c r="GH74" s="61"/>
      <c r="GI74" s="60"/>
      <c r="GJ74" s="86"/>
      <c r="GK74" s="62"/>
      <c r="GL74" s="62"/>
      <c r="GM74" s="62"/>
      <c r="GN74" s="63">
        <v>0</v>
      </c>
      <c r="GO74" s="86"/>
      <c r="GP74" s="85"/>
      <c r="GQ74" s="85"/>
      <c r="GR74" s="55">
        <v>0</v>
      </c>
      <c r="GS74" s="85"/>
      <c r="GT74" s="85"/>
      <c r="GU74" s="85"/>
      <c r="GV74" s="85"/>
      <c r="GW74" s="55">
        <v>0</v>
      </c>
      <c r="GX74" s="85"/>
      <c r="GY74" s="86"/>
      <c r="GZ74" s="86"/>
      <c r="HA74" s="58"/>
      <c r="HB74" s="55">
        <v>0</v>
      </c>
      <c r="HC74" s="85"/>
      <c r="HD74" s="86"/>
      <c r="HE74" s="86"/>
      <c r="HF74" s="86"/>
      <c r="HG74" s="55">
        <v>0</v>
      </c>
      <c r="HH74" s="85"/>
      <c r="HI74" s="86"/>
      <c r="HJ74" s="85"/>
      <c r="HK74" s="85"/>
      <c r="HL74" s="55">
        <v>0</v>
      </c>
      <c r="HM74" s="85"/>
      <c r="HN74" s="86"/>
      <c r="HO74" s="85"/>
      <c r="HP74" s="86"/>
      <c r="HQ74" s="55">
        <v>0</v>
      </c>
      <c r="HR74" s="85"/>
      <c r="HS74" s="64"/>
      <c r="HT74" s="64"/>
      <c r="HU74" s="64"/>
      <c r="HV74" s="63">
        <v>0</v>
      </c>
      <c r="HW74" s="85"/>
      <c r="HX74" s="85"/>
      <c r="HY74" s="85"/>
      <c r="HZ74" s="55">
        <v>0</v>
      </c>
      <c r="IA74" s="85"/>
      <c r="IB74" s="85"/>
      <c r="IC74" s="85"/>
      <c r="ID74" s="85"/>
      <c r="IE74" s="55">
        <v>0</v>
      </c>
      <c r="IF74" s="85"/>
      <c r="IG74" s="56"/>
      <c r="IH74" s="56"/>
      <c r="II74" s="56"/>
      <c r="IJ74" s="55">
        <v>0</v>
      </c>
      <c r="IK74" s="85"/>
      <c r="IL74" s="56"/>
      <c r="IM74" s="56"/>
      <c r="IN74" s="85"/>
      <c r="IO74" s="18">
        <f t="shared" si="913"/>
        <v>0</v>
      </c>
      <c r="IP74" s="85"/>
      <c r="IQ74" s="85"/>
      <c r="IR74" s="85"/>
      <c r="IS74" s="85"/>
      <c r="IT74" s="18">
        <f t="shared" si="914"/>
        <v>0</v>
      </c>
      <c r="IU74" s="86"/>
      <c r="IV74" s="86"/>
      <c r="IW74" s="86"/>
      <c r="IX74" s="55">
        <f t="shared" si="915"/>
        <v>0</v>
      </c>
      <c r="IY74" s="86"/>
      <c r="IZ74" s="86"/>
      <c r="JA74" s="86"/>
      <c r="JB74" s="55">
        <f t="shared" si="916"/>
        <v>0</v>
      </c>
      <c r="JC74" s="86"/>
      <c r="JD74" s="86"/>
      <c r="JE74" s="86"/>
      <c r="JF74" s="55">
        <v>0</v>
      </c>
      <c r="JG74" s="85"/>
      <c r="JH74" s="85"/>
      <c r="JI74" s="85"/>
      <c r="JJ74" s="86"/>
      <c r="JK74" s="86"/>
      <c r="JL74" s="86"/>
      <c r="JM74" s="86"/>
      <c r="JN74" s="86"/>
      <c r="JO74" s="86"/>
      <c r="JP74" s="86"/>
      <c r="JQ74" s="86"/>
      <c r="JR74" s="86"/>
      <c r="JS74" s="86"/>
      <c r="JT74" s="86"/>
      <c r="JU74" s="85"/>
      <c r="JV74" s="85"/>
      <c r="JW74" s="85"/>
      <c r="JX74" s="85"/>
      <c r="JY74" s="85"/>
      <c r="JZ74" s="85"/>
      <c r="KA74" s="85"/>
      <c r="KB74" s="85"/>
      <c r="KC74" s="85"/>
      <c r="KD74" s="85"/>
      <c r="KE74" s="86"/>
      <c r="KF74" s="85"/>
      <c r="KG74" s="85"/>
      <c r="KH74" s="85"/>
      <c r="KI74" s="65"/>
      <c r="KJ74" s="85"/>
      <c r="KK74" s="85"/>
      <c r="KL74" s="85"/>
      <c r="KM74" s="86"/>
      <c r="KN74" s="60"/>
      <c r="KO74" s="85"/>
      <c r="KP74" s="85"/>
      <c r="KQ74" s="85"/>
      <c r="KR74" s="85"/>
      <c r="KS74" s="85"/>
      <c r="KT74" s="85"/>
      <c r="KU74" s="86"/>
      <c r="KV74" s="85"/>
      <c r="KW74" s="85"/>
      <c r="KX74" s="85"/>
      <c r="KY74" s="85"/>
      <c r="KZ74" s="55">
        <v>0</v>
      </c>
      <c r="LA74" s="86"/>
      <c r="LB74" s="86"/>
      <c r="LC74" s="85"/>
      <c r="LD74" s="55">
        <f t="shared" si="917"/>
        <v>0</v>
      </c>
      <c r="LE74" s="86"/>
      <c r="LF74" s="86"/>
      <c r="LG74" s="86"/>
      <c r="LH74" s="55">
        <f t="shared" si="884"/>
        <v>0</v>
      </c>
      <c r="LI74" s="86"/>
      <c r="LJ74" s="86"/>
      <c r="LK74" s="86"/>
      <c r="LL74" s="55">
        <f t="shared" si="885"/>
        <v>0</v>
      </c>
      <c r="LM74" s="85"/>
      <c r="LN74" s="85"/>
      <c r="LO74" s="85"/>
      <c r="LP74" s="55">
        <v>0</v>
      </c>
      <c r="LQ74" s="85"/>
      <c r="LR74" s="85"/>
      <c r="LS74" s="85"/>
      <c r="LT74" s="55">
        <v>0</v>
      </c>
      <c r="LU74" s="66"/>
      <c r="LV74" s="66"/>
      <c r="LW74" s="66"/>
      <c r="LX74" s="67">
        <v>0</v>
      </c>
      <c r="LY74" s="86"/>
      <c r="LZ74" s="86"/>
      <c r="MA74" s="85"/>
      <c r="MB74" s="55">
        <v>0</v>
      </c>
      <c r="MC74" s="90"/>
      <c r="MD74" s="18">
        <f t="shared" si="918"/>
        <v>0</v>
      </c>
      <c r="ME74" s="90"/>
      <c r="MF74" s="18">
        <f t="shared" si="887"/>
        <v>0</v>
      </c>
      <c r="MG74" s="90"/>
      <c r="MH74" s="55">
        <f t="shared" si="919"/>
        <v>0</v>
      </c>
      <c r="MI74" s="90"/>
      <c r="MJ74" s="18">
        <f t="shared" si="920"/>
        <v>0</v>
      </c>
      <c r="MK74" s="90"/>
      <c r="ML74" s="55">
        <v>0</v>
      </c>
      <c r="MM74" s="85"/>
      <c r="MN74" s="85"/>
      <c r="MO74" s="85"/>
      <c r="MP74" s="85"/>
      <c r="MQ74" s="90"/>
      <c r="MR74" s="85"/>
      <c r="MS74" s="85"/>
      <c r="MT74" s="85"/>
      <c r="MU74" s="85"/>
      <c r="MV74" s="85"/>
      <c r="MW74" s="55">
        <v>0</v>
      </c>
      <c r="MX74" s="85"/>
      <c r="MY74" s="85"/>
      <c r="MZ74" s="85"/>
      <c r="NA74" s="55">
        <v>0</v>
      </c>
      <c r="NB74" s="85"/>
      <c r="NC74" s="85"/>
      <c r="ND74" s="85"/>
      <c r="NE74" s="55">
        <v>0</v>
      </c>
      <c r="NF74" s="85"/>
      <c r="NG74" s="85"/>
      <c r="NH74" s="85"/>
      <c r="NI74" s="55">
        <v>0</v>
      </c>
      <c r="NJ74" s="85"/>
      <c r="NK74" s="85"/>
      <c r="NL74" s="85"/>
      <c r="NM74" s="55">
        <v>0</v>
      </c>
      <c r="NN74" s="85"/>
      <c r="NO74" s="85"/>
      <c r="NP74" s="85"/>
      <c r="NQ74" s="55">
        <v>0</v>
      </c>
      <c r="NR74" s="85"/>
      <c r="NS74" s="85"/>
      <c r="NT74" s="85"/>
      <c r="NU74" s="55">
        <v>0</v>
      </c>
      <c r="NV74" s="71"/>
      <c r="NW74" s="71"/>
      <c r="NX74" s="71"/>
      <c r="NY74" s="20">
        <f t="shared" si="921"/>
        <v>0</v>
      </c>
      <c r="NZ74" s="71"/>
      <c r="OA74" s="71"/>
      <c r="OB74" s="71"/>
      <c r="OC74" s="71"/>
      <c r="OD74" s="72"/>
      <c r="OE74" s="72"/>
      <c r="OF74" s="72"/>
      <c r="OG74" s="72"/>
      <c r="OH74" s="72"/>
      <c r="OI74" s="72"/>
      <c r="OJ74" s="72"/>
      <c r="OK74" s="72"/>
      <c r="OL74" s="72"/>
      <c r="OM74" s="72"/>
      <c r="ON74" s="72"/>
      <c r="OO74" s="72"/>
      <c r="OP74" s="72"/>
      <c r="OQ74" s="72"/>
      <c r="OR74" s="72">
        <f t="shared" si="735"/>
        <v>0</v>
      </c>
      <c r="OS74" s="75"/>
      <c r="OT74" s="75"/>
      <c r="OU74" s="75"/>
      <c r="OV74" s="75"/>
      <c r="OW74" s="75"/>
      <c r="OX74" s="74">
        <v>0</v>
      </c>
      <c r="OY74" s="75"/>
      <c r="OZ74" s="75"/>
      <c r="PA74" s="75"/>
      <c r="PB74" s="76">
        <v>0</v>
      </c>
      <c r="PC74" s="75"/>
      <c r="PD74" s="75"/>
      <c r="PE74" s="75"/>
      <c r="PF74" s="76">
        <v>0</v>
      </c>
      <c r="PG74" s="75"/>
      <c r="PH74" s="75"/>
      <c r="PI74" s="75"/>
      <c r="PJ74" s="76">
        <v>0</v>
      </c>
      <c r="PK74" s="75"/>
      <c r="PL74" s="75"/>
      <c r="PM74" s="75"/>
      <c r="PN74" s="76">
        <v>0</v>
      </c>
      <c r="PO74" s="75"/>
      <c r="PP74" s="75"/>
      <c r="PQ74" s="75"/>
      <c r="PR74" s="76">
        <v>0</v>
      </c>
      <c r="PS74" s="75"/>
      <c r="PT74" s="75"/>
      <c r="PU74" s="75"/>
      <c r="PV74" s="76">
        <v>0</v>
      </c>
      <c r="PW74" s="75"/>
      <c r="PX74" s="75"/>
      <c r="PY74" s="75"/>
      <c r="PZ74" s="76">
        <v>0</v>
      </c>
      <c r="QA74" s="75"/>
      <c r="QB74" s="75"/>
      <c r="QC74" s="75"/>
      <c r="QD74" s="77"/>
      <c r="QE74" s="75"/>
      <c r="QF74" s="85"/>
      <c r="QG74" s="85"/>
      <c r="QH74" s="85"/>
      <c r="QI74" s="85"/>
      <c r="QJ74" s="85"/>
      <c r="QK74" s="85"/>
      <c r="QL74" s="55">
        <v>0</v>
      </c>
      <c r="QM74" s="85"/>
      <c r="QN74" s="85"/>
      <c r="QO74" s="85"/>
      <c r="QP74" s="85"/>
      <c r="QQ74" s="85"/>
      <c r="QR74" s="85"/>
      <c r="QS74" s="55">
        <v>0</v>
      </c>
      <c r="QT74" s="85"/>
      <c r="QU74" s="85"/>
      <c r="QV74" s="85"/>
      <c r="QW74" s="85"/>
      <c r="QX74" s="85"/>
      <c r="QY74" s="85"/>
      <c r="QZ74" s="55">
        <v>0</v>
      </c>
      <c r="RA74" s="85"/>
      <c r="RB74" s="85"/>
      <c r="RC74" s="85"/>
      <c r="RD74" s="85"/>
      <c r="RE74" s="85"/>
      <c r="RF74" s="85"/>
      <c r="RG74" s="55">
        <v>0</v>
      </c>
      <c r="RH74" s="85"/>
      <c r="RI74" s="85"/>
      <c r="RJ74" s="85"/>
      <c r="RK74" s="85"/>
      <c r="RL74" s="85"/>
      <c r="RM74" s="85"/>
      <c r="RN74" s="55">
        <v>0</v>
      </c>
      <c r="RO74" s="85"/>
      <c r="RP74" s="85"/>
      <c r="RQ74" s="85"/>
      <c r="RR74" s="85"/>
      <c r="RS74" s="85"/>
      <c r="RT74" s="85"/>
      <c r="RU74" s="55">
        <v>0</v>
      </c>
      <c r="RV74" s="85"/>
      <c r="RW74" s="86"/>
      <c r="RX74" s="86"/>
      <c r="RY74" s="86"/>
      <c r="RZ74" s="85"/>
      <c r="SA74" s="85"/>
      <c r="SB74" s="85"/>
      <c r="SC74" s="55">
        <v>0</v>
      </c>
      <c r="SD74" s="85"/>
      <c r="SE74" s="85"/>
      <c r="SF74" s="85"/>
      <c r="SG74" s="55">
        <v>0</v>
      </c>
      <c r="SH74" s="85"/>
      <c r="SI74" s="85"/>
      <c r="SJ74" s="85"/>
      <c r="SK74" s="85"/>
      <c r="SL74" s="85"/>
      <c r="SM74" s="85"/>
      <c r="SN74" s="55">
        <v>0</v>
      </c>
      <c r="SO74" s="85"/>
      <c r="SP74" s="85"/>
      <c r="SQ74" s="85"/>
      <c r="SR74" s="55">
        <v>0</v>
      </c>
      <c r="SS74" s="85"/>
      <c r="ST74" s="85"/>
      <c r="SU74" s="55">
        <v>0</v>
      </c>
      <c r="SV74" s="85"/>
      <c r="SW74" s="85"/>
      <c r="SX74" s="55">
        <v>0</v>
      </c>
      <c r="SY74" s="85"/>
      <c r="SZ74" s="85"/>
      <c r="TA74" s="55">
        <v>0</v>
      </c>
      <c r="TB74" s="85"/>
      <c r="TC74" s="60"/>
      <c r="TD74" s="61"/>
      <c r="TE74" s="60"/>
      <c r="TF74" s="86"/>
      <c r="TG74" s="85"/>
      <c r="TH74" s="75"/>
      <c r="TI74" s="75"/>
      <c r="TJ74" s="75"/>
      <c r="TK74" s="75"/>
      <c r="TL74" s="75"/>
      <c r="TM74" s="37"/>
      <c r="TN74" s="37"/>
      <c r="TO74" s="37"/>
      <c r="TP74" s="85"/>
      <c r="TQ74" s="85"/>
      <c r="TR74" s="85"/>
      <c r="TS74" s="75"/>
      <c r="TT74" s="75"/>
      <c r="TU74" s="75"/>
      <c r="TV74" s="117"/>
      <c r="TW74" s="118"/>
      <c r="TX74" s="118"/>
      <c r="TY74" s="118"/>
      <c r="TZ74" s="119"/>
      <c r="UA74" s="120"/>
      <c r="UB74" s="121"/>
      <c r="UC74" s="122"/>
    </row>
    <row r="75" spans="1:549" s="4" customFormat="1" hidden="1" x14ac:dyDescent="0.25">
      <c r="A75" s="49">
        <v>120419303</v>
      </c>
      <c r="B75" s="50">
        <v>29301</v>
      </c>
      <c r="C75" s="128"/>
      <c r="D75" s="104"/>
      <c r="E75" s="87"/>
      <c r="F75" s="85"/>
      <c r="G75" s="85"/>
      <c r="H75" s="55">
        <v>0</v>
      </c>
      <c r="I75" s="86"/>
      <c r="J75" s="85"/>
      <c r="K75" s="85"/>
      <c r="L75" s="55">
        <v>0</v>
      </c>
      <c r="M75" s="87"/>
      <c r="N75" s="87"/>
      <c r="O75" s="55">
        <v>0</v>
      </c>
      <c r="P75" s="87"/>
      <c r="Q75" s="86"/>
      <c r="R75" s="86"/>
      <c r="S75" s="86"/>
      <c r="T75" s="18">
        <f t="shared" si="873"/>
        <v>0</v>
      </c>
      <c r="U75" s="85"/>
      <c r="V75" s="85"/>
      <c r="W75" s="85"/>
      <c r="X75" s="55">
        <v>0</v>
      </c>
      <c r="Y75" s="85"/>
      <c r="Z75" s="85"/>
      <c r="AA75" s="55">
        <v>0</v>
      </c>
      <c r="AB75" s="85"/>
      <c r="AC75" s="85"/>
      <c r="AD75" s="55">
        <v>0</v>
      </c>
      <c r="AE75" s="85"/>
      <c r="AF75" s="86"/>
      <c r="AG75" s="86"/>
      <c r="AH75" s="55">
        <f t="shared" si="908"/>
        <v>0</v>
      </c>
      <c r="AI75" s="85"/>
      <c r="AJ75" s="86"/>
      <c r="AK75" s="86"/>
      <c r="AL75" s="55">
        <f t="shared" si="909"/>
        <v>0</v>
      </c>
      <c r="AM75" s="85"/>
      <c r="AN75" s="86"/>
      <c r="AO75" s="86"/>
      <c r="AP75" s="55">
        <v>0</v>
      </c>
      <c r="AQ75" s="85"/>
      <c r="AR75" s="85"/>
      <c r="AS75" s="85"/>
      <c r="AT75" s="85"/>
      <c r="AU75" s="55">
        <v>0</v>
      </c>
      <c r="AV75" s="85"/>
      <c r="AW75" s="85"/>
      <c r="AX75" s="86"/>
      <c r="AY75" s="86"/>
      <c r="AZ75" s="88"/>
      <c r="BA75" s="88"/>
      <c r="BB75" s="85"/>
      <c r="BC75" s="85"/>
      <c r="BD75" s="55">
        <v>0</v>
      </c>
      <c r="BE75" s="85"/>
      <c r="BF75" s="85"/>
      <c r="BG75" s="56"/>
      <c r="BH75" s="56"/>
      <c r="BI75" s="56"/>
      <c r="BJ75" s="85"/>
      <c r="BK75" s="86"/>
      <c r="BL75" s="55">
        <v>0</v>
      </c>
      <c r="BM75" s="85"/>
      <c r="BN75" s="86"/>
      <c r="BO75" s="85"/>
      <c r="BP75" s="85"/>
      <c r="BQ75" s="85"/>
      <c r="BR75" s="86"/>
      <c r="BS75" s="55">
        <v>0</v>
      </c>
      <c r="BT75" s="85"/>
      <c r="BU75" s="85"/>
      <c r="BV75" s="85"/>
      <c r="BW75" s="55">
        <v>0</v>
      </c>
      <c r="BX75" s="85"/>
      <c r="BY75" s="85"/>
      <c r="BZ75" s="55">
        <v>0</v>
      </c>
      <c r="CA75" s="85"/>
      <c r="CB75" s="85"/>
      <c r="CC75" s="55">
        <v>0</v>
      </c>
      <c r="CD75" s="85"/>
      <c r="CE75" s="85"/>
      <c r="CF75" s="86"/>
      <c r="CG75" s="86"/>
      <c r="CH75" s="86"/>
      <c r="CI75" s="85"/>
      <c r="CJ75" s="85"/>
      <c r="CK75" s="85"/>
      <c r="CL75" s="55">
        <v>0</v>
      </c>
      <c r="CM75" s="86"/>
      <c r="CN75" s="86"/>
      <c r="CO75" s="85"/>
      <c r="CP75" s="85"/>
      <c r="CQ75" s="55">
        <v>0</v>
      </c>
      <c r="CR75" s="85"/>
      <c r="CS75" s="85"/>
      <c r="CT75" s="85"/>
      <c r="CU75" s="85"/>
      <c r="CV75" s="85"/>
      <c r="CW75" s="85"/>
      <c r="CX75" s="18">
        <f t="shared" si="910"/>
        <v>0</v>
      </c>
      <c r="CY75" s="85"/>
      <c r="CZ75" s="85"/>
      <c r="DA75" s="85"/>
      <c r="DB75" s="18">
        <f t="shared" si="911"/>
        <v>0</v>
      </c>
      <c r="DC75" s="85"/>
      <c r="DD75" s="85"/>
      <c r="DE75" s="18">
        <f t="shared" si="912"/>
        <v>0</v>
      </c>
      <c r="DF75" s="85"/>
      <c r="DG75" s="85"/>
      <c r="DH75" s="55">
        <v>0</v>
      </c>
      <c r="DI75" s="85"/>
      <c r="DJ75" s="85"/>
      <c r="DK75" s="55">
        <v>0</v>
      </c>
      <c r="DL75" s="85"/>
      <c r="DM75" s="85"/>
      <c r="DN75" s="89"/>
      <c r="DO75" s="85"/>
      <c r="DP75" s="85"/>
      <c r="DQ75" s="86"/>
      <c r="DR75" s="86"/>
      <c r="DS75" s="86"/>
      <c r="DT75" s="85"/>
      <c r="DU75" s="85"/>
      <c r="DV75" s="85"/>
      <c r="DW75" s="55">
        <v>0</v>
      </c>
      <c r="DX75" s="86"/>
      <c r="DY75" s="85"/>
      <c r="DZ75" s="85"/>
      <c r="EA75" s="55">
        <v>0</v>
      </c>
      <c r="EB75" s="85"/>
      <c r="EC75" s="85"/>
      <c r="ED75" s="85"/>
      <c r="EE75" s="85"/>
      <c r="EF75" s="85"/>
      <c r="EG75" s="85"/>
      <c r="EH75" s="55">
        <v>0</v>
      </c>
      <c r="EI75" s="85"/>
      <c r="EJ75" s="85"/>
      <c r="EK75" s="85"/>
      <c r="EL75" s="55">
        <v>0</v>
      </c>
      <c r="EM75" s="85"/>
      <c r="EN75" s="85"/>
      <c r="EO75" s="55">
        <v>0</v>
      </c>
      <c r="EP75" s="85"/>
      <c r="EQ75" s="85"/>
      <c r="ER75" s="55">
        <v>0</v>
      </c>
      <c r="ES75" s="85"/>
      <c r="ET75" s="85"/>
      <c r="EU75" s="55">
        <v>0</v>
      </c>
      <c r="EV75" s="85"/>
      <c r="EW75" s="85"/>
      <c r="EX75" s="85"/>
      <c r="EY75" s="85"/>
      <c r="EZ75" s="85"/>
      <c r="FA75" s="86"/>
      <c r="FB75" s="86"/>
      <c r="FC75" s="86"/>
      <c r="FD75" s="85"/>
      <c r="FE75" s="85"/>
      <c r="FF75" s="85"/>
      <c r="FG75" s="55">
        <v>0</v>
      </c>
      <c r="FH75" s="85"/>
      <c r="FI75" s="85"/>
      <c r="FJ75" s="85"/>
      <c r="FK75" s="55">
        <v>0</v>
      </c>
      <c r="FL75" s="85"/>
      <c r="FM75" s="85"/>
      <c r="FN75" s="85"/>
      <c r="FO75" s="85"/>
      <c r="FP75" s="85"/>
      <c r="FQ75" s="85"/>
      <c r="FR75" s="55">
        <v>0</v>
      </c>
      <c r="FS75" s="85"/>
      <c r="FT75" s="85"/>
      <c r="FU75" s="85"/>
      <c r="FV75" s="55">
        <v>0</v>
      </c>
      <c r="FW75" s="85"/>
      <c r="FX75" s="85"/>
      <c r="FY75" s="55">
        <v>0</v>
      </c>
      <c r="FZ75" s="85"/>
      <c r="GA75" s="85"/>
      <c r="GB75" s="55">
        <v>0</v>
      </c>
      <c r="GC75" s="85"/>
      <c r="GD75" s="85"/>
      <c r="GE75" s="55">
        <v>0</v>
      </c>
      <c r="GF75" s="85"/>
      <c r="GG75" s="60">
        <v>0</v>
      </c>
      <c r="GH75" s="61"/>
      <c r="GI75" s="60"/>
      <c r="GJ75" s="86"/>
      <c r="GK75" s="62"/>
      <c r="GL75" s="62"/>
      <c r="GM75" s="62"/>
      <c r="GN75" s="63">
        <v>0</v>
      </c>
      <c r="GO75" s="86"/>
      <c r="GP75" s="85"/>
      <c r="GQ75" s="85"/>
      <c r="GR75" s="55">
        <v>0</v>
      </c>
      <c r="GS75" s="85"/>
      <c r="GT75" s="85"/>
      <c r="GU75" s="85"/>
      <c r="GV75" s="85"/>
      <c r="GW75" s="55">
        <v>0</v>
      </c>
      <c r="GX75" s="85"/>
      <c r="GY75" s="86"/>
      <c r="GZ75" s="86"/>
      <c r="HA75" s="58"/>
      <c r="HB75" s="55">
        <v>0</v>
      </c>
      <c r="HC75" s="85"/>
      <c r="HD75" s="86"/>
      <c r="HE75" s="86"/>
      <c r="HF75" s="86"/>
      <c r="HG75" s="55">
        <v>0</v>
      </c>
      <c r="HH75" s="85"/>
      <c r="HI75" s="86"/>
      <c r="HJ75" s="85"/>
      <c r="HK75" s="85"/>
      <c r="HL75" s="55">
        <v>0</v>
      </c>
      <c r="HM75" s="85"/>
      <c r="HN75" s="86"/>
      <c r="HO75" s="85"/>
      <c r="HP75" s="86"/>
      <c r="HQ75" s="55">
        <v>0</v>
      </c>
      <c r="HR75" s="85"/>
      <c r="HS75" s="64"/>
      <c r="HT75" s="64"/>
      <c r="HU75" s="64"/>
      <c r="HV75" s="63">
        <v>0</v>
      </c>
      <c r="HW75" s="85"/>
      <c r="HX75" s="85"/>
      <c r="HY75" s="85"/>
      <c r="HZ75" s="55">
        <v>0</v>
      </c>
      <c r="IA75" s="85"/>
      <c r="IB75" s="85"/>
      <c r="IC75" s="85"/>
      <c r="ID75" s="85"/>
      <c r="IE75" s="55">
        <v>0</v>
      </c>
      <c r="IF75" s="85"/>
      <c r="IG75" s="56"/>
      <c r="IH75" s="56"/>
      <c r="II75" s="56"/>
      <c r="IJ75" s="55">
        <v>0</v>
      </c>
      <c r="IK75" s="85"/>
      <c r="IL75" s="56"/>
      <c r="IM75" s="56"/>
      <c r="IN75" s="85"/>
      <c r="IO75" s="18">
        <f t="shared" si="913"/>
        <v>0</v>
      </c>
      <c r="IP75" s="85"/>
      <c r="IQ75" s="85"/>
      <c r="IR75" s="85"/>
      <c r="IS75" s="85"/>
      <c r="IT75" s="18">
        <f t="shared" si="914"/>
        <v>0</v>
      </c>
      <c r="IU75" s="86"/>
      <c r="IV75" s="86"/>
      <c r="IW75" s="86"/>
      <c r="IX75" s="55">
        <f t="shared" si="915"/>
        <v>0</v>
      </c>
      <c r="IY75" s="86"/>
      <c r="IZ75" s="86"/>
      <c r="JA75" s="86"/>
      <c r="JB75" s="55">
        <f t="shared" si="916"/>
        <v>0</v>
      </c>
      <c r="JC75" s="86"/>
      <c r="JD75" s="86"/>
      <c r="JE75" s="86"/>
      <c r="JF75" s="55">
        <v>0</v>
      </c>
      <c r="JG75" s="85"/>
      <c r="JH75" s="85"/>
      <c r="JI75" s="85"/>
      <c r="JJ75" s="86"/>
      <c r="JK75" s="86"/>
      <c r="JL75" s="86"/>
      <c r="JM75" s="86"/>
      <c r="JN75" s="86"/>
      <c r="JO75" s="86"/>
      <c r="JP75" s="86"/>
      <c r="JQ75" s="86"/>
      <c r="JR75" s="86"/>
      <c r="JS75" s="86"/>
      <c r="JT75" s="86"/>
      <c r="JU75" s="85"/>
      <c r="JV75" s="85"/>
      <c r="JW75" s="85"/>
      <c r="JX75" s="85"/>
      <c r="JY75" s="85"/>
      <c r="JZ75" s="85"/>
      <c r="KA75" s="85"/>
      <c r="KB75" s="85"/>
      <c r="KC75" s="85"/>
      <c r="KD75" s="85"/>
      <c r="KE75" s="86"/>
      <c r="KF75" s="85"/>
      <c r="KG75" s="85"/>
      <c r="KH75" s="85"/>
      <c r="KI75" s="65"/>
      <c r="KJ75" s="85"/>
      <c r="KK75" s="85"/>
      <c r="KL75" s="85"/>
      <c r="KM75" s="86"/>
      <c r="KN75" s="60"/>
      <c r="KO75" s="85"/>
      <c r="KP75" s="85"/>
      <c r="KQ75" s="85"/>
      <c r="KR75" s="85"/>
      <c r="KS75" s="85"/>
      <c r="KT75" s="85"/>
      <c r="KU75" s="86"/>
      <c r="KV75" s="85"/>
      <c r="KW75" s="85"/>
      <c r="KX75" s="85"/>
      <c r="KY75" s="85"/>
      <c r="KZ75" s="55">
        <v>0</v>
      </c>
      <c r="LA75" s="86"/>
      <c r="LB75" s="86"/>
      <c r="LC75" s="85"/>
      <c r="LD75" s="55">
        <f t="shared" si="917"/>
        <v>0</v>
      </c>
      <c r="LE75" s="86"/>
      <c r="LF75" s="86"/>
      <c r="LG75" s="86"/>
      <c r="LH75" s="55">
        <f t="shared" si="884"/>
        <v>0</v>
      </c>
      <c r="LI75" s="86"/>
      <c r="LJ75" s="86"/>
      <c r="LK75" s="86"/>
      <c r="LL75" s="55">
        <f t="shared" si="885"/>
        <v>0</v>
      </c>
      <c r="LM75" s="85"/>
      <c r="LN75" s="85"/>
      <c r="LO75" s="85"/>
      <c r="LP75" s="55">
        <v>0</v>
      </c>
      <c r="LQ75" s="85"/>
      <c r="LR75" s="85"/>
      <c r="LS75" s="85"/>
      <c r="LT75" s="55">
        <v>0</v>
      </c>
      <c r="LU75" s="66"/>
      <c r="LV75" s="66"/>
      <c r="LW75" s="66"/>
      <c r="LX75" s="67">
        <v>0</v>
      </c>
      <c r="LY75" s="86"/>
      <c r="LZ75" s="86"/>
      <c r="MA75" s="85"/>
      <c r="MB75" s="55">
        <v>0</v>
      </c>
      <c r="MC75" s="90"/>
      <c r="MD75" s="18">
        <f t="shared" si="918"/>
        <v>0</v>
      </c>
      <c r="ME75" s="90"/>
      <c r="MF75" s="18">
        <f t="shared" si="887"/>
        <v>0</v>
      </c>
      <c r="MG75" s="90"/>
      <c r="MH75" s="55">
        <f t="shared" si="919"/>
        <v>0</v>
      </c>
      <c r="MI75" s="90"/>
      <c r="MJ75" s="18">
        <f t="shared" si="920"/>
        <v>0</v>
      </c>
      <c r="MK75" s="90"/>
      <c r="ML75" s="55">
        <v>0</v>
      </c>
      <c r="MM75" s="85"/>
      <c r="MN75" s="85"/>
      <c r="MO75" s="85"/>
      <c r="MP75" s="85"/>
      <c r="MQ75" s="90"/>
      <c r="MR75" s="85"/>
      <c r="MS75" s="85"/>
      <c r="MT75" s="85"/>
      <c r="MU75" s="85"/>
      <c r="MV75" s="85"/>
      <c r="MW75" s="55">
        <v>0</v>
      </c>
      <c r="MX75" s="85"/>
      <c r="MY75" s="85"/>
      <c r="MZ75" s="85"/>
      <c r="NA75" s="55">
        <v>0</v>
      </c>
      <c r="NB75" s="85"/>
      <c r="NC75" s="85"/>
      <c r="ND75" s="85"/>
      <c r="NE75" s="55">
        <v>0</v>
      </c>
      <c r="NF75" s="85"/>
      <c r="NG75" s="85"/>
      <c r="NH75" s="85"/>
      <c r="NI75" s="55">
        <v>0</v>
      </c>
      <c r="NJ75" s="85"/>
      <c r="NK75" s="85"/>
      <c r="NL75" s="85"/>
      <c r="NM75" s="55">
        <v>0</v>
      </c>
      <c r="NN75" s="85"/>
      <c r="NO75" s="85"/>
      <c r="NP75" s="85"/>
      <c r="NQ75" s="55">
        <v>0</v>
      </c>
      <c r="NR75" s="85"/>
      <c r="NS75" s="85"/>
      <c r="NT75" s="85"/>
      <c r="NU75" s="55">
        <v>0</v>
      </c>
      <c r="NV75" s="71"/>
      <c r="NW75" s="71"/>
      <c r="NX75" s="71"/>
      <c r="NY75" s="20">
        <f t="shared" si="921"/>
        <v>0</v>
      </c>
      <c r="NZ75" s="71"/>
      <c r="OA75" s="71"/>
      <c r="OB75" s="71"/>
      <c r="OC75" s="71"/>
      <c r="OD75" s="72"/>
      <c r="OE75" s="72"/>
      <c r="OF75" s="72"/>
      <c r="OG75" s="72"/>
      <c r="OH75" s="72"/>
      <c r="OI75" s="72"/>
      <c r="OJ75" s="72"/>
      <c r="OK75" s="72"/>
      <c r="OL75" s="72"/>
      <c r="OM75" s="72"/>
      <c r="ON75" s="72"/>
      <c r="OO75" s="72"/>
      <c r="OP75" s="72"/>
      <c r="OQ75" s="72"/>
      <c r="OR75" s="72">
        <f t="shared" si="735"/>
        <v>0</v>
      </c>
      <c r="OS75" s="75"/>
      <c r="OT75" s="75"/>
      <c r="OU75" s="75"/>
      <c r="OV75" s="75"/>
      <c r="OW75" s="75"/>
      <c r="OX75" s="74">
        <v>0</v>
      </c>
      <c r="OY75" s="75"/>
      <c r="OZ75" s="75"/>
      <c r="PA75" s="75"/>
      <c r="PB75" s="76">
        <v>0</v>
      </c>
      <c r="PC75" s="75"/>
      <c r="PD75" s="75"/>
      <c r="PE75" s="75"/>
      <c r="PF75" s="76">
        <v>0</v>
      </c>
      <c r="PG75" s="75"/>
      <c r="PH75" s="75"/>
      <c r="PI75" s="75"/>
      <c r="PJ75" s="76">
        <v>0</v>
      </c>
      <c r="PK75" s="75"/>
      <c r="PL75" s="75"/>
      <c r="PM75" s="75"/>
      <c r="PN75" s="76">
        <v>0</v>
      </c>
      <c r="PO75" s="75"/>
      <c r="PP75" s="75"/>
      <c r="PQ75" s="75"/>
      <c r="PR75" s="76">
        <v>0</v>
      </c>
      <c r="PS75" s="75"/>
      <c r="PT75" s="75"/>
      <c r="PU75" s="75"/>
      <c r="PV75" s="76">
        <v>0</v>
      </c>
      <c r="PW75" s="75"/>
      <c r="PX75" s="75"/>
      <c r="PY75" s="75"/>
      <c r="PZ75" s="76">
        <v>0</v>
      </c>
      <c r="QA75" s="75"/>
      <c r="QB75" s="75"/>
      <c r="QC75" s="75"/>
      <c r="QD75" s="77"/>
      <c r="QE75" s="75"/>
      <c r="QF75" s="85"/>
      <c r="QG75" s="85"/>
      <c r="QH75" s="85"/>
      <c r="QI75" s="85"/>
      <c r="QJ75" s="85"/>
      <c r="QK75" s="85"/>
      <c r="QL75" s="55">
        <v>0</v>
      </c>
      <c r="QM75" s="85"/>
      <c r="QN75" s="85"/>
      <c r="QO75" s="85"/>
      <c r="QP75" s="85"/>
      <c r="QQ75" s="85"/>
      <c r="QR75" s="85"/>
      <c r="QS75" s="55">
        <v>0</v>
      </c>
      <c r="QT75" s="85"/>
      <c r="QU75" s="85"/>
      <c r="QV75" s="85"/>
      <c r="QW75" s="85"/>
      <c r="QX75" s="85"/>
      <c r="QY75" s="85"/>
      <c r="QZ75" s="55">
        <v>0</v>
      </c>
      <c r="RA75" s="85"/>
      <c r="RB75" s="85"/>
      <c r="RC75" s="85"/>
      <c r="RD75" s="85"/>
      <c r="RE75" s="85"/>
      <c r="RF75" s="85"/>
      <c r="RG75" s="55">
        <v>0</v>
      </c>
      <c r="RH75" s="85"/>
      <c r="RI75" s="85"/>
      <c r="RJ75" s="85"/>
      <c r="RK75" s="85"/>
      <c r="RL75" s="85"/>
      <c r="RM75" s="85"/>
      <c r="RN75" s="55">
        <v>0</v>
      </c>
      <c r="RO75" s="85"/>
      <c r="RP75" s="85"/>
      <c r="RQ75" s="85"/>
      <c r="RR75" s="85"/>
      <c r="RS75" s="85"/>
      <c r="RT75" s="85"/>
      <c r="RU75" s="55">
        <v>0</v>
      </c>
      <c r="RV75" s="85"/>
      <c r="RW75" s="86"/>
      <c r="RX75" s="86"/>
      <c r="RY75" s="86"/>
      <c r="RZ75" s="85"/>
      <c r="SA75" s="85"/>
      <c r="SB75" s="85"/>
      <c r="SC75" s="55">
        <v>0</v>
      </c>
      <c r="SD75" s="85"/>
      <c r="SE75" s="85"/>
      <c r="SF75" s="85"/>
      <c r="SG75" s="55">
        <v>0</v>
      </c>
      <c r="SH75" s="85"/>
      <c r="SI75" s="85"/>
      <c r="SJ75" s="85"/>
      <c r="SK75" s="85"/>
      <c r="SL75" s="85"/>
      <c r="SM75" s="85"/>
      <c r="SN75" s="55">
        <v>0</v>
      </c>
      <c r="SO75" s="85"/>
      <c r="SP75" s="85"/>
      <c r="SQ75" s="85"/>
      <c r="SR75" s="55">
        <v>0</v>
      </c>
      <c r="SS75" s="85"/>
      <c r="ST75" s="85"/>
      <c r="SU75" s="55">
        <v>0</v>
      </c>
      <c r="SV75" s="85"/>
      <c r="SW75" s="85"/>
      <c r="SX75" s="55">
        <v>0</v>
      </c>
      <c r="SY75" s="85"/>
      <c r="SZ75" s="85"/>
      <c r="TA75" s="55">
        <v>0</v>
      </c>
      <c r="TB75" s="85"/>
      <c r="TC75" s="60"/>
      <c r="TD75" s="61"/>
      <c r="TE75" s="60"/>
      <c r="TF75" s="86"/>
      <c r="TG75" s="85"/>
      <c r="TH75" s="75"/>
      <c r="TI75" s="75"/>
      <c r="TJ75" s="75"/>
      <c r="TK75" s="75"/>
      <c r="TL75" s="75"/>
      <c r="TM75" s="37"/>
      <c r="TN75" s="37"/>
      <c r="TO75" s="37"/>
      <c r="TP75" s="85"/>
      <c r="TQ75" s="85"/>
      <c r="TR75" s="85"/>
      <c r="TS75" s="75"/>
      <c r="TT75" s="75"/>
      <c r="TU75" s="75"/>
      <c r="TV75" s="117"/>
      <c r="TW75" s="118"/>
      <c r="TX75" s="118"/>
      <c r="TY75" s="118"/>
      <c r="TZ75" s="119"/>
      <c r="UA75" s="120"/>
      <c r="UB75" s="121"/>
      <c r="UC75" s="122"/>
    </row>
    <row r="76" spans="1:549" hidden="1" x14ac:dyDescent="0.25">
      <c r="A76" s="25">
        <v>120500</v>
      </c>
      <c r="B76" s="26"/>
      <c r="C76" s="27"/>
      <c r="D76" s="129"/>
      <c r="E76" s="109">
        <f>E77</f>
        <v>0</v>
      </c>
      <c r="F76" s="109">
        <f t="shared" ref="F76:BQ77" si="922">F77</f>
        <v>0</v>
      </c>
      <c r="G76" s="109">
        <f t="shared" si="922"/>
        <v>0</v>
      </c>
      <c r="H76" s="109">
        <f t="shared" si="922"/>
        <v>0</v>
      </c>
      <c r="I76" s="109">
        <f t="shared" si="922"/>
        <v>0</v>
      </c>
      <c r="J76" s="109">
        <f t="shared" si="922"/>
        <v>0</v>
      </c>
      <c r="K76" s="109">
        <f t="shared" si="922"/>
        <v>0</v>
      </c>
      <c r="L76" s="109">
        <f t="shared" si="922"/>
        <v>0</v>
      </c>
      <c r="M76" s="109">
        <f t="shared" si="922"/>
        <v>0</v>
      </c>
      <c r="N76" s="109">
        <f t="shared" si="922"/>
        <v>0</v>
      </c>
      <c r="O76" s="109">
        <f t="shared" si="922"/>
        <v>0</v>
      </c>
      <c r="P76" s="109">
        <f t="shared" si="922"/>
        <v>0</v>
      </c>
      <c r="Q76" s="109">
        <f t="shared" si="922"/>
        <v>0</v>
      </c>
      <c r="R76" s="109">
        <f t="shared" si="922"/>
        <v>0</v>
      </c>
      <c r="S76" s="109">
        <f t="shared" si="922"/>
        <v>0</v>
      </c>
      <c r="T76" s="109">
        <f t="shared" si="922"/>
        <v>0</v>
      </c>
      <c r="U76" s="109">
        <f t="shared" si="922"/>
        <v>0</v>
      </c>
      <c r="V76" s="109">
        <f t="shared" si="922"/>
        <v>0</v>
      </c>
      <c r="W76" s="109">
        <f t="shared" si="922"/>
        <v>0</v>
      </c>
      <c r="X76" s="109">
        <f t="shared" si="922"/>
        <v>0</v>
      </c>
      <c r="Y76" s="109">
        <f t="shared" si="922"/>
        <v>0</v>
      </c>
      <c r="Z76" s="109">
        <f t="shared" si="922"/>
        <v>0</v>
      </c>
      <c r="AA76" s="109">
        <f t="shared" si="922"/>
        <v>0</v>
      </c>
      <c r="AB76" s="109">
        <f t="shared" si="922"/>
        <v>0</v>
      </c>
      <c r="AC76" s="109">
        <f t="shared" si="922"/>
        <v>0</v>
      </c>
      <c r="AD76" s="109">
        <f t="shared" si="922"/>
        <v>0</v>
      </c>
      <c r="AE76" s="109">
        <f t="shared" si="922"/>
        <v>0</v>
      </c>
      <c r="AF76" s="109">
        <f t="shared" si="922"/>
        <v>0</v>
      </c>
      <c r="AG76" s="109">
        <f t="shared" si="922"/>
        <v>0</v>
      </c>
      <c r="AH76" s="109">
        <f t="shared" si="922"/>
        <v>0</v>
      </c>
      <c r="AI76" s="109">
        <f t="shared" si="922"/>
        <v>0</v>
      </c>
      <c r="AJ76" s="109">
        <f t="shared" si="922"/>
        <v>0</v>
      </c>
      <c r="AK76" s="109">
        <f t="shared" si="922"/>
        <v>0</v>
      </c>
      <c r="AL76" s="109">
        <f t="shared" si="922"/>
        <v>0</v>
      </c>
      <c r="AM76" s="109">
        <f t="shared" si="922"/>
        <v>0</v>
      </c>
      <c r="AN76" s="109">
        <f t="shared" si="922"/>
        <v>0</v>
      </c>
      <c r="AO76" s="109">
        <f t="shared" si="922"/>
        <v>0</v>
      </c>
      <c r="AP76" s="109">
        <f t="shared" si="922"/>
        <v>0</v>
      </c>
      <c r="AQ76" s="109">
        <f t="shared" si="922"/>
        <v>0</v>
      </c>
      <c r="AR76" s="109">
        <f t="shared" si="922"/>
        <v>0</v>
      </c>
      <c r="AS76" s="109">
        <f t="shared" si="922"/>
        <v>0</v>
      </c>
      <c r="AT76" s="109">
        <f t="shared" si="922"/>
        <v>0</v>
      </c>
      <c r="AU76" s="109">
        <f t="shared" si="922"/>
        <v>0</v>
      </c>
      <c r="AV76" s="109">
        <f t="shared" si="922"/>
        <v>0</v>
      </c>
      <c r="AW76" s="109">
        <f t="shared" si="922"/>
        <v>0</v>
      </c>
      <c r="AX76" s="109">
        <f t="shared" si="922"/>
        <v>0</v>
      </c>
      <c r="AY76" s="109">
        <f t="shared" si="922"/>
        <v>0</v>
      </c>
      <c r="AZ76" s="109">
        <f t="shared" si="922"/>
        <v>0</v>
      </c>
      <c r="BA76" s="109">
        <f t="shared" si="922"/>
        <v>0</v>
      </c>
      <c r="BB76" s="109">
        <f t="shared" si="922"/>
        <v>0</v>
      </c>
      <c r="BC76" s="109">
        <f t="shared" si="922"/>
        <v>0</v>
      </c>
      <c r="BD76" s="109">
        <f t="shared" si="922"/>
        <v>0</v>
      </c>
      <c r="BE76" s="109">
        <f t="shared" si="922"/>
        <v>0</v>
      </c>
      <c r="BF76" s="109">
        <f t="shared" si="922"/>
        <v>0</v>
      </c>
      <c r="BG76" s="109">
        <f t="shared" si="922"/>
        <v>0</v>
      </c>
      <c r="BH76" s="109">
        <f t="shared" si="922"/>
        <v>0</v>
      </c>
      <c r="BI76" s="109">
        <f t="shared" si="922"/>
        <v>0</v>
      </c>
      <c r="BJ76" s="109">
        <f t="shared" si="922"/>
        <v>0</v>
      </c>
      <c r="BK76" s="109">
        <f t="shared" si="922"/>
        <v>0</v>
      </c>
      <c r="BL76" s="109">
        <f t="shared" si="922"/>
        <v>0</v>
      </c>
      <c r="BM76" s="109">
        <f t="shared" si="922"/>
        <v>0</v>
      </c>
      <c r="BN76" s="109">
        <f t="shared" si="922"/>
        <v>0</v>
      </c>
      <c r="BO76" s="109">
        <f t="shared" si="922"/>
        <v>0</v>
      </c>
      <c r="BP76" s="109">
        <f t="shared" si="922"/>
        <v>0</v>
      </c>
      <c r="BQ76" s="109">
        <f t="shared" si="922"/>
        <v>0</v>
      </c>
      <c r="BR76" s="109">
        <f t="shared" ref="BR76:EC77" si="923">BR77</f>
        <v>0</v>
      </c>
      <c r="BS76" s="109">
        <f t="shared" si="923"/>
        <v>0</v>
      </c>
      <c r="BT76" s="109">
        <f t="shared" si="923"/>
        <v>0</v>
      </c>
      <c r="BU76" s="109">
        <f t="shared" si="923"/>
        <v>0</v>
      </c>
      <c r="BV76" s="109">
        <f t="shared" si="923"/>
        <v>0</v>
      </c>
      <c r="BW76" s="109">
        <f t="shared" si="923"/>
        <v>0</v>
      </c>
      <c r="BX76" s="109">
        <f t="shared" si="923"/>
        <v>0</v>
      </c>
      <c r="BY76" s="109">
        <f t="shared" si="923"/>
        <v>0</v>
      </c>
      <c r="BZ76" s="109">
        <f t="shared" si="923"/>
        <v>0</v>
      </c>
      <c r="CA76" s="109">
        <f t="shared" si="923"/>
        <v>0</v>
      </c>
      <c r="CB76" s="109">
        <f t="shared" si="923"/>
        <v>0</v>
      </c>
      <c r="CC76" s="109">
        <f t="shared" si="923"/>
        <v>0</v>
      </c>
      <c r="CD76" s="109">
        <f t="shared" si="923"/>
        <v>0</v>
      </c>
      <c r="CE76" s="109">
        <f t="shared" si="923"/>
        <v>0</v>
      </c>
      <c r="CF76" s="109">
        <f t="shared" si="923"/>
        <v>0</v>
      </c>
      <c r="CG76" s="109">
        <f t="shared" si="923"/>
        <v>0</v>
      </c>
      <c r="CH76" s="109">
        <f t="shared" si="923"/>
        <v>0</v>
      </c>
      <c r="CI76" s="109">
        <f t="shared" si="923"/>
        <v>0</v>
      </c>
      <c r="CJ76" s="109">
        <f t="shared" si="923"/>
        <v>0</v>
      </c>
      <c r="CK76" s="109">
        <f t="shared" si="923"/>
        <v>0</v>
      </c>
      <c r="CL76" s="109">
        <f t="shared" si="923"/>
        <v>0</v>
      </c>
      <c r="CM76" s="109">
        <f t="shared" si="923"/>
        <v>0</v>
      </c>
      <c r="CN76" s="109">
        <f t="shared" si="923"/>
        <v>0</v>
      </c>
      <c r="CO76" s="109">
        <f t="shared" si="923"/>
        <v>0</v>
      </c>
      <c r="CP76" s="109">
        <f t="shared" si="923"/>
        <v>0</v>
      </c>
      <c r="CQ76" s="109">
        <f t="shared" si="923"/>
        <v>0</v>
      </c>
      <c r="CR76" s="109">
        <f t="shared" si="923"/>
        <v>0</v>
      </c>
      <c r="CS76" s="109">
        <f t="shared" si="923"/>
        <v>0</v>
      </c>
      <c r="CT76" s="109">
        <f t="shared" si="923"/>
        <v>0</v>
      </c>
      <c r="CU76" s="109">
        <f t="shared" si="923"/>
        <v>0</v>
      </c>
      <c r="CV76" s="109">
        <f t="shared" si="923"/>
        <v>0</v>
      </c>
      <c r="CW76" s="109">
        <f t="shared" si="923"/>
        <v>0</v>
      </c>
      <c r="CX76" s="109">
        <f t="shared" si="923"/>
        <v>0</v>
      </c>
      <c r="CY76" s="109">
        <f t="shared" si="923"/>
        <v>0</v>
      </c>
      <c r="CZ76" s="109">
        <f t="shared" si="923"/>
        <v>0</v>
      </c>
      <c r="DA76" s="109">
        <f t="shared" si="923"/>
        <v>0</v>
      </c>
      <c r="DB76" s="109">
        <f t="shared" si="923"/>
        <v>0</v>
      </c>
      <c r="DC76" s="109">
        <f t="shared" si="923"/>
        <v>0</v>
      </c>
      <c r="DD76" s="109">
        <f t="shared" si="923"/>
        <v>0</v>
      </c>
      <c r="DE76" s="109">
        <f t="shared" si="923"/>
        <v>0</v>
      </c>
      <c r="DF76" s="109">
        <f t="shared" si="923"/>
        <v>0</v>
      </c>
      <c r="DG76" s="109">
        <f t="shared" si="923"/>
        <v>0</v>
      </c>
      <c r="DH76" s="109">
        <f t="shared" si="923"/>
        <v>0</v>
      </c>
      <c r="DI76" s="109">
        <f t="shared" si="923"/>
        <v>0</v>
      </c>
      <c r="DJ76" s="109">
        <f t="shared" si="923"/>
        <v>0</v>
      </c>
      <c r="DK76" s="109">
        <f t="shared" si="923"/>
        <v>0</v>
      </c>
      <c r="DL76" s="109">
        <f t="shared" si="923"/>
        <v>0</v>
      </c>
      <c r="DM76" s="109">
        <f t="shared" si="923"/>
        <v>0</v>
      </c>
      <c r="DN76" s="109">
        <f t="shared" si="923"/>
        <v>0</v>
      </c>
      <c r="DO76" s="109">
        <f t="shared" si="923"/>
        <v>0</v>
      </c>
      <c r="DP76" s="109">
        <f t="shared" si="923"/>
        <v>0</v>
      </c>
      <c r="DQ76" s="109">
        <f t="shared" si="923"/>
        <v>0</v>
      </c>
      <c r="DR76" s="109">
        <f t="shared" si="923"/>
        <v>0</v>
      </c>
      <c r="DS76" s="109">
        <f t="shared" si="923"/>
        <v>0</v>
      </c>
      <c r="DT76" s="109">
        <f t="shared" si="923"/>
        <v>0</v>
      </c>
      <c r="DU76" s="109">
        <f t="shared" si="923"/>
        <v>0</v>
      </c>
      <c r="DV76" s="109">
        <f t="shared" si="923"/>
        <v>0</v>
      </c>
      <c r="DW76" s="109">
        <f t="shared" si="923"/>
        <v>0</v>
      </c>
      <c r="DX76" s="109">
        <f t="shared" si="923"/>
        <v>0</v>
      </c>
      <c r="DY76" s="109">
        <f t="shared" si="923"/>
        <v>0</v>
      </c>
      <c r="DZ76" s="109">
        <f t="shared" si="923"/>
        <v>0</v>
      </c>
      <c r="EA76" s="109">
        <f t="shared" si="923"/>
        <v>0</v>
      </c>
      <c r="EB76" s="109">
        <f t="shared" si="923"/>
        <v>0</v>
      </c>
      <c r="EC76" s="109">
        <f t="shared" si="923"/>
        <v>0</v>
      </c>
      <c r="ED76" s="109">
        <f t="shared" ref="ED76:GU77" si="924">ED77</f>
        <v>0</v>
      </c>
      <c r="EE76" s="109">
        <f t="shared" si="924"/>
        <v>0</v>
      </c>
      <c r="EF76" s="109">
        <f t="shared" si="924"/>
        <v>0</v>
      </c>
      <c r="EG76" s="109">
        <f t="shared" si="924"/>
        <v>0</v>
      </c>
      <c r="EH76" s="109">
        <f t="shared" si="924"/>
        <v>0</v>
      </c>
      <c r="EI76" s="109">
        <f t="shared" si="924"/>
        <v>0</v>
      </c>
      <c r="EJ76" s="109">
        <f t="shared" si="924"/>
        <v>0</v>
      </c>
      <c r="EK76" s="109">
        <f t="shared" si="924"/>
        <v>0</v>
      </c>
      <c r="EL76" s="109">
        <f t="shared" si="924"/>
        <v>0</v>
      </c>
      <c r="EM76" s="109">
        <f t="shared" si="924"/>
        <v>0</v>
      </c>
      <c r="EN76" s="109">
        <f t="shared" si="924"/>
        <v>0</v>
      </c>
      <c r="EO76" s="109">
        <f t="shared" si="924"/>
        <v>0</v>
      </c>
      <c r="EP76" s="109">
        <f t="shared" si="924"/>
        <v>0</v>
      </c>
      <c r="EQ76" s="109">
        <f t="shared" si="924"/>
        <v>0</v>
      </c>
      <c r="ER76" s="109">
        <f t="shared" si="924"/>
        <v>0</v>
      </c>
      <c r="ES76" s="109">
        <f t="shared" si="924"/>
        <v>0</v>
      </c>
      <c r="ET76" s="109">
        <f t="shared" si="924"/>
        <v>0</v>
      </c>
      <c r="EU76" s="109">
        <f t="shared" si="924"/>
        <v>0</v>
      </c>
      <c r="EV76" s="109">
        <f t="shared" si="924"/>
        <v>0</v>
      </c>
      <c r="EW76" s="109">
        <f t="shared" si="924"/>
        <v>0</v>
      </c>
      <c r="EX76" s="109">
        <f t="shared" si="924"/>
        <v>0</v>
      </c>
      <c r="EY76" s="109">
        <f t="shared" si="924"/>
        <v>0</v>
      </c>
      <c r="EZ76" s="109">
        <f t="shared" si="924"/>
        <v>0</v>
      </c>
      <c r="FA76" s="109">
        <f t="shared" si="924"/>
        <v>0</v>
      </c>
      <c r="FB76" s="109">
        <f t="shared" si="924"/>
        <v>0</v>
      </c>
      <c r="FC76" s="109">
        <f t="shared" si="924"/>
        <v>0</v>
      </c>
      <c r="FD76" s="109">
        <f t="shared" si="924"/>
        <v>0</v>
      </c>
      <c r="FE76" s="109">
        <f t="shared" si="924"/>
        <v>0</v>
      </c>
      <c r="FF76" s="109">
        <f t="shared" si="924"/>
        <v>0</v>
      </c>
      <c r="FG76" s="109">
        <f t="shared" si="924"/>
        <v>0</v>
      </c>
      <c r="FH76" s="109">
        <f t="shared" si="924"/>
        <v>0</v>
      </c>
      <c r="FI76" s="109">
        <f t="shared" si="924"/>
        <v>0</v>
      </c>
      <c r="FJ76" s="109">
        <f t="shared" si="924"/>
        <v>0</v>
      </c>
      <c r="FK76" s="109">
        <f t="shared" si="924"/>
        <v>0</v>
      </c>
      <c r="FL76" s="109">
        <f t="shared" si="924"/>
        <v>0</v>
      </c>
      <c r="FM76" s="109">
        <f t="shared" si="924"/>
        <v>0</v>
      </c>
      <c r="FN76" s="109">
        <f t="shared" si="924"/>
        <v>0</v>
      </c>
      <c r="FO76" s="109">
        <f t="shared" si="924"/>
        <v>0</v>
      </c>
      <c r="FP76" s="109">
        <f t="shared" si="924"/>
        <v>0</v>
      </c>
      <c r="FQ76" s="109">
        <f t="shared" si="924"/>
        <v>0</v>
      </c>
      <c r="FR76" s="109">
        <f t="shared" si="924"/>
        <v>0</v>
      </c>
      <c r="FS76" s="109">
        <f t="shared" si="924"/>
        <v>0</v>
      </c>
      <c r="FT76" s="109">
        <f t="shared" si="924"/>
        <v>0</v>
      </c>
      <c r="FU76" s="109">
        <f t="shared" si="924"/>
        <v>0</v>
      </c>
      <c r="FV76" s="109">
        <f t="shared" si="924"/>
        <v>0</v>
      </c>
      <c r="FW76" s="109">
        <f t="shared" si="924"/>
        <v>0</v>
      </c>
      <c r="FX76" s="109">
        <f t="shared" si="924"/>
        <v>0</v>
      </c>
      <c r="FY76" s="109">
        <f t="shared" si="924"/>
        <v>0</v>
      </c>
      <c r="FZ76" s="109">
        <f t="shared" si="924"/>
        <v>0</v>
      </c>
      <c r="GA76" s="109">
        <f t="shared" si="924"/>
        <v>0</v>
      </c>
      <c r="GB76" s="109">
        <f t="shared" si="924"/>
        <v>0</v>
      </c>
      <c r="GC76" s="109">
        <f t="shared" si="924"/>
        <v>0</v>
      </c>
      <c r="GD76" s="109">
        <f t="shared" si="924"/>
        <v>0</v>
      </c>
      <c r="GE76" s="109">
        <f t="shared" si="924"/>
        <v>0</v>
      </c>
      <c r="GF76" s="109">
        <f t="shared" si="924"/>
        <v>0</v>
      </c>
      <c r="GG76" s="40">
        <f t="shared" si="924"/>
        <v>0</v>
      </c>
      <c r="GH76" s="41"/>
      <c r="GI76" s="41"/>
      <c r="GJ76" s="109">
        <f t="shared" si="924"/>
        <v>0</v>
      </c>
      <c r="GK76" s="28">
        <f t="shared" si="924"/>
        <v>0</v>
      </c>
      <c r="GL76" s="28">
        <f t="shared" si="924"/>
        <v>0</v>
      </c>
      <c r="GM76" s="28">
        <f t="shared" si="924"/>
        <v>0</v>
      </c>
      <c r="GN76" s="20">
        <f t="shared" si="73"/>
        <v>0</v>
      </c>
      <c r="GO76" s="109">
        <f t="shared" si="924"/>
        <v>0</v>
      </c>
      <c r="GP76" s="109">
        <f t="shared" si="924"/>
        <v>0</v>
      </c>
      <c r="GQ76" s="109">
        <f t="shared" si="924"/>
        <v>0</v>
      </c>
      <c r="GR76" s="109">
        <f t="shared" si="924"/>
        <v>0</v>
      </c>
      <c r="GS76" s="109">
        <f t="shared" si="924"/>
        <v>0</v>
      </c>
      <c r="GT76" s="109">
        <f t="shared" si="924"/>
        <v>0</v>
      </c>
      <c r="GU76" s="109">
        <f t="shared" si="924"/>
        <v>0</v>
      </c>
      <c r="GV76" s="109">
        <f t="shared" ref="GV76:JK77" si="925">GV77</f>
        <v>0</v>
      </c>
      <c r="GW76" s="109">
        <f t="shared" si="925"/>
        <v>0</v>
      </c>
      <c r="GX76" s="109">
        <f t="shared" si="925"/>
        <v>0</v>
      </c>
      <c r="GY76" s="109">
        <f t="shared" si="925"/>
        <v>0</v>
      </c>
      <c r="GZ76" s="109">
        <f t="shared" si="925"/>
        <v>0</v>
      </c>
      <c r="HA76" s="109">
        <f t="shared" si="925"/>
        <v>0</v>
      </c>
      <c r="HB76" s="109">
        <f t="shared" si="925"/>
        <v>0</v>
      </c>
      <c r="HC76" s="109">
        <f t="shared" si="925"/>
        <v>0</v>
      </c>
      <c r="HD76" s="109">
        <f t="shared" si="925"/>
        <v>0</v>
      </c>
      <c r="HE76" s="109">
        <f t="shared" si="925"/>
        <v>0</v>
      </c>
      <c r="HF76" s="109">
        <f t="shared" si="925"/>
        <v>0</v>
      </c>
      <c r="HG76" s="109">
        <f t="shared" si="925"/>
        <v>0</v>
      </c>
      <c r="HH76" s="109">
        <f t="shared" si="925"/>
        <v>0</v>
      </c>
      <c r="HI76" s="109">
        <f t="shared" si="925"/>
        <v>0</v>
      </c>
      <c r="HJ76" s="109">
        <f t="shared" si="925"/>
        <v>0</v>
      </c>
      <c r="HK76" s="109">
        <f t="shared" si="925"/>
        <v>0</v>
      </c>
      <c r="HL76" s="109">
        <f t="shared" si="925"/>
        <v>0</v>
      </c>
      <c r="HM76" s="109">
        <f t="shared" si="925"/>
        <v>0</v>
      </c>
      <c r="HN76" s="109">
        <f t="shared" si="925"/>
        <v>0</v>
      </c>
      <c r="HO76" s="109">
        <f t="shared" si="925"/>
        <v>0</v>
      </c>
      <c r="HP76" s="109">
        <f t="shared" si="925"/>
        <v>0</v>
      </c>
      <c r="HQ76" s="109">
        <f t="shared" si="925"/>
        <v>0</v>
      </c>
      <c r="HR76" s="109">
        <f t="shared" si="925"/>
        <v>0</v>
      </c>
      <c r="HS76" s="28">
        <f t="shared" si="925"/>
        <v>0</v>
      </c>
      <c r="HT76" s="28">
        <f t="shared" si="925"/>
        <v>0</v>
      </c>
      <c r="HU76" s="28">
        <f t="shared" si="925"/>
        <v>0</v>
      </c>
      <c r="HV76" s="20">
        <f t="shared" si="80"/>
        <v>0</v>
      </c>
      <c r="HW76" s="109">
        <f t="shared" si="925"/>
        <v>0</v>
      </c>
      <c r="HX76" s="109">
        <f t="shared" si="925"/>
        <v>0</v>
      </c>
      <c r="HY76" s="109">
        <f t="shared" si="925"/>
        <v>0</v>
      </c>
      <c r="HZ76" s="109">
        <f t="shared" si="925"/>
        <v>0</v>
      </c>
      <c r="IA76" s="109">
        <f t="shared" si="925"/>
        <v>0</v>
      </c>
      <c r="IB76" s="109">
        <f t="shared" si="925"/>
        <v>0</v>
      </c>
      <c r="IC76" s="109">
        <f t="shared" si="925"/>
        <v>0</v>
      </c>
      <c r="ID76" s="109">
        <f t="shared" si="925"/>
        <v>0</v>
      </c>
      <c r="IE76" s="109">
        <f t="shared" si="925"/>
        <v>0</v>
      </c>
      <c r="IF76" s="109">
        <f t="shared" si="925"/>
        <v>0</v>
      </c>
      <c r="IG76" s="109">
        <f t="shared" si="925"/>
        <v>0</v>
      </c>
      <c r="IH76" s="109">
        <f t="shared" si="925"/>
        <v>0</v>
      </c>
      <c r="II76" s="109">
        <f t="shared" si="925"/>
        <v>0</v>
      </c>
      <c r="IJ76" s="109">
        <f t="shared" si="925"/>
        <v>2</v>
      </c>
      <c r="IK76" s="109">
        <f t="shared" si="925"/>
        <v>0</v>
      </c>
      <c r="IL76" s="109">
        <f t="shared" si="925"/>
        <v>0</v>
      </c>
      <c r="IM76" s="109">
        <f t="shared" si="925"/>
        <v>0</v>
      </c>
      <c r="IN76" s="109">
        <f t="shared" si="925"/>
        <v>0</v>
      </c>
      <c r="IO76" s="109">
        <f t="shared" si="925"/>
        <v>0</v>
      </c>
      <c r="IP76" s="109">
        <f t="shared" si="925"/>
        <v>0</v>
      </c>
      <c r="IQ76" s="109">
        <f t="shared" si="925"/>
        <v>0</v>
      </c>
      <c r="IR76" s="109">
        <f t="shared" si="925"/>
        <v>0</v>
      </c>
      <c r="IS76" s="109">
        <f t="shared" si="925"/>
        <v>0</v>
      </c>
      <c r="IT76" s="109">
        <f t="shared" si="925"/>
        <v>0</v>
      </c>
      <c r="IU76" s="109">
        <f t="shared" si="925"/>
        <v>0</v>
      </c>
      <c r="IV76" s="109">
        <f t="shared" si="925"/>
        <v>0</v>
      </c>
      <c r="IW76" s="109">
        <f t="shared" si="925"/>
        <v>0</v>
      </c>
      <c r="IX76" s="109">
        <f t="shared" si="925"/>
        <v>0</v>
      </c>
      <c r="IY76" s="109">
        <f t="shared" si="925"/>
        <v>0</v>
      </c>
      <c r="IZ76" s="109">
        <f t="shared" si="925"/>
        <v>0</v>
      </c>
      <c r="JA76" s="109">
        <f t="shared" si="925"/>
        <v>0</v>
      </c>
      <c r="JB76" s="109">
        <f t="shared" si="925"/>
        <v>0</v>
      </c>
      <c r="JC76" s="109">
        <f t="shared" si="925"/>
        <v>0</v>
      </c>
      <c r="JD76" s="109">
        <f t="shared" si="925"/>
        <v>0</v>
      </c>
      <c r="JE76" s="109">
        <f t="shared" si="925"/>
        <v>0</v>
      </c>
      <c r="JF76" s="109">
        <f t="shared" si="925"/>
        <v>0</v>
      </c>
      <c r="JG76" s="109">
        <f t="shared" si="925"/>
        <v>0</v>
      </c>
      <c r="JH76" s="109">
        <f t="shared" si="925"/>
        <v>0</v>
      </c>
      <c r="JI76" s="109">
        <f t="shared" si="925"/>
        <v>0</v>
      </c>
      <c r="JJ76" s="109">
        <f t="shared" si="925"/>
        <v>0</v>
      </c>
      <c r="JK76" s="109">
        <f t="shared" si="925"/>
        <v>0</v>
      </c>
      <c r="JL76" s="109">
        <f t="shared" ref="JL76:MC77" si="926">JL77</f>
        <v>0</v>
      </c>
      <c r="JM76" s="109">
        <f t="shared" si="926"/>
        <v>0</v>
      </c>
      <c r="JN76" s="109">
        <f t="shared" si="926"/>
        <v>0</v>
      </c>
      <c r="JO76" s="109">
        <f t="shared" si="926"/>
        <v>0</v>
      </c>
      <c r="JP76" s="109">
        <f t="shared" si="926"/>
        <v>0</v>
      </c>
      <c r="JQ76" s="109">
        <f t="shared" si="926"/>
        <v>0</v>
      </c>
      <c r="JR76" s="109">
        <f t="shared" si="926"/>
        <v>0</v>
      </c>
      <c r="JS76" s="109">
        <f t="shared" si="926"/>
        <v>0</v>
      </c>
      <c r="JT76" s="109">
        <f t="shared" si="926"/>
        <v>0</v>
      </c>
      <c r="JU76" s="109">
        <f t="shared" si="926"/>
        <v>0</v>
      </c>
      <c r="JV76" s="109">
        <f t="shared" si="926"/>
        <v>0</v>
      </c>
      <c r="JW76" s="109">
        <f t="shared" si="926"/>
        <v>0</v>
      </c>
      <c r="JX76" s="109">
        <f t="shared" si="926"/>
        <v>0</v>
      </c>
      <c r="JY76" s="109">
        <f t="shared" si="926"/>
        <v>0</v>
      </c>
      <c r="JZ76" s="109">
        <f t="shared" si="926"/>
        <v>0</v>
      </c>
      <c r="KA76" s="109">
        <f t="shared" si="926"/>
        <v>0</v>
      </c>
      <c r="KB76" s="109">
        <f t="shared" si="926"/>
        <v>0</v>
      </c>
      <c r="KC76" s="109">
        <f t="shared" si="926"/>
        <v>0</v>
      </c>
      <c r="KD76" s="109">
        <f t="shared" si="926"/>
        <v>0</v>
      </c>
      <c r="KE76" s="109">
        <f t="shared" si="926"/>
        <v>0</v>
      </c>
      <c r="KF76" s="109">
        <f t="shared" si="926"/>
        <v>0</v>
      </c>
      <c r="KG76" s="109">
        <f t="shared" si="926"/>
        <v>0</v>
      </c>
      <c r="KH76" s="109">
        <f t="shared" si="926"/>
        <v>0</v>
      </c>
      <c r="KI76" s="109">
        <f t="shared" si="926"/>
        <v>0</v>
      </c>
      <c r="KJ76" s="109">
        <f t="shared" si="926"/>
        <v>0</v>
      </c>
      <c r="KK76" s="109">
        <f t="shared" si="926"/>
        <v>0</v>
      </c>
      <c r="KL76" s="109">
        <f t="shared" si="926"/>
        <v>0</v>
      </c>
      <c r="KM76" s="109">
        <f t="shared" si="926"/>
        <v>0</v>
      </c>
      <c r="KN76" s="109">
        <f t="shared" si="926"/>
        <v>0</v>
      </c>
      <c r="KO76" s="109">
        <f t="shared" si="926"/>
        <v>0</v>
      </c>
      <c r="KP76" s="109">
        <f t="shared" si="926"/>
        <v>0</v>
      </c>
      <c r="KQ76" s="109">
        <f t="shared" si="926"/>
        <v>0</v>
      </c>
      <c r="KR76" s="109">
        <f t="shared" si="926"/>
        <v>0</v>
      </c>
      <c r="KS76" s="109">
        <f t="shared" si="926"/>
        <v>0</v>
      </c>
      <c r="KT76" s="109">
        <f t="shared" si="926"/>
        <v>0</v>
      </c>
      <c r="KU76" s="109">
        <f t="shared" si="926"/>
        <v>0</v>
      </c>
      <c r="KV76" s="109">
        <f t="shared" si="926"/>
        <v>0</v>
      </c>
      <c r="KW76" s="109">
        <f t="shared" si="926"/>
        <v>0</v>
      </c>
      <c r="KX76" s="109">
        <f t="shared" si="926"/>
        <v>0</v>
      </c>
      <c r="KY76" s="109">
        <f t="shared" si="926"/>
        <v>0</v>
      </c>
      <c r="KZ76" s="109">
        <f t="shared" si="926"/>
        <v>0</v>
      </c>
      <c r="LA76" s="109">
        <f t="shared" si="926"/>
        <v>0</v>
      </c>
      <c r="LB76" s="109">
        <f t="shared" si="926"/>
        <v>0</v>
      </c>
      <c r="LC76" s="109">
        <f t="shared" si="926"/>
        <v>0</v>
      </c>
      <c r="LD76" s="109">
        <f t="shared" si="926"/>
        <v>0</v>
      </c>
      <c r="LE76" s="109">
        <f t="shared" si="926"/>
        <v>0</v>
      </c>
      <c r="LF76" s="109">
        <f t="shared" si="926"/>
        <v>0</v>
      </c>
      <c r="LG76" s="109">
        <f t="shared" si="926"/>
        <v>0</v>
      </c>
      <c r="LH76" s="109">
        <f t="shared" si="926"/>
        <v>0</v>
      </c>
      <c r="LI76" s="109">
        <f t="shared" si="926"/>
        <v>0</v>
      </c>
      <c r="LJ76" s="109">
        <f t="shared" si="926"/>
        <v>0</v>
      </c>
      <c r="LK76" s="109">
        <f t="shared" si="926"/>
        <v>0</v>
      </c>
      <c r="LL76" s="109">
        <f t="shared" si="926"/>
        <v>0</v>
      </c>
      <c r="LM76" s="109">
        <f t="shared" si="926"/>
        <v>0</v>
      </c>
      <c r="LN76" s="109">
        <f t="shared" si="926"/>
        <v>0</v>
      </c>
      <c r="LO76" s="109">
        <f t="shared" si="926"/>
        <v>0</v>
      </c>
      <c r="LP76" s="109">
        <f t="shared" si="926"/>
        <v>0</v>
      </c>
      <c r="LQ76" s="109">
        <f t="shared" si="926"/>
        <v>0</v>
      </c>
      <c r="LR76" s="109">
        <f t="shared" si="926"/>
        <v>0</v>
      </c>
      <c r="LS76" s="109">
        <f t="shared" si="926"/>
        <v>0</v>
      </c>
      <c r="LT76" s="109">
        <f t="shared" si="926"/>
        <v>0</v>
      </c>
      <c r="LU76" s="109">
        <f t="shared" si="926"/>
        <v>0</v>
      </c>
      <c r="LV76" s="109">
        <f t="shared" si="926"/>
        <v>0</v>
      </c>
      <c r="LW76" s="109">
        <f t="shared" si="926"/>
        <v>0</v>
      </c>
      <c r="LX76" s="110">
        <f t="shared" si="96"/>
        <v>0</v>
      </c>
      <c r="LY76" s="109">
        <f t="shared" si="926"/>
        <v>0</v>
      </c>
      <c r="LZ76" s="109">
        <f t="shared" si="926"/>
        <v>0</v>
      </c>
      <c r="MA76" s="109">
        <f t="shared" si="926"/>
        <v>0</v>
      </c>
      <c r="MB76" s="109">
        <f t="shared" si="926"/>
        <v>0</v>
      </c>
      <c r="MC76" s="109">
        <f t="shared" si="926"/>
        <v>0</v>
      </c>
      <c r="MD76" s="109">
        <f t="shared" ref="MD76:NU77" si="927">MD77</f>
        <v>0</v>
      </c>
      <c r="ME76" s="109">
        <f t="shared" si="927"/>
        <v>0</v>
      </c>
      <c r="MF76" s="109">
        <f t="shared" si="927"/>
        <v>0</v>
      </c>
      <c r="MG76" s="109">
        <f t="shared" si="927"/>
        <v>0</v>
      </c>
      <c r="MH76" s="109">
        <f t="shared" si="927"/>
        <v>0</v>
      </c>
      <c r="MI76" s="109">
        <f t="shared" si="927"/>
        <v>0</v>
      </c>
      <c r="MJ76" s="109">
        <f t="shared" si="927"/>
        <v>0</v>
      </c>
      <c r="MK76" s="109">
        <f t="shared" si="927"/>
        <v>0</v>
      </c>
      <c r="ML76" s="109">
        <f t="shared" si="927"/>
        <v>0</v>
      </c>
      <c r="MM76" s="109">
        <f t="shared" si="927"/>
        <v>0</v>
      </c>
      <c r="MN76" s="109">
        <f t="shared" si="927"/>
        <v>0</v>
      </c>
      <c r="MO76" s="109">
        <f t="shared" si="927"/>
        <v>0</v>
      </c>
      <c r="MP76" s="109">
        <f t="shared" si="927"/>
        <v>0</v>
      </c>
      <c r="MQ76" s="109">
        <f t="shared" si="927"/>
        <v>0</v>
      </c>
      <c r="MR76" s="109">
        <f t="shared" si="927"/>
        <v>0</v>
      </c>
      <c r="MS76" s="109">
        <f t="shared" si="927"/>
        <v>0</v>
      </c>
      <c r="MT76" s="109">
        <f t="shared" si="927"/>
        <v>0</v>
      </c>
      <c r="MU76" s="109">
        <f t="shared" si="927"/>
        <v>0</v>
      </c>
      <c r="MV76" s="109">
        <f t="shared" si="927"/>
        <v>0</v>
      </c>
      <c r="MW76" s="109">
        <f t="shared" si="927"/>
        <v>0</v>
      </c>
      <c r="MX76" s="109">
        <f t="shared" si="927"/>
        <v>0</v>
      </c>
      <c r="MY76" s="109">
        <f t="shared" si="927"/>
        <v>0</v>
      </c>
      <c r="MZ76" s="109">
        <f t="shared" si="927"/>
        <v>0</v>
      </c>
      <c r="NA76" s="109">
        <f t="shared" si="927"/>
        <v>0</v>
      </c>
      <c r="NB76" s="109">
        <f t="shared" si="927"/>
        <v>0</v>
      </c>
      <c r="NC76" s="109">
        <f t="shared" si="927"/>
        <v>0</v>
      </c>
      <c r="ND76" s="109">
        <f t="shared" si="927"/>
        <v>0</v>
      </c>
      <c r="NE76" s="109">
        <f t="shared" si="927"/>
        <v>0</v>
      </c>
      <c r="NF76" s="109">
        <f t="shared" si="927"/>
        <v>0</v>
      </c>
      <c r="NG76" s="109">
        <f t="shared" si="927"/>
        <v>0</v>
      </c>
      <c r="NH76" s="109">
        <f t="shared" si="927"/>
        <v>0</v>
      </c>
      <c r="NI76" s="109">
        <f t="shared" si="927"/>
        <v>0</v>
      </c>
      <c r="NJ76" s="109">
        <f t="shared" si="927"/>
        <v>0</v>
      </c>
      <c r="NK76" s="109">
        <f t="shared" si="927"/>
        <v>0</v>
      </c>
      <c r="NL76" s="109">
        <f t="shared" si="927"/>
        <v>0</v>
      </c>
      <c r="NM76" s="109">
        <f t="shared" si="927"/>
        <v>0</v>
      </c>
      <c r="NN76" s="109">
        <f t="shared" si="927"/>
        <v>0</v>
      </c>
      <c r="NO76" s="109">
        <f t="shared" si="927"/>
        <v>0</v>
      </c>
      <c r="NP76" s="109">
        <f t="shared" si="927"/>
        <v>0</v>
      </c>
      <c r="NQ76" s="109">
        <f t="shared" si="927"/>
        <v>0</v>
      </c>
      <c r="NR76" s="109">
        <f t="shared" si="927"/>
        <v>0</v>
      </c>
      <c r="NS76" s="109">
        <f t="shared" si="927"/>
        <v>0</v>
      </c>
      <c r="NT76" s="109">
        <f t="shared" si="927"/>
        <v>0</v>
      </c>
      <c r="NU76" s="109">
        <f t="shared" si="927"/>
        <v>0</v>
      </c>
      <c r="NV76" s="28">
        <f t="shared" ref="NV76:OK77" si="928">NV77</f>
        <v>0</v>
      </c>
      <c r="NW76" s="28">
        <f t="shared" si="928"/>
        <v>0</v>
      </c>
      <c r="NX76" s="28">
        <f t="shared" si="928"/>
        <v>0</v>
      </c>
      <c r="NY76" s="20">
        <f t="shared" si="789"/>
        <v>0</v>
      </c>
      <c r="NZ76" s="28">
        <f t="shared" si="928"/>
        <v>0</v>
      </c>
      <c r="OA76" s="28">
        <f t="shared" si="928"/>
        <v>0</v>
      </c>
      <c r="OB76" s="28">
        <f t="shared" si="928"/>
        <v>0</v>
      </c>
      <c r="OC76" s="28">
        <f t="shared" si="928"/>
        <v>0</v>
      </c>
      <c r="OD76" s="130">
        <f t="shared" si="928"/>
        <v>0</v>
      </c>
      <c r="OE76" s="130">
        <f t="shared" si="928"/>
        <v>0</v>
      </c>
      <c r="OF76" s="130">
        <f t="shared" si="928"/>
        <v>0</v>
      </c>
      <c r="OG76" s="130">
        <f t="shared" si="928"/>
        <v>0</v>
      </c>
      <c r="OH76" s="130">
        <f t="shared" si="928"/>
        <v>0</v>
      </c>
      <c r="OI76" s="130">
        <f t="shared" si="928"/>
        <v>0</v>
      </c>
      <c r="OJ76" s="130">
        <f t="shared" si="928"/>
        <v>0</v>
      </c>
      <c r="OK76" s="130">
        <f t="shared" si="928"/>
        <v>0</v>
      </c>
      <c r="OL76" s="130">
        <f t="shared" ref="OL76:OQ77" si="929">OL77</f>
        <v>0</v>
      </c>
      <c r="OM76" s="130">
        <f t="shared" si="929"/>
        <v>0</v>
      </c>
      <c r="ON76" s="130">
        <f t="shared" si="929"/>
        <v>0</v>
      </c>
      <c r="OO76" s="130">
        <f t="shared" si="929"/>
        <v>0</v>
      </c>
      <c r="OP76" s="130">
        <f t="shared" si="929"/>
        <v>0</v>
      </c>
      <c r="OQ76" s="130">
        <f t="shared" si="929"/>
        <v>0</v>
      </c>
      <c r="OR76" s="22">
        <f t="shared" si="735"/>
        <v>0</v>
      </c>
      <c r="OS76" s="28">
        <f t="shared" ref="OS76:PH77" si="930">OS77</f>
        <v>0</v>
      </c>
      <c r="OT76" s="28">
        <f t="shared" si="930"/>
        <v>0</v>
      </c>
      <c r="OU76" s="28">
        <f t="shared" si="930"/>
        <v>0</v>
      </c>
      <c r="OV76" s="28">
        <f t="shared" si="930"/>
        <v>0</v>
      </c>
      <c r="OW76" s="28">
        <f t="shared" si="930"/>
        <v>0</v>
      </c>
      <c r="OX76" s="28">
        <f t="shared" ref="OX76:OX77" si="931">SUM(OS76:OW76)</f>
        <v>0</v>
      </c>
      <c r="OY76" s="28">
        <f t="shared" si="930"/>
        <v>0</v>
      </c>
      <c r="OZ76" s="28">
        <f t="shared" si="930"/>
        <v>0</v>
      </c>
      <c r="PA76" s="28">
        <f t="shared" si="930"/>
        <v>0</v>
      </c>
      <c r="PB76" s="34">
        <f t="shared" si="930"/>
        <v>0</v>
      </c>
      <c r="PC76" s="28">
        <f t="shared" si="930"/>
        <v>0</v>
      </c>
      <c r="PD76" s="28">
        <f t="shared" si="930"/>
        <v>0</v>
      </c>
      <c r="PE76" s="28">
        <f t="shared" si="930"/>
        <v>0</v>
      </c>
      <c r="PF76" s="34">
        <f t="shared" si="930"/>
        <v>0</v>
      </c>
      <c r="PG76" s="28">
        <f t="shared" si="930"/>
        <v>0</v>
      </c>
      <c r="PH76" s="28">
        <f t="shared" si="930"/>
        <v>0</v>
      </c>
      <c r="PI76" s="28">
        <f t="shared" ref="PI76:PX77" si="932">PI77</f>
        <v>0</v>
      </c>
      <c r="PJ76" s="34">
        <f t="shared" si="932"/>
        <v>0</v>
      </c>
      <c r="PK76" s="28">
        <f t="shared" si="932"/>
        <v>0</v>
      </c>
      <c r="PL76" s="28">
        <f t="shared" si="932"/>
        <v>0</v>
      </c>
      <c r="PM76" s="28">
        <f t="shared" si="932"/>
        <v>0</v>
      </c>
      <c r="PN76" s="34">
        <f t="shared" si="932"/>
        <v>0</v>
      </c>
      <c r="PO76" s="28">
        <f t="shared" si="932"/>
        <v>0</v>
      </c>
      <c r="PP76" s="28">
        <f t="shared" si="932"/>
        <v>0</v>
      </c>
      <c r="PQ76" s="28">
        <f t="shared" si="932"/>
        <v>0</v>
      </c>
      <c r="PR76" s="34">
        <f t="shared" si="932"/>
        <v>0</v>
      </c>
      <c r="PS76" s="28">
        <f t="shared" si="932"/>
        <v>0</v>
      </c>
      <c r="PT76" s="28">
        <f t="shared" si="932"/>
        <v>0</v>
      </c>
      <c r="PU76" s="28">
        <f t="shared" si="932"/>
        <v>0</v>
      </c>
      <c r="PV76" s="34">
        <f t="shared" si="932"/>
        <v>0</v>
      </c>
      <c r="PW76" s="28">
        <f t="shared" si="932"/>
        <v>0</v>
      </c>
      <c r="PX76" s="28">
        <f t="shared" si="932"/>
        <v>0</v>
      </c>
      <c r="PY76" s="28">
        <f t="shared" ref="PY76:QO77" si="933">PY77</f>
        <v>0</v>
      </c>
      <c r="PZ76" s="34">
        <f t="shared" si="933"/>
        <v>0</v>
      </c>
      <c r="QA76" s="28">
        <f t="shared" si="933"/>
        <v>0</v>
      </c>
      <c r="QB76" s="28">
        <f t="shared" si="933"/>
        <v>0</v>
      </c>
      <c r="QC76" s="28">
        <f t="shared" si="933"/>
        <v>0</v>
      </c>
      <c r="QD76" s="34">
        <v>0</v>
      </c>
      <c r="QE76" s="28">
        <f t="shared" si="933"/>
        <v>0</v>
      </c>
      <c r="QF76" s="109">
        <f t="shared" si="933"/>
        <v>0</v>
      </c>
      <c r="QG76" s="109">
        <f t="shared" si="933"/>
        <v>0</v>
      </c>
      <c r="QH76" s="109">
        <f t="shared" si="933"/>
        <v>0</v>
      </c>
      <c r="QI76" s="109">
        <f t="shared" si="933"/>
        <v>0</v>
      </c>
      <c r="QJ76" s="109">
        <f t="shared" si="933"/>
        <v>0</v>
      </c>
      <c r="QK76" s="109">
        <f t="shared" si="933"/>
        <v>0</v>
      </c>
      <c r="QL76" s="109">
        <f t="shared" si="933"/>
        <v>0</v>
      </c>
      <c r="QM76" s="109">
        <f t="shared" si="933"/>
        <v>0</v>
      </c>
      <c r="QN76" s="109">
        <f t="shared" si="933"/>
        <v>0</v>
      </c>
      <c r="QO76" s="109">
        <f t="shared" si="933"/>
        <v>0</v>
      </c>
      <c r="QP76" s="109">
        <f t="shared" ref="QP76:RE77" si="934">QP77</f>
        <v>0</v>
      </c>
      <c r="QQ76" s="109">
        <f t="shared" si="934"/>
        <v>0</v>
      </c>
      <c r="QR76" s="109">
        <f t="shared" si="934"/>
        <v>0</v>
      </c>
      <c r="QS76" s="109">
        <f t="shared" si="934"/>
        <v>0</v>
      </c>
      <c r="QT76" s="109">
        <f t="shared" si="934"/>
        <v>0</v>
      </c>
      <c r="QU76" s="109">
        <f t="shared" si="934"/>
        <v>0</v>
      </c>
      <c r="QV76" s="109">
        <f t="shared" si="934"/>
        <v>0</v>
      </c>
      <c r="QW76" s="109">
        <f t="shared" si="934"/>
        <v>0</v>
      </c>
      <c r="QX76" s="109">
        <f t="shared" si="934"/>
        <v>0</v>
      </c>
      <c r="QY76" s="109">
        <f t="shared" si="934"/>
        <v>0</v>
      </c>
      <c r="QZ76" s="109">
        <f t="shared" si="934"/>
        <v>0</v>
      </c>
      <c r="RA76" s="109">
        <f t="shared" si="934"/>
        <v>0</v>
      </c>
      <c r="RB76" s="109">
        <f t="shared" si="934"/>
        <v>0</v>
      </c>
      <c r="RC76" s="109">
        <f t="shared" si="934"/>
        <v>0</v>
      </c>
      <c r="RD76" s="109">
        <f t="shared" si="934"/>
        <v>0</v>
      </c>
      <c r="RE76" s="109">
        <f t="shared" si="934"/>
        <v>0</v>
      </c>
      <c r="RF76" s="109">
        <f t="shared" ref="RF76:RU77" si="935">RF77</f>
        <v>0</v>
      </c>
      <c r="RG76" s="109">
        <f t="shared" si="935"/>
        <v>0</v>
      </c>
      <c r="RH76" s="109">
        <f t="shared" si="935"/>
        <v>0</v>
      </c>
      <c r="RI76" s="109">
        <f t="shared" si="935"/>
        <v>0</v>
      </c>
      <c r="RJ76" s="109">
        <f t="shared" si="935"/>
        <v>0</v>
      </c>
      <c r="RK76" s="109">
        <f t="shared" si="935"/>
        <v>0</v>
      </c>
      <c r="RL76" s="109">
        <f t="shared" si="935"/>
        <v>0</v>
      </c>
      <c r="RM76" s="109">
        <f t="shared" si="935"/>
        <v>0</v>
      </c>
      <c r="RN76" s="109">
        <f t="shared" si="935"/>
        <v>0</v>
      </c>
      <c r="RO76" s="109">
        <f t="shared" si="935"/>
        <v>0</v>
      </c>
      <c r="RP76" s="109">
        <f t="shared" si="935"/>
        <v>0</v>
      </c>
      <c r="RQ76" s="109">
        <f t="shared" si="935"/>
        <v>0</v>
      </c>
      <c r="RR76" s="109">
        <f t="shared" si="935"/>
        <v>0</v>
      </c>
      <c r="RS76" s="109">
        <f t="shared" si="935"/>
        <v>0</v>
      </c>
      <c r="RT76" s="109">
        <f t="shared" si="935"/>
        <v>0</v>
      </c>
      <c r="RU76" s="109">
        <f t="shared" si="935"/>
        <v>0</v>
      </c>
      <c r="RV76" s="109">
        <f t="shared" ref="RV76:SK77" si="936">RV77</f>
        <v>0</v>
      </c>
      <c r="RW76" s="109">
        <f t="shared" si="936"/>
        <v>0</v>
      </c>
      <c r="RX76" s="109">
        <f t="shared" si="936"/>
        <v>0</v>
      </c>
      <c r="RY76" s="109">
        <f t="shared" si="936"/>
        <v>0</v>
      </c>
      <c r="RZ76" s="109">
        <f t="shared" si="936"/>
        <v>0</v>
      </c>
      <c r="SA76" s="109">
        <f t="shared" si="936"/>
        <v>0</v>
      </c>
      <c r="SB76" s="109">
        <f t="shared" si="936"/>
        <v>0</v>
      </c>
      <c r="SC76" s="109">
        <f t="shared" si="936"/>
        <v>0</v>
      </c>
      <c r="SD76" s="109">
        <f t="shared" si="936"/>
        <v>0</v>
      </c>
      <c r="SE76" s="109">
        <f t="shared" si="936"/>
        <v>0</v>
      </c>
      <c r="SF76" s="109">
        <f t="shared" si="936"/>
        <v>0</v>
      </c>
      <c r="SG76" s="109">
        <f t="shared" si="936"/>
        <v>0</v>
      </c>
      <c r="SH76" s="109">
        <f t="shared" si="936"/>
        <v>0</v>
      </c>
      <c r="SI76" s="109">
        <f t="shared" si="936"/>
        <v>0</v>
      </c>
      <c r="SJ76" s="109">
        <f t="shared" si="936"/>
        <v>0</v>
      </c>
      <c r="SK76" s="109">
        <f t="shared" si="936"/>
        <v>0</v>
      </c>
      <c r="SL76" s="109">
        <f t="shared" ref="SL76:TO77" si="937">SL77</f>
        <v>0</v>
      </c>
      <c r="SM76" s="109">
        <f t="shared" si="937"/>
        <v>0</v>
      </c>
      <c r="SN76" s="109">
        <f t="shared" si="937"/>
        <v>0</v>
      </c>
      <c r="SO76" s="109">
        <f t="shared" si="937"/>
        <v>0</v>
      </c>
      <c r="SP76" s="109">
        <f t="shared" si="937"/>
        <v>0</v>
      </c>
      <c r="SQ76" s="109">
        <f t="shared" si="937"/>
        <v>0</v>
      </c>
      <c r="SR76" s="109">
        <f t="shared" si="937"/>
        <v>0</v>
      </c>
      <c r="SS76" s="109">
        <f t="shared" si="937"/>
        <v>0</v>
      </c>
      <c r="ST76" s="109">
        <f t="shared" si="937"/>
        <v>0</v>
      </c>
      <c r="SU76" s="109">
        <f t="shared" si="937"/>
        <v>0</v>
      </c>
      <c r="SV76" s="109">
        <f t="shared" si="937"/>
        <v>0</v>
      </c>
      <c r="SW76" s="109">
        <f t="shared" si="937"/>
        <v>0</v>
      </c>
      <c r="SX76" s="109">
        <f t="shared" si="937"/>
        <v>0</v>
      </c>
      <c r="SY76" s="109">
        <f t="shared" si="937"/>
        <v>0</v>
      </c>
      <c r="SZ76" s="109">
        <f t="shared" si="937"/>
        <v>0</v>
      </c>
      <c r="TA76" s="109">
        <f t="shared" si="937"/>
        <v>0</v>
      </c>
      <c r="TB76" s="109">
        <f t="shared" si="937"/>
        <v>0</v>
      </c>
      <c r="TC76" s="40">
        <f t="shared" si="937"/>
        <v>0</v>
      </c>
      <c r="TD76" s="41"/>
      <c r="TE76" s="41"/>
      <c r="TF76" s="109">
        <f t="shared" si="937"/>
        <v>0</v>
      </c>
      <c r="TG76" s="109">
        <f t="shared" si="937"/>
        <v>0</v>
      </c>
      <c r="TH76" s="28">
        <f t="shared" si="937"/>
        <v>0</v>
      </c>
      <c r="TI76" s="28">
        <f t="shared" si="937"/>
        <v>0</v>
      </c>
      <c r="TJ76" s="28">
        <f t="shared" si="937"/>
        <v>0</v>
      </c>
      <c r="TK76" s="28">
        <f t="shared" si="937"/>
        <v>0</v>
      </c>
      <c r="TL76" s="28">
        <f t="shared" si="937"/>
        <v>0</v>
      </c>
      <c r="TM76" s="28">
        <f t="shared" si="937"/>
        <v>0</v>
      </c>
      <c r="TN76" s="28">
        <f t="shared" si="937"/>
        <v>0</v>
      </c>
      <c r="TO76" s="28">
        <f t="shared" si="937"/>
        <v>0</v>
      </c>
      <c r="TP76" s="109">
        <f t="shared" ref="TP76:UC77" si="938">TP77</f>
        <v>0</v>
      </c>
      <c r="TQ76" s="109">
        <f t="shared" si="938"/>
        <v>0</v>
      </c>
      <c r="TR76" s="109">
        <f t="shared" si="938"/>
        <v>0</v>
      </c>
      <c r="TS76" s="28">
        <f t="shared" si="938"/>
        <v>0</v>
      </c>
      <c r="TT76" s="28">
        <f t="shared" si="938"/>
        <v>0</v>
      </c>
      <c r="TU76" s="28">
        <f t="shared" si="938"/>
        <v>0</v>
      </c>
      <c r="TV76" s="111">
        <f t="shared" si="938"/>
        <v>0</v>
      </c>
      <c r="TW76" s="28">
        <f t="shared" si="938"/>
        <v>0</v>
      </c>
      <c r="TX76" s="28">
        <f t="shared" si="938"/>
        <v>0</v>
      </c>
      <c r="TY76" s="28">
        <f t="shared" si="938"/>
        <v>0</v>
      </c>
      <c r="TZ76" s="112">
        <f t="shared" si="938"/>
        <v>0</v>
      </c>
      <c r="UA76" s="111">
        <f t="shared" si="938"/>
        <v>0</v>
      </c>
      <c r="UB76" s="28">
        <f t="shared" si="938"/>
        <v>0</v>
      </c>
      <c r="UC76" s="112">
        <f t="shared" si="938"/>
        <v>0</v>
      </c>
    </row>
    <row r="77" spans="1:549" hidden="1" x14ac:dyDescent="0.25">
      <c r="A77" s="29">
        <v>120504</v>
      </c>
      <c r="B77" s="30"/>
      <c r="C77" s="31"/>
      <c r="D77" s="32"/>
      <c r="E77" s="42">
        <f>E78</f>
        <v>0</v>
      </c>
      <c r="F77" s="42">
        <f t="shared" si="922"/>
        <v>0</v>
      </c>
      <c r="G77" s="42">
        <f t="shared" si="922"/>
        <v>0</v>
      </c>
      <c r="H77" s="42">
        <f t="shared" si="922"/>
        <v>0</v>
      </c>
      <c r="I77" s="42">
        <f t="shared" si="922"/>
        <v>0</v>
      </c>
      <c r="J77" s="42">
        <f t="shared" si="922"/>
        <v>0</v>
      </c>
      <c r="K77" s="42">
        <f t="shared" si="922"/>
        <v>0</v>
      </c>
      <c r="L77" s="42">
        <f t="shared" si="922"/>
        <v>0</v>
      </c>
      <c r="M77" s="42">
        <f t="shared" si="922"/>
        <v>0</v>
      </c>
      <c r="N77" s="42">
        <f t="shared" si="922"/>
        <v>0</v>
      </c>
      <c r="O77" s="42">
        <f t="shared" si="922"/>
        <v>0</v>
      </c>
      <c r="P77" s="42">
        <f t="shared" si="922"/>
        <v>0</v>
      </c>
      <c r="Q77" s="42">
        <f t="shared" si="922"/>
        <v>0</v>
      </c>
      <c r="R77" s="42">
        <f t="shared" si="922"/>
        <v>0</v>
      </c>
      <c r="S77" s="42">
        <f t="shared" si="922"/>
        <v>0</v>
      </c>
      <c r="T77" s="42">
        <f t="shared" si="922"/>
        <v>0</v>
      </c>
      <c r="U77" s="42">
        <f t="shared" si="922"/>
        <v>0</v>
      </c>
      <c r="V77" s="42">
        <f t="shared" si="922"/>
        <v>0</v>
      </c>
      <c r="W77" s="42">
        <f t="shared" si="922"/>
        <v>0</v>
      </c>
      <c r="X77" s="42">
        <f t="shared" si="922"/>
        <v>0</v>
      </c>
      <c r="Y77" s="42">
        <f t="shared" si="922"/>
        <v>0</v>
      </c>
      <c r="Z77" s="42">
        <f t="shared" si="922"/>
        <v>0</v>
      </c>
      <c r="AA77" s="42">
        <f t="shared" si="922"/>
        <v>0</v>
      </c>
      <c r="AB77" s="42">
        <f t="shared" si="922"/>
        <v>0</v>
      </c>
      <c r="AC77" s="42">
        <f t="shared" si="922"/>
        <v>0</v>
      </c>
      <c r="AD77" s="42">
        <f t="shared" si="922"/>
        <v>0</v>
      </c>
      <c r="AE77" s="42">
        <f t="shared" si="922"/>
        <v>0</v>
      </c>
      <c r="AF77" s="42">
        <f t="shared" si="922"/>
        <v>0</v>
      </c>
      <c r="AG77" s="42">
        <f t="shared" si="922"/>
        <v>0</v>
      </c>
      <c r="AH77" s="42">
        <f t="shared" si="922"/>
        <v>0</v>
      </c>
      <c r="AI77" s="42">
        <f t="shared" si="922"/>
        <v>0</v>
      </c>
      <c r="AJ77" s="42">
        <f t="shared" si="922"/>
        <v>0</v>
      </c>
      <c r="AK77" s="42">
        <f t="shared" si="922"/>
        <v>0</v>
      </c>
      <c r="AL77" s="42">
        <f t="shared" si="922"/>
        <v>0</v>
      </c>
      <c r="AM77" s="42">
        <f t="shared" si="922"/>
        <v>0</v>
      </c>
      <c r="AN77" s="42">
        <f t="shared" si="922"/>
        <v>0</v>
      </c>
      <c r="AO77" s="42">
        <f t="shared" si="922"/>
        <v>0</v>
      </c>
      <c r="AP77" s="42">
        <f t="shared" si="922"/>
        <v>0</v>
      </c>
      <c r="AQ77" s="42">
        <f t="shared" si="922"/>
        <v>0</v>
      </c>
      <c r="AR77" s="42">
        <f t="shared" si="922"/>
        <v>0</v>
      </c>
      <c r="AS77" s="42">
        <f t="shared" si="922"/>
        <v>0</v>
      </c>
      <c r="AT77" s="42">
        <f t="shared" si="922"/>
        <v>0</v>
      </c>
      <c r="AU77" s="42">
        <f t="shared" si="922"/>
        <v>0</v>
      </c>
      <c r="AV77" s="42">
        <f t="shared" si="922"/>
        <v>0</v>
      </c>
      <c r="AW77" s="42">
        <f t="shared" si="922"/>
        <v>0</v>
      </c>
      <c r="AX77" s="42">
        <f t="shared" si="922"/>
        <v>0</v>
      </c>
      <c r="AY77" s="42">
        <f t="shared" si="922"/>
        <v>0</v>
      </c>
      <c r="AZ77" s="42">
        <f t="shared" si="922"/>
        <v>0</v>
      </c>
      <c r="BA77" s="42">
        <f t="shared" si="922"/>
        <v>0</v>
      </c>
      <c r="BB77" s="42">
        <f t="shared" si="922"/>
        <v>0</v>
      </c>
      <c r="BC77" s="42">
        <f t="shared" si="922"/>
        <v>0</v>
      </c>
      <c r="BD77" s="42">
        <f t="shared" si="922"/>
        <v>0</v>
      </c>
      <c r="BE77" s="42">
        <f t="shared" si="922"/>
        <v>0</v>
      </c>
      <c r="BF77" s="42">
        <f t="shared" si="922"/>
        <v>0</v>
      </c>
      <c r="BG77" s="42">
        <f t="shared" si="922"/>
        <v>0</v>
      </c>
      <c r="BH77" s="42">
        <f t="shared" si="922"/>
        <v>0</v>
      </c>
      <c r="BI77" s="42">
        <f t="shared" si="922"/>
        <v>0</v>
      </c>
      <c r="BJ77" s="42">
        <f t="shared" si="922"/>
        <v>0</v>
      </c>
      <c r="BK77" s="42">
        <f t="shared" si="922"/>
        <v>0</v>
      </c>
      <c r="BL77" s="42">
        <f t="shared" si="922"/>
        <v>0</v>
      </c>
      <c r="BM77" s="42">
        <f t="shared" si="922"/>
        <v>0</v>
      </c>
      <c r="BN77" s="42">
        <f t="shared" si="922"/>
        <v>0</v>
      </c>
      <c r="BO77" s="42">
        <f t="shared" si="922"/>
        <v>0</v>
      </c>
      <c r="BP77" s="42">
        <f t="shared" si="922"/>
        <v>0</v>
      </c>
      <c r="BQ77" s="42">
        <f t="shared" si="922"/>
        <v>0</v>
      </c>
      <c r="BR77" s="42">
        <f t="shared" si="923"/>
        <v>0</v>
      </c>
      <c r="BS77" s="42">
        <f t="shared" si="923"/>
        <v>0</v>
      </c>
      <c r="BT77" s="42">
        <f t="shared" si="923"/>
        <v>0</v>
      </c>
      <c r="BU77" s="42">
        <f t="shared" si="923"/>
        <v>0</v>
      </c>
      <c r="BV77" s="42">
        <f t="shared" si="923"/>
        <v>0</v>
      </c>
      <c r="BW77" s="42">
        <f t="shared" si="923"/>
        <v>0</v>
      </c>
      <c r="BX77" s="42">
        <f t="shared" si="923"/>
        <v>0</v>
      </c>
      <c r="BY77" s="42">
        <f t="shared" si="923"/>
        <v>0</v>
      </c>
      <c r="BZ77" s="42">
        <f t="shared" si="923"/>
        <v>0</v>
      </c>
      <c r="CA77" s="42">
        <f t="shared" si="923"/>
        <v>0</v>
      </c>
      <c r="CB77" s="42">
        <f t="shared" si="923"/>
        <v>0</v>
      </c>
      <c r="CC77" s="42">
        <f t="shared" si="923"/>
        <v>0</v>
      </c>
      <c r="CD77" s="42">
        <f t="shared" si="923"/>
        <v>0</v>
      </c>
      <c r="CE77" s="42">
        <f t="shared" si="923"/>
        <v>0</v>
      </c>
      <c r="CF77" s="42">
        <f t="shared" si="923"/>
        <v>0</v>
      </c>
      <c r="CG77" s="42">
        <f t="shared" si="923"/>
        <v>0</v>
      </c>
      <c r="CH77" s="42">
        <f t="shared" si="923"/>
        <v>0</v>
      </c>
      <c r="CI77" s="42">
        <f t="shared" si="923"/>
        <v>0</v>
      </c>
      <c r="CJ77" s="42">
        <f t="shared" si="923"/>
        <v>0</v>
      </c>
      <c r="CK77" s="42">
        <f t="shared" si="923"/>
        <v>0</v>
      </c>
      <c r="CL77" s="42">
        <f t="shared" si="923"/>
        <v>0</v>
      </c>
      <c r="CM77" s="42">
        <f t="shared" si="923"/>
        <v>0</v>
      </c>
      <c r="CN77" s="42">
        <f t="shared" si="923"/>
        <v>0</v>
      </c>
      <c r="CO77" s="42">
        <f t="shared" si="923"/>
        <v>0</v>
      </c>
      <c r="CP77" s="42">
        <f t="shared" si="923"/>
        <v>0</v>
      </c>
      <c r="CQ77" s="42">
        <f t="shared" si="923"/>
        <v>0</v>
      </c>
      <c r="CR77" s="42">
        <f t="shared" si="923"/>
        <v>0</v>
      </c>
      <c r="CS77" s="42">
        <f t="shared" si="923"/>
        <v>0</v>
      </c>
      <c r="CT77" s="42">
        <f t="shared" si="923"/>
        <v>0</v>
      </c>
      <c r="CU77" s="42">
        <f t="shared" si="923"/>
        <v>0</v>
      </c>
      <c r="CV77" s="42">
        <f t="shared" si="923"/>
        <v>0</v>
      </c>
      <c r="CW77" s="42">
        <f t="shared" si="923"/>
        <v>0</v>
      </c>
      <c r="CX77" s="42">
        <f t="shared" si="923"/>
        <v>0</v>
      </c>
      <c r="CY77" s="42">
        <f t="shared" si="923"/>
        <v>0</v>
      </c>
      <c r="CZ77" s="42">
        <f t="shared" si="923"/>
        <v>0</v>
      </c>
      <c r="DA77" s="42">
        <f t="shared" si="923"/>
        <v>0</v>
      </c>
      <c r="DB77" s="42">
        <f t="shared" si="923"/>
        <v>0</v>
      </c>
      <c r="DC77" s="42">
        <f t="shared" si="923"/>
        <v>0</v>
      </c>
      <c r="DD77" s="42">
        <f t="shared" si="923"/>
        <v>0</v>
      </c>
      <c r="DE77" s="42">
        <f t="shared" si="923"/>
        <v>0</v>
      </c>
      <c r="DF77" s="42">
        <f t="shared" si="923"/>
        <v>0</v>
      </c>
      <c r="DG77" s="42">
        <f t="shared" si="923"/>
        <v>0</v>
      </c>
      <c r="DH77" s="42">
        <f t="shared" si="923"/>
        <v>0</v>
      </c>
      <c r="DI77" s="42">
        <f t="shared" si="923"/>
        <v>0</v>
      </c>
      <c r="DJ77" s="42">
        <f t="shared" si="923"/>
        <v>0</v>
      </c>
      <c r="DK77" s="42">
        <f t="shared" si="923"/>
        <v>0</v>
      </c>
      <c r="DL77" s="42">
        <f t="shared" si="923"/>
        <v>0</v>
      </c>
      <c r="DM77" s="42">
        <f t="shared" si="923"/>
        <v>0</v>
      </c>
      <c r="DN77" s="42">
        <f t="shared" si="923"/>
        <v>0</v>
      </c>
      <c r="DO77" s="42">
        <f t="shared" si="923"/>
        <v>0</v>
      </c>
      <c r="DP77" s="42">
        <f t="shared" si="923"/>
        <v>0</v>
      </c>
      <c r="DQ77" s="42">
        <f t="shared" si="923"/>
        <v>0</v>
      </c>
      <c r="DR77" s="42">
        <f t="shared" si="923"/>
        <v>0</v>
      </c>
      <c r="DS77" s="42">
        <f t="shared" si="923"/>
        <v>0</v>
      </c>
      <c r="DT77" s="42">
        <f t="shared" si="923"/>
        <v>0</v>
      </c>
      <c r="DU77" s="42">
        <f t="shared" si="923"/>
        <v>0</v>
      </c>
      <c r="DV77" s="42">
        <f t="shared" si="923"/>
        <v>0</v>
      </c>
      <c r="DW77" s="42">
        <f t="shared" si="923"/>
        <v>0</v>
      </c>
      <c r="DX77" s="42">
        <f t="shared" si="923"/>
        <v>0</v>
      </c>
      <c r="DY77" s="42">
        <f t="shared" si="923"/>
        <v>0</v>
      </c>
      <c r="DZ77" s="42">
        <f t="shared" si="923"/>
        <v>0</v>
      </c>
      <c r="EA77" s="42">
        <f t="shared" si="923"/>
        <v>0</v>
      </c>
      <c r="EB77" s="42">
        <f t="shared" si="923"/>
        <v>0</v>
      </c>
      <c r="EC77" s="42">
        <f t="shared" si="923"/>
        <v>0</v>
      </c>
      <c r="ED77" s="42">
        <f t="shared" si="924"/>
        <v>0</v>
      </c>
      <c r="EE77" s="42">
        <f t="shared" si="924"/>
        <v>0</v>
      </c>
      <c r="EF77" s="42">
        <f t="shared" si="924"/>
        <v>0</v>
      </c>
      <c r="EG77" s="42">
        <f t="shared" si="924"/>
        <v>0</v>
      </c>
      <c r="EH77" s="42">
        <f t="shared" si="924"/>
        <v>0</v>
      </c>
      <c r="EI77" s="42">
        <f t="shared" si="924"/>
        <v>0</v>
      </c>
      <c r="EJ77" s="42">
        <f t="shared" si="924"/>
        <v>0</v>
      </c>
      <c r="EK77" s="42">
        <f t="shared" si="924"/>
        <v>0</v>
      </c>
      <c r="EL77" s="42">
        <f t="shared" si="924"/>
        <v>0</v>
      </c>
      <c r="EM77" s="42">
        <f t="shared" si="924"/>
        <v>0</v>
      </c>
      <c r="EN77" s="42">
        <f t="shared" si="924"/>
        <v>0</v>
      </c>
      <c r="EO77" s="42">
        <f t="shared" si="924"/>
        <v>0</v>
      </c>
      <c r="EP77" s="42">
        <f t="shared" si="924"/>
        <v>0</v>
      </c>
      <c r="EQ77" s="42">
        <f t="shared" si="924"/>
        <v>0</v>
      </c>
      <c r="ER77" s="42">
        <f t="shared" si="924"/>
        <v>0</v>
      </c>
      <c r="ES77" s="42">
        <f t="shared" si="924"/>
        <v>0</v>
      </c>
      <c r="ET77" s="42">
        <f t="shared" si="924"/>
        <v>0</v>
      </c>
      <c r="EU77" s="42">
        <f t="shared" si="924"/>
        <v>0</v>
      </c>
      <c r="EV77" s="42">
        <f t="shared" si="924"/>
        <v>0</v>
      </c>
      <c r="EW77" s="42">
        <f t="shared" si="924"/>
        <v>0</v>
      </c>
      <c r="EX77" s="42">
        <f t="shared" si="924"/>
        <v>0</v>
      </c>
      <c r="EY77" s="42">
        <f t="shared" si="924"/>
        <v>0</v>
      </c>
      <c r="EZ77" s="42">
        <f t="shared" si="924"/>
        <v>0</v>
      </c>
      <c r="FA77" s="42">
        <f t="shared" si="924"/>
        <v>0</v>
      </c>
      <c r="FB77" s="42">
        <f t="shared" si="924"/>
        <v>0</v>
      </c>
      <c r="FC77" s="42">
        <f t="shared" si="924"/>
        <v>0</v>
      </c>
      <c r="FD77" s="42">
        <f t="shared" si="924"/>
        <v>0</v>
      </c>
      <c r="FE77" s="42">
        <f t="shared" si="924"/>
        <v>0</v>
      </c>
      <c r="FF77" s="42">
        <f t="shared" si="924"/>
        <v>0</v>
      </c>
      <c r="FG77" s="42">
        <f t="shared" si="924"/>
        <v>0</v>
      </c>
      <c r="FH77" s="42">
        <f t="shared" si="924"/>
        <v>0</v>
      </c>
      <c r="FI77" s="42">
        <f t="shared" si="924"/>
        <v>0</v>
      </c>
      <c r="FJ77" s="42">
        <f t="shared" si="924"/>
        <v>0</v>
      </c>
      <c r="FK77" s="42">
        <f t="shared" si="924"/>
        <v>0</v>
      </c>
      <c r="FL77" s="42">
        <f t="shared" si="924"/>
        <v>0</v>
      </c>
      <c r="FM77" s="42">
        <f t="shared" si="924"/>
        <v>0</v>
      </c>
      <c r="FN77" s="42">
        <f t="shared" si="924"/>
        <v>0</v>
      </c>
      <c r="FO77" s="42">
        <f t="shared" si="924"/>
        <v>0</v>
      </c>
      <c r="FP77" s="42">
        <f t="shared" si="924"/>
        <v>0</v>
      </c>
      <c r="FQ77" s="42">
        <f t="shared" si="924"/>
        <v>0</v>
      </c>
      <c r="FR77" s="42">
        <f t="shared" si="924"/>
        <v>0</v>
      </c>
      <c r="FS77" s="42">
        <f t="shared" si="924"/>
        <v>0</v>
      </c>
      <c r="FT77" s="42">
        <f t="shared" si="924"/>
        <v>0</v>
      </c>
      <c r="FU77" s="42">
        <f t="shared" si="924"/>
        <v>0</v>
      </c>
      <c r="FV77" s="42">
        <f t="shared" si="924"/>
        <v>0</v>
      </c>
      <c r="FW77" s="42">
        <f t="shared" si="924"/>
        <v>0</v>
      </c>
      <c r="FX77" s="42">
        <f t="shared" si="924"/>
        <v>0</v>
      </c>
      <c r="FY77" s="42">
        <f t="shared" si="924"/>
        <v>0</v>
      </c>
      <c r="FZ77" s="42">
        <f t="shared" si="924"/>
        <v>0</v>
      </c>
      <c r="GA77" s="42">
        <f t="shared" si="924"/>
        <v>0</v>
      </c>
      <c r="GB77" s="42">
        <f t="shared" si="924"/>
        <v>0</v>
      </c>
      <c r="GC77" s="42">
        <f t="shared" si="924"/>
        <v>0</v>
      </c>
      <c r="GD77" s="42">
        <f t="shared" si="924"/>
        <v>0</v>
      </c>
      <c r="GE77" s="42">
        <f t="shared" si="924"/>
        <v>0</v>
      </c>
      <c r="GF77" s="42">
        <f t="shared" si="924"/>
        <v>0</v>
      </c>
      <c r="GG77" s="40">
        <f t="shared" si="924"/>
        <v>0</v>
      </c>
      <c r="GH77" s="41"/>
      <c r="GI77" s="41"/>
      <c r="GJ77" s="42">
        <f t="shared" si="924"/>
        <v>0</v>
      </c>
      <c r="GK77" s="28">
        <f t="shared" si="924"/>
        <v>0</v>
      </c>
      <c r="GL77" s="28">
        <f t="shared" si="924"/>
        <v>0</v>
      </c>
      <c r="GM77" s="28">
        <f t="shared" si="924"/>
        <v>0</v>
      </c>
      <c r="GN77" s="20">
        <f t="shared" si="73"/>
        <v>0</v>
      </c>
      <c r="GO77" s="42">
        <f t="shared" si="924"/>
        <v>0</v>
      </c>
      <c r="GP77" s="42">
        <f t="shared" si="924"/>
        <v>0</v>
      </c>
      <c r="GQ77" s="42">
        <f t="shared" si="924"/>
        <v>0</v>
      </c>
      <c r="GR77" s="42">
        <f t="shared" si="924"/>
        <v>0</v>
      </c>
      <c r="GS77" s="42">
        <f t="shared" si="924"/>
        <v>0</v>
      </c>
      <c r="GT77" s="42">
        <f t="shared" si="924"/>
        <v>0</v>
      </c>
      <c r="GU77" s="42">
        <f t="shared" si="924"/>
        <v>0</v>
      </c>
      <c r="GV77" s="42">
        <f t="shared" si="925"/>
        <v>0</v>
      </c>
      <c r="GW77" s="42">
        <f t="shared" si="925"/>
        <v>0</v>
      </c>
      <c r="GX77" s="42">
        <f t="shared" si="925"/>
        <v>0</v>
      </c>
      <c r="GY77" s="42">
        <f t="shared" si="925"/>
        <v>0</v>
      </c>
      <c r="GZ77" s="42">
        <f t="shared" si="925"/>
        <v>0</v>
      </c>
      <c r="HA77" s="42">
        <f t="shared" si="925"/>
        <v>0</v>
      </c>
      <c r="HB77" s="42">
        <f t="shared" si="925"/>
        <v>0</v>
      </c>
      <c r="HC77" s="42">
        <f t="shared" si="925"/>
        <v>0</v>
      </c>
      <c r="HD77" s="42">
        <f t="shared" si="925"/>
        <v>0</v>
      </c>
      <c r="HE77" s="42">
        <f t="shared" si="925"/>
        <v>0</v>
      </c>
      <c r="HF77" s="42">
        <f t="shared" si="925"/>
        <v>0</v>
      </c>
      <c r="HG77" s="42">
        <f t="shared" si="925"/>
        <v>0</v>
      </c>
      <c r="HH77" s="42">
        <f t="shared" si="925"/>
        <v>0</v>
      </c>
      <c r="HI77" s="42">
        <f t="shared" si="925"/>
        <v>0</v>
      </c>
      <c r="HJ77" s="42">
        <f t="shared" si="925"/>
        <v>0</v>
      </c>
      <c r="HK77" s="42">
        <f t="shared" si="925"/>
        <v>0</v>
      </c>
      <c r="HL77" s="42">
        <f t="shared" si="925"/>
        <v>0</v>
      </c>
      <c r="HM77" s="42">
        <f t="shared" si="925"/>
        <v>0</v>
      </c>
      <c r="HN77" s="42">
        <f t="shared" si="925"/>
        <v>0</v>
      </c>
      <c r="HO77" s="42">
        <f t="shared" si="925"/>
        <v>0</v>
      </c>
      <c r="HP77" s="42">
        <f t="shared" si="925"/>
        <v>0</v>
      </c>
      <c r="HQ77" s="42">
        <f t="shared" si="925"/>
        <v>0</v>
      </c>
      <c r="HR77" s="42">
        <f t="shared" si="925"/>
        <v>0</v>
      </c>
      <c r="HS77" s="28">
        <f t="shared" si="925"/>
        <v>0</v>
      </c>
      <c r="HT77" s="28">
        <f t="shared" si="925"/>
        <v>0</v>
      </c>
      <c r="HU77" s="28">
        <f t="shared" si="925"/>
        <v>0</v>
      </c>
      <c r="HV77" s="20">
        <f t="shared" si="80"/>
        <v>0</v>
      </c>
      <c r="HW77" s="42">
        <f t="shared" si="925"/>
        <v>0</v>
      </c>
      <c r="HX77" s="42">
        <f t="shared" si="925"/>
        <v>0</v>
      </c>
      <c r="HY77" s="42">
        <f t="shared" si="925"/>
        <v>0</v>
      </c>
      <c r="HZ77" s="42">
        <f t="shared" si="925"/>
        <v>0</v>
      </c>
      <c r="IA77" s="42">
        <f t="shared" si="925"/>
        <v>0</v>
      </c>
      <c r="IB77" s="42">
        <f t="shared" si="925"/>
        <v>0</v>
      </c>
      <c r="IC77" s="42">
        <f t="shared" si="925"/>
        <v>0</v>
      </c>
      <c r="ID77" s="42">
        <f t="shared" si="925"/>
        <v>0</v>
      </c>
      <c r="IE77" s="42">
        <f t="shared" si="925"/>
        <v>0</v>
      </c>
      <c r="IF77" s="42">
        <f t="shared" si="925"/>
        <v>0</v>
      </c>
      <c r="IG77" s="42">
        <f t="shared" si="925"/>
        <v>0</v>
      </c>
      <c r="IH77" s="42">
        <f t="shared" si="925"/>
        <v>0</v>
      </c>
      <c r="II77" s="42">
        <f t="shared" si="925"/>
        <v>0</v>
      </c>
      <c r="IJ77" s="42">
        <f t="shared" si="925"/>
        <v>2</v>
      </c>
      <c r="IK77" s="42">
        <f t="shared" si="925"/>
        <v>0</v>
      </c>
      <c r="IL77" s="42">
        <f t="shared" si="925"/>
        <v>0</v>
      </c>
      <c r="IM77" s="42">
        <f t="shared" si="925"/>
        <v>0</v>
      </c>
      <c r="IN77" s="42">
        <f t="shared" si="925"/>
        <v>0</v>
      </c>
      <c r="IO77" s="42">
        <f t="shared" si="925"/>
        <v>0</v>
      </c>
      <c r="IP77" s="42">
        <f t="shared" si="925"/>
        <v>0</v>
      </c>
      <c r="IQ77" s="42">
        <f t="shared" si="925"/>
        <v>0</v>
      </c>
      <c r="IR77" s="42">
        <f t="shared" si="925"/>
        <v>0</v>
      </c>
      <c r="IS77" s="42">
        <f t="shared" si="925"/>
        <v>0</v>
      </c>
      <c r="IT77" s="42">
        <f t="shared" si="925"/>
        <v>0</v>
      </c>
      <c r="IU77" s="42">
        <f t="shared" si="925"/>
        <v>0</v>
      </c>
      <c r="IV77" s="42">
        <f t="shared" si="925"/>
        <v>0</v>
      </c>
      <c r="IW77" s="42">
        <f t="shared" si="925"/>
        <v>0</v>
      </c>
      <c r="IX77" s="42">
        <f t="shared" si="925"/>
        <v>0</v>
      </c>
      <c r="IY77" s="42">
        <f t="shared" si="925"/>
        <v>0</v>
      </c>
      <c r="IZ77" s="42">
        <f t="shared" si="925"/>
        <v>0</v>
      </c>
      <c r="JA77" s="42">
        <f t="shared" si="925"/>
        <v>0</v>
      </c>
      <c r="JB77" s="42">
        <f t="shared" si="925"/>
        <v>0</v>
      </c>
      <c r="JC77" s="42">
        <f t="shared" si="925"/>
        <v>0</v>
      </c>
      <c r="JD77" s="42">
        <f t="shared" si="925"/>
        <v>0</v>
      </c>
      <c r="JE77" s="42">
        <f t="shared" si="925"/>
        <v>0</v>
      </c>
      <c r="JF77" s="42">
        <f t="shared" si="925"/>
        <v>0</v>
      </c>
      <c r="JG77" s="42">
        <f t="shared" si="925"/>
        <v>0</v>
      </c>
      <c r="JH77" s="42">
        <f t="shared" si="925"/>
        <v>0</v>
      </c>
      <c r="JI77" s="42">
        <f t="shared" si="925"/>
        <v>0</v>
      </c>
      <c r="JJ77" s="42">
        <f t="shared" si="925"/>
        <v>0</v>
      </c>
      <c r="JK77" s="42">
        <f t="shared" si="925"/>
        <v>0</v>
      </c>
      <c r="JL77" s="42">
        <f t="shared" si="926"/>
        <v>0</v>
      </c>
      <c r="JM77" s="42">
        <f t="shared" si="926"/>
        <v>0</v>
      </c>
      <c r="JN77" s="42">
        <f t="shared" si="926"/>
        <v>0</v>
      </c>
      <c r="JO77" s="42">
        <f t="shared" si="926"/>
        <v>0</v>
      </c>
      <c r="JP77" s="42">
        <f t="shared" si="926"/>
        <v>0</v>
      </c>
      <c r="JQ77" s="42">
        <f t="shared" si="926"/>
        <v>0</v>
      </c>
      <c r="JR77" s="42">
        <f t="shared" si="926"/>
        <v>0</v>
      </c>
      <c r="JS77" s="42">
        <f t="shared" si="926"/>
        <v>0</v>
      </c>
      <c r="JT77" s="42">
        <f t="shared" si="926"/>
        <v>0</v>
      </c>
      <c r="JU77" s="42">
        <f t="shared" si="926"/>
        <v>0</v>
      </c>
      <c r="JV77" s="42">
        <f t="shared" si="926"/>
        <v>0</v>
      </c>
      <c r="JW77" s="42">
        <f t="shared" si="926"/>
        <v>0</v>
      </c>
      <c r="JX77" s="42">
        <f t="shared" si="926"/>
        <v>0</v>
      </c>
      <c r="JY77" s="42">
        <f t="shared" si="926"/>
        <v>0</v>
      </c>
      <c r="JZ77" s="42">
        <f t="shared" si="926"/>
        <v>0</v>
      </c>
      <c r="KA77" s="42">
        <f t="shared" si="926"/>
        <v>0</v>
      </c>
      <c r="KB77" s="42">
        <f t="shared" si="926"/>
        <v>0</v>
      </c>
      <c r="KC77" s="42">
        <f t="shared" si="926"/>
        <v>0</v>
      </c>
      <c r="KD77" s="42">
        <f t="shared" si="926"/>
        <v>0</v>
      </c>
      <c r="KE77" s="42">
        <f t="shared" si="926"/>
        <v>0</v>
      </c>
      <c r="KF77" s="42">
        <f t="shared" si="926"/>
        <v>0</v>
      </c>
      <c r="KG77" s="42">
        <f t="shared" si="926"/>
        <v>0</v>
      </c>
      <c r="KH77" s="42">
        <f t="shared" si="926"/>
        <v>0</v>
      </c>
      <c r="KI77" s="42">
        <f t="shared" si="926"/>
        <v>0</v>
      </c>
      <c r="KJ77" s="42">
        <f t="shared" si="926"/>
        <v>0</v>
      </c>
      <c r="KK77" s="42">
        <f t="shared" si="926"/>
        <v>0</v>
      </c>
      <c r="KL77" s="42">
        <f t="shared" si="926"/>
        <v>0</v>
      </c>
      <c r="KM77" s="42">
        <f t="shared" si="926"/>
        <v>0</v>
      </c>
      <c r="KN77" s="42">
        <f t="shared" si="926"/>
        <v>0</v>
      </c>
      <c r="KO77" s="42">
        <f t="shared" si="926"/>
        <v>0</v>
      </c>
      <c r="KP77" s="42">
        <f t="shared" si="926"/>
        <v>0</v>
      </c>
      <c r="KQ77" s="42">
        <f t="shared" si="926"/>
        <v>0</v>
      </c>
      <c r="KR77" s="42">
        <f t="shared" si="926"/>
        <v>0</v>
      </c>
      <c r="KS77" s="42">
        <f t="shared" si="926"/>
        <v>0</v>
      </c>
      <c r="KT77" s="42">
        <f t="shared" si="926"/>
        <v>0</v>
      </c>
      <c r="KU77" s="42">
        <f t="shared" si="926"/>
        <v>0</v>
      </c>
      <c r="KV77" s="42">
        <f t="shared" si="926"/>
        <v>0</v>
      </c>
      <c r="KW77" s="42">
        <f t="shared" si="926"/>
        <v>0</v>
      </c>
      <c r="KX77" s="42">
        <f t="shared" si="926"/>
        <v>0</v>
      </c>
      <c r="KY77" s="42">
        <f t="shared" si="926"/>
        <v>0</v>
      </c>
      <c r="KZ77" s="42">
        <f t="shared" si="926"/>
        <v>0</v>
      </c>
      <c r="LA77" s="42">
        <f t="shared" si="926"/>
        <v>0</v>
      </c>
      <c r="LB77" s="42">
        <f t="shared" si="926"/>
        <v>0</v>
      </c>
      <c r="LC77" s="42">
        <f t="shared" si="926"/>
        <v>0</v>
      </c>
      <c r="LD77" s="42">
        <f t="shared" si="926"/>
        <v>0</v>
      </c>
      <c r="LE77" s="42">
        <f t="shared" si="926"/>
        <v>0</v>
      </c>
      <c r="LF77" s="42">
        <f t="shared" si="926"/>
        <v>0</v>
      </c>
      <c r="LG77" s="42">
        <f t="shared" si="926"/>
        <v>0</v>
      </c>
      <c r="LH77" s="42">
        <f t="shared" si="926"/>
        <v>0</v>
      </c>
      <c r="LI77" s="42">
        <f t="shared" si="926"/>
        <v>0</v>
      </c>
      <c r="LJ77" s="42">
        <f t="shared" si="926"/>
        <v>0</v>
      </c>
      <c r="LK77" s="42">
        <f t="shared" si="926"/>
        <v>0</v>
      </c>
      <c r="LL77" s="42">
        <f t="shared" si="926"/>
        <v>0</v>
      </c>
      <c r="LM77" s="42">
        <f t="shared" si="926"/>
        <v>0</v>
      </c>
      <c r="LN77" s="42">
        <f t="shared" si="926"/>
        <v>0</v>
      </c>
      <c r="LO77" s="42">
        <f t="shared" si="926"/>
        <v>0</v>
      </c>
      <c r="LP77" s="42">
        <f t="shared" si="926"/>
        <v>0</v>
      </c>
      <c r="LQ77" s="42">
        <f t="shared" si="926"/>
        <v>0</v>
      </c>
      <c r="LR77" s="42">
        <f t="shared" si="926"/>
        <v>0</v>
      </c>
      <c r="LS77" s="42">
        <f t="shared" si="926"/>
        <v>0</v>
      </c>
      <c r="LT77" s="42">
        <f t="shared" si="926"/>
        <v>0</v>
      </c>
      <c r="LU77" s="42">
        <f t="shared" si="926"/>
        <v>0</v>
      </c>
      <c r="LV77" s="42">
        <f t="shared" si="926"/>
        <v>0</v>
      </c>
      <c r="LW77" s="42">
        <f t="shared" si="926"/>
        <v>0</v>
      </c>
      <c r="LX77" s="45">
        <f t="shared" si="96"/>
        <v>0</v>
      </c>
      <c r="LY77" s="42">
        <f t="shared" si="926"/>
        <v>0</v>
      </c>
      <c r="LZ77" s="42">
        <f t="shared" si="926"/>
        <v>0</v>
      </c>
      <c r="MA77" s="42">
        <f t="shared" si="926"/>
        <v>0</v>
      </c>
      <c r="MB77" s="42">
        <f t="shared" si="926"/>
        <v>0</v>
      </c>
      <c r="MC77" s="42">
        <f t="shared" si="926"/>
        <v>0</v>
      </c>
      <c r="MD77" s="42">
        <f t="shared" si="927"/>
        <v>0</v>
      </c>
      <c r="ME77" s="42">
        <f t="shared" si="927"/>
        <v>0</v>
      </c>
      <c r="MF77" s="42">
        <f t="shared" si="927"/>
        <v>0</v>
      </c>
      <c r="MG77" s="42">
        <f t="shared" si="927"/>
        <v>0</v>
      </c>
      <c r="MH77" s="42">
        <f t="shared" si="927"/>
        <v>0</v>
      </c>
      <c r="MI77" s="42">
        <f t="shared" si="927"/>
        <v>0</v>
      </c>
      <c r="MJ77" s="42">
        <f t="shared" si="927"/>
        <v>0</v>
      </c>
      <c r="MK77" s="42">
        <f t="shared" si="927"/>
        <v>0</v>
      </c>
      <c r="ML77" s="42">
        <f t="shared" si="927"/>
        <v>0</v>
      </c>
      <c r="MM77" s="42">
        <f t="shared" si="927"/>
        <v>0</v>
      </c>
      <c r="MN77" s="42">
        <f t="shared" si="927"/>
        <v>0</v>
      </c>
      <c r="MO77" s="42">
        <f t="shared" si="927"/>
        <v>0</v>
      </c>
      <c r="MP77" s="42">
        <f t="shared" si="927"/>
        <v>0</v>
      </c>
      <c r="MQ77" s="42">
        <f t="shared" si="927"/>
        <v>0</v>
      </c>
      <c r="MR77" s="42">
        <f t="shared" si="927"/>
        <v>0</v>
      </c>
      <c r="MS77" s="42">
        <f t="shared" si="927"/>
        <v>0</v>
      </c>
      <c r="MT77" s="42">
        <f t="shared" si="927"/>
        <v>0</v>
      </c>
      <c r="MU77" s="42">
        <f t="shared" si="927"/>
        <v>0</v>
      </c>
      <c r="MV77" s="42">
        <f t="shared" si="927"/>
        <v>0</v>
      </c>
      <c r="MW77" s="42">
        <f t="shared" si="927"/>
        <v>0</v>
      </c>
      <c r="MX77" s="42">
        <f t="shared" si="927"/>
        <v>0</v>
      </c>
      <c r="MY77" s="42">
        <f t="shared" si="927"/>
        <v>0</v>
      </c>
      <c r="MZ77" s="42">
        <f t="shared" si="927"/>
        <v>0</v>
      </c>
      <c r="NA77" s="42">
        <f t="shared" si="927"/>
        <v>0</v>
      </c>
      <c r="NB77" s="42">
        <f t="shared" si="927"/>
        <v>0</v>
      </c>
      <c r="NC77" s="42">
        <f t="shared" si="927"/>
        <v>0</v>
      </c>
      <c r="ND77" s="42">
        <f t="shared" si="927"/>
        <v>0</v>
      </c>
      <c r="NE77" s="42">
        <f t="shared" si="927"/>
        <v>0</v>
      </c>
      <c r="NF77" s="42">
        <f t="shared" si="927"/>
        <v>0</v>
      </c>
      <c r="NG77" s="42">
        <f t="shared" si="927"/>
        <v>0</v>
      </c>
      <c r="NH77" s="42">
        <f t="shared" si="927"/>
        <v>0</v>
      </c>
      <c r="NI77" s="42">
        <f t="shared" si="927"/>
        <v>0</v>
      </c>
      <c r="NJ77" s="42">
        <f t="shared" si="927"/>
        <v>0</v>
      </c>
      <c r="NK77" s="42">
        <f t="shared" si="927"/>
        <v>0</v>
      </c>
      <c r="NL77" s="42">
        <f t="shared" si="927"/>
        <v>0</v>
      </c>
      <c r="NM77" s="42">
        <f t="shared" si="927"/>
        <v>0</v>
      </c>
      <c r="NN77" s="42">
        <f t="shared" si="927"/>
        <v>0</v>
      </c>
      <c r="NO77" s="42">
        <f t="shared" si="927"/>
        <v>0</v>
      </c>
      <c r="NP77" s="42">
        <f t="shared" si="927"/>
        <v>0</v>
      </c>
      <c r="NQ77" s="42">
        <f t="shared" si="927"/>
        <v>0</v>
      </c>
      <c r="NR77" s="42">
        <f t="shared" si="927"/>
        <v>0</v>
      </c>
      <c r="NS77" s="42">
        <f t="shared" si="927"/>
        <v>0</v>
      </c>
      <c r="NT77" s="42">
        <f t="shared" si="927"/>
        <v>0</v>
      </c>
      <c r="NU77" s="42">
        <f t="shared" si="927"/>
        <v>0</v>
      </c>
      <c r="NV77" s="33">
        <f t="shared" si="928"/>
        <v>0</v>
      </c>
      <c r="NW77" s="33">
        <f t="shared" si="928"/>
        <v>0</v>
      </c>
      <c r="NX77" s="33">
        <f t="shared" si="928"/>
        <v>0</v>
      </c>
      <c r="NY77" s="33">
        <f t="shared" si="928"/>
        <v>0</v>
      </c>
      <c r="NZ77" s="33">
        <f t="shared" si="928"/>
        <v>0</v>
      </c>
      <c r="OA77" s="33">
        <f t="shared" si="928"/>
        <v>0</v>
      </c>
      <c r="OB77" s="33">
        <f>OB78</f>
        <v>0</v>
      </c>
      <c r="OC77" s="33">
        <f t="shared" si="928"/>
        <v>0</v>
      </c>
      <c r="OD77" s="33">
        <f t="shared" si="928"/>
        <v>0</v>
      </c>
      <c r="OE77" s="33">
        <f t="shared" si="928"/>
        <v>0</v>
      </c>
      <c r="OF77" s="33">
        <f t="shared" si="928"/>
        <v>0</v>
      </c>
      <c r="OG77" s="33">
        <f t="shared" si="928"/>
        <v>0</v>
      </c>
      <c r="OH77" s="33">
        <f t="shared" si="928"/>
        <v>0</v>
      </c>
      <c r="OI77" s="33">
        <f t="shared" si="928"/>
        <v>0</v>
      </c>
      <c r="OJ77" s="33">
        <f t="shared" si="928"/>
        <v>0</v>
      </c>
      <c r="OK77" s="33">
        <f t="shared" si="928"/>
        <v>0</v>
      </c>
      <c r="OL77" s="33">
        <f t="shared" si="929"/>
        <v>0</v>
      </c>
      <c r="OM77" s="33">
        <f t="shared" si="929"/>
        <v>0</v>
      </c>
      <c r="ON77" s="33">
        <f t="shared" si="929"/>
        <v>0</v>
      </c>
      <c r="OO77" s="33">
        <f t="shared" si="929"/>
        <v>0</v>
      </c>
      <c r="OP77" s="33">
        <f t="shared" si="929"/>
        <v>0</v>
      </c>
      <c r="OQ77" s="33">
        <f t="shared" si="929"/>
        <v>0</v>
      </c>
      <c r="OR77" s="46">
        <f t="shared" si="735"/>
        <v>0</v>
      </c>
      <c r="OS77" s="33">
        <f t="shared" si="930"/>
        <v>0</v>
      </c>
      <c r="OT77" s="33">
        <f t="shared" si="930"/>
        <v>0</v>
      </c>
      <c r="OU77" s="33">
        <f t="shared" si="930"/>
        <v>0</v>
      </c>
      <c r="OV77" s="33">
        <f t="shared" si="930"/>
        <v>0</v>
      </c>
      <c r="OW77" s="33">
        <f>OW78</f>
        <v>0</v>
      </c>
      <c r="OX77" s="33">
        <f t="shared" si="931"/>
        <v>0</v>
      </c>
      <c r="OY77" s="33">
        <f t="shared" si="930"/>
        <v>0</v>
      </c>
      <c r="OZ77" s="33">
        <f t="shared" si="930"/>
        <v>0</v>
      </c>
      <c r="PA77" s="33">
        <f t="shared" si="930"/>
        <v>0</v>
      </c>
      <c r="PB77" s="34">
        <f>SUM(OY77:PA77)</f>
        <v>0</v>
      </c>
      <c r="PC77" s="33">
        <f t="shared" si="930"/>
        <v>0</v>
      </c>
      <c r="PD77" s="33">
        <f t="shared" si="930"/>
        <v>0</v>
      </c>
      <c r="PE77" s="33">
        <f t="shared" si="930"/>
        <v>0</v>
      </c>
      <c r="PF77" s="34">
        <f>SUM(PC77:PE77)</f>
        <v>0</v>
      </c>
      <c r="PG77" s="33">
        <f t="shared" si="930"/>
        <v>0</v>
      </c>
      <c r="PH77" s="33">
        <f t="shared" si="930"/>
        <v>0</v>
      </c>
      <c r="PI77" s="33">
        <f t="shared" si="932"/>
        <v>0</v>
      </c>
      <c r="PJ77" s="34">
        <f>SUM(PG77:PI77)</f>
        <v>0</v>
      </c>
      <c r="PK77" s="33">
        <f t="shared" si="932"/>
        <v>0</v>
      </c>
      <c r="PL77" s="33">
        <f t="shared" si="932"/>
        <v>0</v>
      </c>
      <c r="PM77" s="33">
        <f t="shared" si="932"/>
        <v>0</v>
      </c>
      <c r="PN77" s="34">
        <f>SUM(PK77:PM77)</f>
        <v>0</v>
      </c>
      <c r="PO77" s="33">
        <f t="shared" si="932"/>
        <v>0</v>
      </c>
      <c r="PP77" s="33">
        <f t="shared" si="932"/>
        <v>0</v>
      </c>
      <c r="PQ77" s="33">
        <f t="shared" si="932"/>
        <v>0</v>
      </c>
      <c r="PR77" s="34">
        <f>SUM(PO77:PQ77)</f>
        <v>0</v>
      </c>
      <c r="PS77" s="33">
        <f t="shared" si="932"/>
        <v>0</v>
      </c>
      <c r="PT77" s="33">
        <f t="shared" si="932"/>
        <v>0</v>
      </c>
      <c r="PU77" s="33">
        <f t="shared" si="932"/>
        <v>0</v>
      </c>
      <c r="PV77" s="34">
        <f>SUM(PS77:PU77)</f>
        <v>0</v>
      </c>
      <c r="PW77" s="33">
        <f t="shared" si="932"/>
        <v>0</v>
      </c>
      <c r="PX77" s="33">
        <f t="shared" si="932"/>
        <v>0</v>
      </c>
      <c r="PY77" s="33">
        <f t="shared" si="933"/>
        <v>0</v>
      </c>
      <c r="PZ77" s="34">
        <f>SUM(PW77:PY77)</f>
        <v>0</v>
      </c>
      <c r="QA77" s="33">
        <f t="shared" si="933"/>
        <v>0</v>
      </c>
      <c r="QB77" s="33">
        <f t="shared" si="933"/>
        <v>0</v>
      </c>
      <c r="QC77" s="33">
        <f t="shared" si="933"/>
        <v>0</v>
      </c>
      <c r="QD77" s="34">
        <v>0</v>
      </c>
      <c r="QE77" s="33">
        <f t="shared" si="933"/>
        <v>0</v>
      </c>
      <c r="QF77" s="42">
        <f t="shared" si="933"/>
        <v>0</v>
      </c>
      <c r="QG77" s="42">
        <f t="shared" si="933"/>
        <v>0</v>
      </c>
      <c r="QH77" s="42">
        <f t="shared" si="933"/>
        <v>0</v>
      </c>
      <c r="QI77" s="42">
        <f t="shared" si="933"/>
        <v>0</v>
      </c>
      <c r="QJ77" s="42">
        <f t="shared" si="933"/>
        <v>0</v>
      </c>
      <c r="QK77" s="42">
        <f t="shared" si="933"/>
        <v>0</v>
      </c>
      <c r="QL77" s="42">
        <f t="shared" si="933"/>
        <v>0</v>
      </c>
      <c r="QM77" s="42">
        <f t="shared" si="933"/>
        <v>0</v>
      </c>
      <c r="QN77" s="42">
        <f t="shared" si="933"/>
        <v>0</v>
      </c>
      <c r="QO77" s="42">
        <f t="shared" si="933"/>
        <v>0</v>
      </c>
      <c r="QP77" s="42">
        <f t="shared" si="934"/>
        <v>0</v>
      </c>
      <c r="QQ77" s="42">
        <f t="shared" si="934"/>
        <v>0</v>
      </c>
      <c r="QR77" s="42">
        <f t="shared" si="934"/>
        <v>0</v>
      </c>
      <c r="QS77" s="42">
        <f t="shared" si="934"/>
        <v>0</v>
      </c>
      <c r="QT77" s="42">
        <f t="shared" si="934"/>
        <v>0</v>
      </c>
      <c r="QU77" s="42">
        <f t="shared" si="934"/>
        <v>0</v>
      </c>
      <c r="QV77" s="42">
        <f t="shared" si="934"/>
        <v>0</v>
      </c>
      <c r="QW77" s="42">
        <f t="shared" si="934"/>
        <v>0</v>
      </c>
      <c r="QX77" s="42">
        <f t="shared" si="934"/>
        <v>0</v>
      </c>
      <c r="QY77" s="42">
        <f t="shared" si="934"/>
        <v>0</v>
      </c>
      <c r="QZ77" s="42">
        <f t="shared" si="934"/>
        <v>0</v>
      </c>
      <c r="RA77" s="42">
        <f t="shared" si="934"/>
        <v>0</v>
      </c>
      <c r="RB77" s="42">
        <f t="shared" si="934"/>
        <v>0</v>
      </c>
      <c r="RC77" s="42">
        <f t="shared" si="934"/>
        <v>0</v>
      </c>
      <c r="RD77" s="42">
        <f t="shared" si="934"/>
        <v>0</v>
      </c>
      <c r="RE77" s="42">
        <f t="shared" si="934"/>
        <v>0</v>
      </c>
      <c r="RF77" s="42">
        <f t="shared" si="935"/>
        <v>0</v>
      </c>
      <c r="RG77" s="42">
        <f t="shared" si="935"/>
        <v>0</v>
      </c>
      <c r="RH77" s="42">
        <f t="shared" si="935"/>
        <v>0</v>
      </c>
      <c r="RI77" s="42">
        <f t="shared" si="935"/>
        <v>0</v>
      </c>
      <c r="RJ77" s="42">
        <f t="shared" si="935"/>
        <v>0</v>
      </c>
      <c r="RK77" s="42">
        <f t="shared" si="935"/>
        <v>0</v>
      </c>
      <c r="RL77" s="42">
        <f t="shared" si="935"/>
        <v>0</v>
      </c>
      <c r="RM77" s="42">
        <f t="shared" si="935"/>
        <v>0</v>
      </c>
      <c r="RN77" s="42">
        <f t="shared" si="935"/>
        <v>0</v>
      </c>
      <c r="RO77" s="42">
        <f t="shared" si="935"/>
        <v>0</v>
      </c>
      <c r="RP77" s="42">
        <f t="shared" si="935"/>
        <v>0</v>
      </c>
      <c r="RQ77" s="42">
        <f t="shared" si="935"/>
        <v>0</v>
      </c>
      <c r="RR77" s="42">
        <f t="shared" si="935"/>
        <v>0</v>
      </c>
      <c r="RS77" s="42">
        <f t="shared" si="935"/>
        <v>0</v>
      </c>
      <c r="RT77" s="42">
        <f t="shared" si="935"/>
        <v>0</v>
      </c>
      <c r="RU77" s="42">
        <f t="shared" si="935"/>
        <v>0</v>
      </c>
      <c r="RV77" s="42">
        <f t="shared" si="936"/>
        <v>0</v>
      </c>
      <c r="RW77" s="42">
        <f t="shared" si="936"/>
        <v>0</v>
      </c>
      <c r="RX77" s="42">
        <f t="shared" si="936"/>
        <v>0</v>
      </c>
      <c r="RY77" s="42">
        <f t="shared" si="936"/>
        <v>0</v>
      </c>
      <c r="RZ77" s="42">
        <f t="shared" si="936"/>
        <v>0</v>
      </c>
      <c r="SA77" s="42">
        <f t="shared" si="936"/>
        <v>0</v>
      </c>
      <c r="SB77" s="42">
        <f t="shared" si="936"/>
        <v>0</v>
      </c>
      <c r="SC77" s="42">
        <f t="shared" si="936"/>
        <v>0</v>
      </c>
      <c r="SD77" s="42">
        <f t="shared" si="936"/>
        <v>0</v>
      </c>
      <c r="SE77" s="42">
        <f t="shared" si="936"/>
        <v>0</v>
      </c>
      <c r="SF77" s="42">
        <f t="shared" si="936"/>
        <v>0</v>
      </c>
      <c r="SG77" s="42">
        <f t="shared" si="936"/>
        <v>0</v>
      </c>
      <c r="SH77" s="42">
        <f t="shared" si="936"/>
        <v>0</v>
      </c>
      <c r="SI77" s="42">
        <f t="shared" si="936"/>
        <v>0</v>
      </c>
      <c r="SJ77" s="42">
        <f t="shared" si="936"/>
        <v>0</v>
      </c>
      <c r="SK77" s="42">
        <f t="shared" si="936"/>
        <v>0</v>
      </c>
      <c r="SL77" s="42">
        <f t="shared" si="937"/>
        <v>0</v>
      </c>
      <c r="SM77" s="42">
        <f t="shared" si="937"/>
        <v>0</v>
      </c>
      <c r="SN77" s="42">
        <f t="shared" si="937"/>
        <v>0</v>
      </c>
      <c r="SO77" s="42">
        <f t="shared" si="937"/>
        <v>0</v>
      </c>
      <c r="SP77" s="42">
        <f t="shared" si="937"/>
        <v>0</v>
      </c>
      <c r="SQ77" s="42">
        <f t="shared" si="937"/>
        <v>0</v>
      </c>
      <c r="SR77" s="42">
        <f t="shared" si="937"/>
        <v>0</v>
      </c>
      <c r="SS77" s="42">
        <f t="shared" si="937"/>
        <v>0</v>
      </c>
      <c r="ST77" s="42">
        <f t="shared" si="937"/>
        <v>0</v>
      </c>
      <c r="SU77" s="42">
        <f t="shared" si="937"/>
        <v>0</v>
      </c>
      <c r="SV77" s="42">
        <f t="shared" si="937"/>
        <v>0</v>
      </c>
      <c r="SW77" s="42">
        <f t="shared" si="937"/>
        <v>0</v>
      </c>
      <c r="SX77" s="42">
        <f t="shared" si="937"/>
        <v>0</v>
      </c>
      <c r="SY77" s="42">
        <f t="shared" si="937"/>
        <v>0</v>
      </c>
      <c r="SZ77" s="42">
        <f t="shared" si="937"/>
        <v>0</v>
      </c>
      <c r="TA77" s="42">
        <f t="shared" si="937"/>
        <v>0</v>
      </c>
      <c r="TB77" s="42">
        <f t="shared" si="937"/>
        <v>0</v>
      </c>
      <c r="TC77" s="40">
        <f t="shared" si="937"/>
        <v>0</v>
      </c>
      <c r="TD77" s="41"/>
      <c r="TE77" s="41"/>
      <c r="TF77" s="42">
        <f t="shared" si="937"/>
        <v>0</v>
      </c>
      <c r="TG77" s="42">
        <f t="shared" si="937"/>
        <v>0</v>
      </c>
      <c r="TH77" s="33">
        <f t="shared" si="937"/>
        <v>0</v>
      </c>
      <c r="TI77" s="33">
        <f t="shared" si="937"/>
        <v>0</v>
      </c>
      <c r="TJ77" s="33">
        <f t="shared" si="937"/>
        <v>0</v>
      </c>
      <c r="TK77" s="33">
        <f t="shared" si="937"/>
        <v>0</v>
      </c>
      <c r="TL77" s="33">
        <f t="shared" si="937"/>
        <v>0</v>
      </c>
      <c r="TM77" s="33">
        <f t="shared" si="937"/>
        <v>0</v>
      </c>
      <c r="TN77" s="33">
        <f t="shared" si="937"/>
        <v>0</v>
      </c>
      <c r="TO77" s="33">
        <f t="shared" si="937"/>
        <v>0</v>
      </c>
      <c r="TP77" s="42">
        <f t="shared" si="938"/>
        <v>0</v>
      </c>
      <c r="TQ77" s="42">
        <f t="shared" si="938"/>
        <v>0</v>
      </c>
      <c r="TR77" s="42">
        <f t="shared" si="938"/>
        <v>0</v>
      </c>
      <c r="TS77" s="33">
        <f t="shared" si="938"/>
        <v>0</v>
      </c>
      <c r="TT77" s="33">
        <f t="shared" si="938"/>
        <v>0</v>
      </c>
      <c r="TU77" s="33">
        <f t="shared" si="938"/>
        <v>0</v>
      </c>
      <c r="TV77" s="47">
        <f t="shared" si="938"/>
        <v>0</v>
      </c>
      <c r="TW77" s="33">
        <f t="shared" si="938"/>
        <v>0</v>
      </c>
      <c r="TX77" s="33">
        <f t="shared" si="938"/>
        <v>0</v>
      </c>
      <c r="TY77" s="33">
        <f t="shared" si="938"/>
        <v>0</v>
      </c>
      <c r="TZ77" s="48">
        <f t="shared" si="938"/>
        <v>0</v>
      </c>
      <c r="UA77" s="47">
        <f t="shared" si="938"/>
        <v>0</v>
      </c>
      <c r="UB77" s="33">
        <f t="shared" si="938"/>
        <v>0</v>
      </c>
      <c r="UC77" s="48">
        <f t="shared" si="938"/>
        <v>0</v>
      </c>
    </row>
    <row r="78" spans="1:549" ht="15.75" hidden="1" thickBot="1" x14ac:dyDescent="0.3">
      <c r="A78" s="131">
        <v>120504312</v>
      </c>
      <c r="B78" s="132">
        <v>317</v>
      </c>
      <c r="C78" s="133"/>
      <c r="D78" s="36"/>
      <c r="E78" s="39"/>
      <c r="F78" s="39"/>
      <c r="G78" s="39"/>
      <c r="H78" s="18">
        <v>0</v>
      </c>
      <c r="I78" s="39"/>
      <c r="J78" s="39"/>
      <c r="K78" s="39"/>
      <c r="L78" s="18">
        <v>0</v>
      </c>
      <c r="M78" s="39"/>
      <c r="N78" s="39"/>
      <c r="O78" s="18">
        <f t="shared" ref="O78" si="939">SUM(M78:N78)</f>
        <v>0</v>
      </c>
      <c r="P78" s="39"/>
      <c r="Q78" s="39"/>
      <c r="R78" s="39"/>
      <c r="S78" s="39"/>
      <c r="T78" s="18">
        <f t="shared" ref="T78" si="940">SUM(Q78:S78)</f>
        <v>0</v>
      </c>
      <c r="U78" s="39"/>
      <c r="V78" s="39"/>
      <c r="W78" s="39"/>
      <c r="X78" s="18">
        <f t="shared" ref="X78" si="941">SUM(V78:W78)</f>
        <v>0</v>
      </c>
      <c r="Y78" s="39"/>
      <c r="Z78" s="39"/>
      <c r="AA78" s="18">
        <f t="shared" ref="AA78" si="942">SUM(Y78:Z78)</f>
        <v>0</v>
      </c>
      <c r="AB78" s="39"/>
      <c r="AC78" s="39"/>
      <c r="AD78" s="18">
        <v>0</v>
      </c>
      <c r="AE78" s="39"/>
      <c r="AF78" s="39"/>
      <c r="AG78" s="39"/>
      <c r="AH78" s="55">
        <f t="shared" ref="AH78" si="943">SUM(AF78:AG78)</f>
        <v>0</v>
      </c>
      <c r="AI78" s="39"/>
      <c r="AJ78" s="39"/>
      <c r="AK78" s="39"/>
      <c r="AL78" s="55">
        <f t="shared" ref="AL78" si="944">SUM(AJ78:AK78)</f>
        <v>0</v>
      </c>
      <c r="AM78" s="39"/>
      <c r="AN78" s="39"/>
      <c r="AO78" s="39"/>
      <c r="AP78" s="18">
        <f t="shared" ref="AP78" si="945">SUM(AN78:AO78)</f>
        <v>0</v>
      </c>
      <c r="AQ78" s="39"/>
      <c r="AR78" s="39"/>
      <c r="AS78" s="39"/>
      <c r="AT78" s="39"/>
      <c r="AU78" s="18">
        <f t="shared" ref="AU78" si="946">SUM(AR78:AT78)</f>
        <v>0</v>
      </c>
      <c r="AV78" s="39"/>
      <c r="AW78" s="39"/>
      <c r="AX78" s="39"/>
      <c r="AY78" s="39"/>
      <c r="AZ78" s="39"/>
      <c r="BA78" s="39"/>
      <c r="BB78" s="39"/>
      <c r="BC78" s="39"/>
      <c r="BD78" s="18">
        <v>0</v>
      </c>
      <c r="BE78" s="39"/>
      <c r="BF78" s="39"/>
      <c r="BG78" s="39"/>
      <c r="BH78" s="39"/>
      <c r="BI78" s="39"/>
      <c r="BJ78" s="39"/>
      <c r="BK78" s="39"/>
      <c r="BL78" s="18">
        <v>0</v>
      </c>
      <c r="BM78" s="39"/>
      <c r="BN78" s="39"/>
      <c r="BO78" s="39"/>
      <c r="BP78" s="39"/>
      <c r="BQ78" s="39"/>
      <c r="BR78" s="39"/>
      <c r="BS78" s="18">
        <f t="shared" ref="BS78" si="947">SUM(BP78:BR78)</f>
        <v>0</v>
      </c>
      <c r="BT78" s="39"/>
      <c r="BU78" s="39"/>
      <c r="BV78" s="39"/>
      <c r="BW78" s="18">
        <v>0</v>
      </c>
      <c r="BX78" s="39"/>
      <c r="BY78" s="39"/>
      <c r="BZ78" s="18">
        <v>0</v>
      </c>
      <c r="CA78" s="39"/>
      <c r="CB78" s="39"/>
      <c r="CC78" s="18">
        <v>0</v>
      </c>
      <c r="CD78" s="39"/>
      <c r="CE78" s="39"/>
      <c r="CF78" s="39"/>
      <c r="CG78" s="39"/>
      <c r="CH78" s="39"/>
      <c r="CI78" s="39"/>
      <c r="CJ78" s="39"/>
      <c r="CK78" s="39"/>
      <c r="CL78" s="18">
        <v>0</v>
      </c>
      <c r="CM78" s="39"/>
      <c r="CN78" s="39"/>
      <c r="CO78" s="39"/>
      <c r="CP78" s="39"/>
      <c r="CQ78" s="18">
        <v>0</v>
      </c>
      <c r="CR78" s="39"/>
      <c r="CS78" s="39"/>
      <c r="CT78" s="39"/>
      <c r="CU78" s="39"/>
      <c r="CV78" s="39"/>
      <c r="CW78" s="39"/>
      <c r="CX78" s="18">
        <f t="shared" ref="CX78" si="948">SUM(CU78:CW78)</f>
        <v>0</v>
      </c>
      <c r="CY78" s="39"/>
      <c r="CZ78" s="39"/>
      <c r="DA78" s="39"/>
      <c r="DB78" s="18">
        <f t="shared" ref="DB78" si="949">SUM(CZ78:DA78)</f>
        <v>0</v>
      </c>
      <c r="DC78" s="39"/>
      <c r="DD78" s="39"/>
      <c r="DE78" s="18">
        <f t="shared" ref="DE78" si="950">SUM(DC78:DD78)</f>
        <v>0</v>
      </c>
      <c r="DF78" s="39"/>
      <c r="DG78" s="39"/>
      <c r="DH78" s="18">
        <v>0</v>
      </c>
      <c r="DI78" s="39"/>
      <c r="DJ78" s="39"/>
      <c r="DK78" s="18">
        <v>0</v>
      </c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18">
        <v>0</v>
      </c>
      <c r="DX78" s="39"/>
      <c r="DY78" s="39"/>
      <c r="DZ78" s="39"/>
      <c r="EA78" s="18">
        <v>0</v>
      </c>
      <c r="EB78" s="39"/>
      <c r="EC78" s="39"/>
      <c r="ED78" s="39"/>
      <c r="EE78" s="39"/>
      <c r="EF78" s="39"/>
      <c r="EG78" s="39"/>
      <c r="EH78" s="18">
        <v>0</v>
      </c>
      <c r="EI78" s="39"/>
      <c r="EJ78" s="39"/>
      <c r="EK78" s="39"/>
      <c r="EL78" s="18">
        <v>0</v>
      </c>
      <c r="EM78" s="39"/>
      <c r="EN78" s="39"/>
      <c r="EO78" s="18">
        <v>0</v>
      </c>
      <c r="EP78" s="39"/>
      <c r="EQ78" s="39"/>
      <c r="ER78" s="18">
        <v>0</v>
      </c>
      <c r="ES78" s="39"/>
      <c r="ET78" s="39"/>
      <c r="EU78" s="18">
        <v>0</v>
      </c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18">
        <v>0</v>
      </c>
      <c r="FH78" s="39"/>
      <c r="FI78" s="39"/>
      <c r="FJ78" s="39"/>
      <c r="FK78" s="18">
        <v>0</v>
      </c>
      <c r="FL78" s="39"/>
      <c r="FM78" s="39"/>
      <c r="FN78" s="39"/>
      <c r="FO78" s="39"/>
      <c r="FP78" s="39"/>
      <c r="FQ78" s="39"/>
      <c r="FR78" s="18">
        <v>0</v>
      </c>
      <c r="FS78" s="39"/>
      <c r="FT78" s="39"/>
      <c r="FU78" s="39"/>
      <c r="FV78" s="18">
        <v>0</v>
      </c>
      <c r="FW78" s="39"/>
      <c r="FX78" s="39"/>
      <c r="FY78" s="18">
        <v>0</v>
      </c>
      <c r="FZ78" s="39"/>
      <c r="GA78" s="39"/>
      <c r="GB78" s="18">
        <v>0</v>
      </c>
      <c r="GC78" s="39"/>
      <c r="GD78" s="39"/>
      <c r="GE78" s="18">
        <f t="shared" ref="GE78" si="951">SUM(GC78:GD78)</f>
        <v>0</v>
      </c>
      <c r="GF78" s="39"/>
      <c r="GG78" s="40"/>
      <c r="GH78" s="41"/>
      <c r="GI78" s="40"/>
      <c r="GJ78" s="39"/>
      <c r="GK78" s="28"/>
      <c r="GL78" s="28"/>
      <c r="GM78" s="28"/>
      <c r="GN78" s="20">
        <v>0</v>
      </c>
      <c r="GO78" s="39"/>
      <c r="GP78" s="39"/>
      <c r="GQ78" s="39"/>
      <c r="GR78" s="18">
        <v>0</v>
      </c>
      <c r="GS78" s="39"/>
      <c r="GT78" s="39"/>
      <c r="GU78" s="39"/>
      <c r="GV78" s="39"/>
      <c r="GW78" s="18">
        <v>0</v>
      </c>
      <c r="GX78" s="39"/>
      <c r="GY78" s="39"/>
      <c r="GZ78" s="39"/>
      <c r="HA78" s="39"/>
      <c r="HB78" s="18">
        <f t="shared" ref="HB78" si="952">SUM(GY78:HA78)</f>
        <v>0</v>
      </c>
      <c r="HC78" s="39"/>
      <c r="HD78" s="39"/>
      <c r="HE78" s="39"/>
      <c r="HF78" s="39"/>
      <c r="HG78" s="18">
        <f t="shared" ref="HG78" si="953">SUM(HD78:HF78)</f>
        <v>0</v>
      </c>
      <c r="HH78" s="39"/>
      <c r="HI78" s="39"/>
      <c r="HJ78" s="39"/>
      <c r="HK78" s="39"/>
      <c r="HL78" s="18">
        <v>0</v>
      </c>
      <c r="HM78" s="39"/>
      <c r="HN78" s="39"/>
      <c r="HO78" s="39"/>
      <c r="HP78" s="39"/>
      <c r="HQ78" s="18">
        <f t="shared" ref="HQ78" si="954">SUM(HN78:HP78)</f>
        <v>0</v>
      </c>
      <c r="HR78" s="39"/>
      <c r="HS78" s="28"/>
      <c r="HT78" s="28"/>
      <c r="HU78" s="28"/>
      <c r="HV78" s="20">
        <v>0</v>
      </c>
      <c r="HW78" s="39"/>
      <c r="HX78" s="39"/>
      <c r="HY78" s="39"/>
      <c r="HZ78" s="18">
        <f t="shared" ref="HZ78" si="955">SUM(HW78:HY78)</f>
        <v>0</v>
      </c>
      <c r="IA78" s="39"/>
      <c r="IB78" s="39"/>
      <c r="IC78" s="39"/>
      <c r="ID78" s="39"/>
      <c r="IE78" s="18">
        <f t="shared" ref="IE78" si="956">SUM(IB78:ID78)</f>
        <v>0</v>
      </c>
      <c r="IF78" s="39"/>
      <c r="IG78" s="39"/>
      <c r="IH78" s="39"/>
      <c r="II78" s="39"/>
      <c r="IJ78" s="18">
        <v>2</v>
      </c>
      <c r="IK78" s="39"/>
      <c r="IL78" s="39"/>
      <c r="IM78" s="39"/>
      <c r="IN78" s="39"/>
      <c r="IO78" s="18">
        <f t="shared" ref="IO78" si="957">SUM(IL78:IN78)</f>
        <v>0</v>
      </c>
      <c r="IP78" s="39"/>
      <c r="IQ78" s="39"/>
      <c r="IR78" s="39"/>
      <c r="IS78" s="39"/>
      <c r="IT78" s="18">
        <f t="shared" ref="IT78" si="958">SUM(IQ78:IS78)</f>
        <v>0</v>
      </c>
      <c r="IU78" s="39"/>
      <c r="IV78" s="39"/>
      <c r="IW78" s="39"/>
      <c r="IX78" s="55">
        <f t="shared" ref="IX78" si="959">SUM(IU78:IW78)</f>
        <v>0</v>
      </c>
      <c r="IY78" s="39"/>
      <c r="IZ78" s="39"/>
      <c r="JA78" s="39"/>
      <c r="JB78" s="55">
        <f t="shared" ref="JB78" si="960">SUM(IY78:JA78)</f>
        <v>0</v>
      </c>
      <c r="JC78" s="39"/>
      <c r="JD78" s="39"/>
      <c r="JE78" s="39"/>
      <c r="JF78" s="18">
        <f t="shared" ref="JF78" si="961">SUM(JC78:JE78)</f>
        <v>0</v>
      </c>
      <c r="JG78" s="39"/>
      <c r="JH78" s="39"/>
      <c r="JI78" s="39"/>
      <c r="JJ78" s="39"/>
      <c r="JK78" s="39"/>
      <c r="JL78" s="39"/>
      <c r="JM78" s="39"/>
      <c r="JN78" s="39"/>
      <c r="JO78" s="39"/>
      <c r="JP78" s="39"/>
      <c r="JQ78" s="39"/>
      <c r="JR78" s="39"/>
      <c r="JS78" s="39"/>
      <c r="JT78" s="39"/>
      <c r="JU78" s="39"/>
      <c r="JV78" s="39"/>
      <c r="JW78" s="39"/>
      <c r="JX78" s="39"/>
      <c r="JY78" s="39"/>
      <c r="JZ78" s="39"/>
      <c r="KA78" s="39"/>
      <c r="KB78" s="39"/>
      <c r="KC78" s="39"/>
      <c r="KD78" s="39"/>
      <c r="KE78" s="39"/>
      <c r="KF78" s="39"/>
      <c r="KG78" s="39"/>
      <c r="KH78" s="39"/>
      <c r="KI78" s="40"/>
      <c r="KJ78" s="39"/>
      <c r="KK78" s="39"/>
      <c r="KL78" s="39"/>
      <c r="KM78" s="39"/>
      <c r="KN78" s="40"/>
      <c r="KO78" s="39"/>
      <c r="KP78" s="39"/>
      <c r="KQ78" s="39"/>
      <c r="KR78" s="39"/>
      <c r="KS78" s="39"/>
      <c r="KT78" s="39"/>
      <c r="KU78" s="39"/>
      <c r="KV78" s="39"/>
      <c r="KW78" s="39"/>
      <c r="KX78" s="39"/>
      <c r="KY78" s="39"/>
      <c r="KZ78" s="18">
        <v>0</v>
      </c>
      <c r="LA78" s="39"/>
      <c r="LB78" s="39"/>
      <c r="LC78" s="39"/>
      <c r="LD78" s="55">
        <f t="shared" ref="LD78" si="962">SUM(LA78:LC78)</f>
        <v>0</v>
      </c>
      <c r="LE78" s="39"/>
      <c r="LF78" s="39"/>
      <c r="LG78" s="39"/>
      <c r="LH78" s="18">
        <f t="shared" ref="LH78" si="963">SUM(LE78:LG78)</f>
        <v>0</v>
      </c>
      <c r="LI78" s="39"/>
      <c r="LJ78" s="39"/>
      <c r="LK78" s="39"/>
      <c r="LL78" s="55">
        <f t="shared" ref="LL78" si="964">SUM(LI78:LK78)</f>
        <v>0</v>
      </c>
      <c r="LM78" s="39"/>
      <c r="LN78" s="39"/>
      <c r="LO78" s="39"/>
      <c r="LP78" s="18">
        <f t="shared" ref="LP78" si="965">SUM(LM78:LO78)</f>
        <v>0</v>
      </c>
      <c r="LQ78" s="39"/>
      <c r="LR78" s="39"/>
      <c r="LS78" s="39"/>
      <c r="LT78" s="18">
        <v>0</v>
      </c>
      <c r="LU78" s="19"/>
      <c r="LV78" s="19"/>
      <c r="LW78" s="19"/>
      <c r="LX78" s="21">
        <v>0</v>
      </c>
      <c r="LY78" s="39"/>
      <c r="LZ78" s="39"/>
      <c r="MA78" s="39"/>
      <c r="MB78" s="18">
        <f t="shared" ref="MB78" si="966">SUM(LY78:MA78)</f>
        <v>0</v>
      </c>
      <c r="MC78" s="39"/>
      <c r="MD78" s="18">
        <f t="shared" ref="MD78" si="967">MC78</f>
        <v>0</v>
      </c>
      <c r="ME78" s="39"/>
      <c r="MF78" s="18">
        <f t="shared" ref="MF78" si="968">ME78</f>
        <v>0</v>
      </c>
      <c r="MG78" s="39"/>
      <c r="MH78" s="55">
        <f t="shared" ref="MH78" si="969">MG78</f>
        <v>0</v>
      </c>
      <c r="MI78" s="39"/>
      <c r="MJ78" s="18">
        <f t="shared" ref="MJ78" si="970">MI78</f>
        <v>0</v>
      </c>
      <c r="MK78" s="39"/>
      <c r="ML78" s="18">
        <v>0</v>
      </c>
      <c r="MM78" s="39"/>
      <c r="MN78" s="39"/>
      <c r="MO78" s="39"/>
      <c r="MP78" s="39"/>
      <c r="MQ78" s="39"/>
      <c r="MR78" s="39"/>
      <c r="MS78" s="39"/>
      <c r="MT78" s="39"/>
      <c r="MU78" s="39"/>
      <c r="MV78" s="39"/>
      <c r="MW78" s="18">
        <v>0</v>
      </c>
      <c r="MX78" s="39"/>
      <c r="MY78" s="39"/>
      <c r="MZ78" s="39"/>
      <c r="NA78" s="18">
        <v>0</v>
      </c>
      <c r="NB78" s="39"/>
      <c r="NC78" s="39"/>
      <c r="ND78" s="39"/>
      <c r="NE78" s="18">
        <v>0</v>
      </c>
      <c r="NF78" s="39"/>
      <c r="NG78" s="39"/>
      <c r="NH78" s="39"/>
      <c r="NI78" s="18">
        <f t="shared" ref="NI78" si="971">SUM(NF78:NH78)</f>
        <v>0</v>
      </c>
      <c r="NJ78" s="39"/>
      <c r="NK78" s="39"/>
      <c r="NL78" s="39"/>
      <c r="NM78" s="18">
        <f t="shared" ref="NM78" si="972">SUM(NJ78:NL78)</f>
        <v>0</v>
      </c>
      <c r="NN78" s="39"/>
      <c r="NO78" s="39"/>
      <c r="NP78" s="39"/>
      <c r="NQ78" s="18">
        <f t="shared" ref="NQ78" si="973">SUM(NN78:NP78)</f>
        <v>0</v>
      </c>
      <c r="NR78" s="39"/>
      <c r="NS78" s="39"/>
      <c r="NT78" s="39"/>
      <c r="NU78" s="18">
        <f t="shared" ref="NU78" si="974">SUM(NR78:NT78)</f>
        <v>0</v>
      </c>
      <c r="NV78" s="28"/>
      <c r="NW78" s="28"/>
      <c r="NX78" s="28"/>
      <c r="NY78" s="20">
        <f t="shared" ref="NY78" si="975">SUM(NV78:NX78)</f>
        <v>0</v>
      </c>
      <c r="NZ78" s="28"/>
      <c r="OA78" s="28"/>
      <c r="OB78" s="28"/>
      <c r="OC78" s="28"/>
      <c r="OD78" s="22"/>
      <c r="OE78" s="22"/>
      <c r="OF78" s="22"/>
      <c r="OG78" s="22"/>
      <c r="OH78" s="22"/>
      <c r="OI78" s="22"/>
      <c r="OJ78" s="22"/>
      <c r="OK78" s="22"/>
      <c r="OL78" s="22"/>
      <c r="OM78" s="22"/>
      <c r="ON78" s="22"/>
      <c r="OO78" s="22"/>
      <c r="OP78" s="22"/>
      <c r="OQ78" s="22"/>
      <c r="OR78" s="72">
        <f t="shared" si="735"/>
        <v>0</v>
      </c>
      <c r="OS78" s="38"/>
      <c r="OT78" s="38"/>
      <c r="OU78" s="38"/>
      <c r="OV78" s="38"/>
      <c r="OW78" s="38"/>
      <c r="OX78" s="23">
        <v>0</v>
      </c>
      <c r="OY78" s="38"/>
      <c r="OZ78" s="38"/>
      <c r="PA78" s="38"/>
      <c r="PB78" s="34">
        <v>0</v>
      </c>
      <c r="PC78" s="38"/>
      <c r="PD78" s="38"/>
      <c r="PE78" s="38"/>
      <c r="PF78" s="34">
        <v>0</v>
      </c>
      <c r="PG78" s="38"/>
      <c r="PH78" s="38"/>
      <c r="PI78" s="38"/>
      <c r="PJ78" s="34">
        <v>0</v>
      </c>
      <c r="PK78" s="38"/>
      <c r="PL78" s="38"/>
      <c r="PM78" s="38"/>
      <c r="PN78" s="34">
        <v>0</v>
      </c>
      <c r="PO78" s="38"/>
      <c r="PP78" s="38"/>
      <c r="PQ78" s="38"/>
      <c r="PR78" s="34">
        <v>0</v>
      </c>
      <c r="PS78" s="38"/>
      <c r="PT78" s="38"/>
      <c r="PU78" s="38"/>
      <c r="PV78" s="34">
        <v>0</v>
      </c>
      <c r="PW78" s="38"/>
      <c r="PX78" s="38"/>
      <c r="PY78" s="38"/>
      <c r="PZ78" s="34">
        <v>0</v>
      </c>
      <c r="QA78" s="39"/>
      <c r="QB78" s="39"/>
      <c r="QC78" s="38"/>
      <c r="QD78" s="24"/>
      <c r="QE78" s="38"/>
      <c r="QF78" s="39"/>
      <c r="QG78" s="39"/>
      <c r="QH78" s="39"/>
      <c r="QI78" s="39"/>
      <c r="QJ78" s="39"/>
      <c r="QK78" s="39"/>
      <c r="QL78" s="18">
        <f t="shared" ref="QL78" si="976">SUM(QF78:QK78)</f>
        <v>0</v>
      </c>
      <c r="QM78" s="39"/>
      <c r="QN78" s="39"/>
      <c r="QO78" s="39"/>
      <c r="QP78" s="39"/>
      <c r="QQ78" s="39"/>
      <c r="QR78" s="39"/>
      <c r="QS78" s="18">
        <f t="shared" ref="QS78" si="977">SUM(QM78:QR78)</f>
        <v>0</v>
      </c>
      <c r="QT78" s="39"/>
      <c r="QU78" s="39"/>
      <c r="QV78" s="39"/>
      <c r="QW78" s="39"/>
      <c r="QX78" s="39"/>
      <c r="QY78" s="39"/>
      <c r="QZ78" s="18">
        <f t="shared" ref="QZ78" si="978">SUM(QT78:QY78)</f>
        <v>0</v>
      </c>
      <c r="RA78" s="39"/>
      <c r="RB78" s="39"/>
      <c r="RC78" s="39"/>
      <c r="RD78" s="39"/>
      <c r="RE78" s="39"/>
      <c r="RF78" s="39"/>
      <c r="RG78" s="18">
        <f t="shared" ref="RG78" si="979">SUM(RA78:RF78)</f>
        <v>0</v>
      </c>
      <c r="RH78" s="39"/>
      <c r="RI78" s="39"/>
      <c r="RJ78" s="39"/>
      <c r="RK78" s="39"/>
      <c r="RL78" s="39"/>
      <c r="RM78" s="39"/>
      <c r="RN78" s="18">
        <f t="shared" ref="RN78" si="980">SUM(RH78:RM78)</f>
        <v>0</v>
      </c>
      <c r="RO78" s="39"/>
      <c r="RP78" s="39"/>
      <c r="RQ78" s="39"/>
      <c r="RR78" s="39"/>
      <c r="RS78" s="39"/>
      <c r="RT78" s="39"/>
      <c r="RU78" s="18">
        <f t="shared" ref="RU78" si="981">SUM(RO78:RT78)</f>
        <v>0</v>
      </c>
      <c r="RV78" s="39"/>
      <c r="RW78" s="39"/>
      <c r="RX78" s="39"/>
      <c r="RY78" s="39"/>
      <c r="RZ78" s="39"/>
      <c r="SA78" s="39"/>
      <c r="SB78" s="39"/>
      <c r="SC78" s="18">
        <f t="shared" ref="SC78" si="982">SUM(RZ78:SB78)</f>
        <v>0</v>
      </c>
      <c r="SD78" s="39"/>
      <c r="SE78" s="39"/>
      <c r="SF78" s="39"/>
      <c r="SG78" s="18">
        <f t="shared" ref="SG78" si="983">SUM(SE78:SF78)</f>
        <v>0</v>
      </c>
      <c r="SH78" s="39"/>
      <c r="SI78" s="39"/>
      <c r="SJ78" s="39"/>
      <c r="SK78" s="39"/>
      <c r="SL78" s="39"/>
      <c r="SM78" s="39"/>
      <c r="SN78" s="18">
        <f t="shared" ref="SN78" si="984">SUM(SK78:SM78)</f>
        <v>0</v>
      </c>
      <c r="SO78" s="39"/>
      <c r="SP78" s="39"/>
      <c r="SQ78" s="39"/>
      <c r="SR78" s="18">
        <f t="shared" ref="SR78" si="985">SUM(SP78:SQ78)</f>
        <v>0</v>
      </c>
      <c r="SS78" s="39"/>
      <c r="ST78" s="39"/>
      <c r="SU78" s="18">
        <f t="shared" ref="SU78" si="986">SUM(SS78:ST78)</f>
        <v>0</v>
      </c>
      <c r="SV78" s="39"/>
      <c r="SW78" s="39"/>
      <c r="SX78" s="18">
        <f t="shared" ref="SX78" si="987">SUM(SV78:SW78)</f>
        <v>0</v>
      </c>
      <c r="SY78" s="39"/>
      <c r="SZ78" s="39"/>
      <c r="TA78" s="18">
        <f t="shared" ref="TA78" si="988">SUM(SY78:SZ78)</f>
        <v>0</v>
      </c>
      <c r="TB78" s="39"/>
      <c r="TC78" s="40"/>
      <c r="TD78" s="41"/>
      <c r="TE78" s="40"/>
      <c r="TF78" s="39"/>
      <c r="TG78" s="39"/>
      <c r="TH78" s="38"/>
      <c r="TI78" s="38"/>
      <c r="TJ78" s="38"/>
      <c r="TK78" s="38"/>
      <c r="TL78" s="38"/>
      <c r="TM78" s="38"/>
      <c r="TN78" s="38"/>
      <c r="TO78" s="38"/>
      <c r="TP78" s="39"/>
      <c r="TQ78" s="39"/>
      <c r="TR78" s="39"/>
      <c r="TS78" s="38"/>
      <c r="TT78" s="38"/>
      <c r="TU78" s="38"/>
      <c r="TV78" s="134"/>
      <c r="TW78" s="135"/>
      <c r="TX78" s="135"/>
      <c r="TY78" s="135"/>
      <c r="TZ78" s="136"/>
      <c r="UA78" s="134"/>
      <c r="UB78" s="135"/>
      <c r="UC78" s="136"/>
    </row>
    <row r="79" spans="1:549" x14ac:dyDescent="0.25">
      <c r="GG79"/>
      <c r="GH79"/>
      <c r="GI79"/>
      <c r="GK79"/>
      <c r="GL79"/>
      <c r="GM79"/>
      <c r="GN79"/>
      <c r="HS79"/>
      <c r="HT79"/>
      <c r="HU79"/>
      <c r="HV79"/>
      <c r="KI79"/>
      <c r="KN79"/>
      <c r="LU79"/>
      <c r="LV79"/>
      <c r="LW79"/>
      <c r="LX79"/>
    </row>
    <row r="80" spans="1:549" x14ac:dyDescent="0.25">
      <c r="GG80"/>
      <c r="GH80"/>
      <c r="GI80"/>
      <c r="GK80"/>
      <c r="GL80"/>
      <c r="GM80"/>
      <c r="GN80"/>
      <c r="HS80"/>
      <c r="HT80"/>
      <c r="HU80"/>
      <c r="HV80"/>
      <c r="KI80"/>
      <c r="KN80"/>
      <c r="LU80"/>
      <c r="LV80"/>
      <c r="LW80"/>
      <c r="LX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spans="295:300" customFormat="1" x14ac:dyDescent="0.25"/>
    <row r="5394" spans="295:300" customFormat="1" x14ac:dyDescent="0.25">
      <c r="KI5394" s="137"/>
      <c r="KN5394" s="137"/>
    </row>
    <row r="5395" spans="295:300" customFormat="1" x14ac:dyDescent="0.25">
      <c r="KI5395" s="137"/>
      <c r="KN5395" s="137"/>
    </row>
    <row r="5396" spans="295:300" customFormat="1" x14ac:dyDescent="0.25">
      <c r="KI5396" s="137"/>
      <c r="KN5396" s="137"/>
    </row>
    <row r="5397" spans="295:300" customFormat="1" x14ac:dyDescent="0.25">
      <c r="KI5397" s="137"/>
      <c r="KN5397" s="137"/>
    </row>
    <row r="5398" spans="295:300" customFormat="1" x14ac:dyDescent="0.25">
      <c r="KI5398" s="137"/>
      <c r="KN5398" s="137"/>
    </row>
    <row r="5399" spans="295:300" customFormat="1" x14ac:dyDescent="0.25">
      <c r="KI5399" s="137"/>
      <c r="KN5399" s="137"/>
    </row>
    <row r="5400" spans="295:300" customFormat="1" x14ac:dyDescent="0.25">
      <c r="KI5400" s="137"/>
      <c r="KN5400" s="137"/>
    </row>
    <row r="5401" spans="295:300" customFormat="1" x14ac:dyDescent="0.25">
      <c r="KI5401" s="137"/>
      <c r="KN5401" s="137"/>
    </row>
    <row r="5402" spans="295:300" customFormat="1" x14ac:dyDescent="0.25">
      <c r="KI5402" s="137"/>
      <c r="KN5402" s="137"/>
    </row>
    <row r="5403" spans="295:300" customFormat="1" x14ac:dyDescent="0.25">
      <c r="KI5403" s="137"/>
      <c r="KN5403" s="137"/>
    </row>
    <row r="5404" spans="295:300" customFormat="1" x14ac:dyDescent="0.25">
      <c r="KI5404" s="137"/>
      <c r="KN5404" s="137"/>
    </row>
    <row r="5405" spans="295:300" customFormat="1" x14ac:dyDescent="0.25">
      <c r="KI5405" s="137"/>
      <c r="KN5405" s="137"/>
    </row>
    <row r="5406" spans="295:300" customFormat="1" x14ac:dyDescent="0.25">
      <c r="KI5406" s="137"/>
      <c r="KN5406" s="137"/>
    </row>
    <row r="5407" spans="295:300" customFormat="1" x14ac:dyDescent="0.25">
      <c r="KI5407" s="137"/>
      <c r="KN5407" s="137"/>
    </row>
    <row r="5408" spans="295:300" customFormat="1" x14ac:dyDescent="0.25">
      <c r="KI5408" s="137"/>
      <c r="KN5408" s="137"/>
    </row>
    <row r="5409" spans="295:300" customFormat="1" x14ac:dyDescent="0.25">
      <c r="KI5409" s="137"/>
      <c r="KN5409" s="137"/>
    </row>
    <row r="5410" spans="295:300" customFormat="1" x14ac:dyDescent="0.25">
      <c r="KI5410" s="137"/>
      <c r="KN5410" s="137"/>
    </row>
    <row r="5411" spans="295:300" customFormat="1" x14ac:dyDescent="0.25">
      <c r="KI5411" s="137"/>
      <c r="KN5411" s="137"/>
    </row>
    <row r="5412" spans="295:300" customFormat="1" x14ac:dyDescent="0.25">
      <c r="KI5412" s="137"/>
      <c r="KN5412" s="137"/>
    </row>
    <row r="5413" spans="295:300" customFormat="1" x14ac:dyDescent="0.25">
      <c r="KI5413" s="137"/>
      <c r="KN5413" s="137"/>
    </row>
    <row r="5414" spans="295:300" customFormat="1" x14ac:dyDescent="0.25">
      <c r="KI5414" s="137"/>
      <c r="KN5414" s="137"/>
    </row>
    <row r="5415" spans="295:300" customFormat="1" x14ac:dyDescent="0.25">
      <c r="KI5415" s="137"/>
      <c r="KN5415" s="137"/>
    </row>
    <row r="5416" spans="295:300" customFormat="1" x14ac:dyDescent="0.25">
      <c r="KI5416" s="137"/>
      <c r="KN5416" s="137"/>
    </row>
    <row r="5417" spans="295:300" customFormat="1" x14ac:dyDescent="0.25">
      <c r="KI5417" s="137"/>
      <c r="KN5417" s="137"/>
    </row>
    <row r="5418" spans="295:300" customFormat="1" x14ac:dyDescent="0.25">
      <c r="KI5418" s="137"/>
      <c r="KN5418" s="137"/>
    </row>
    <row r="5419" spans="295:300" customFormat="1" x14ac:dyDescent="0.25">
      <c r="KI5419" s="137"/>
      <c r="KN5419" s="137"/>
    </row>
    <row r="5420" spans="295:300" customFormat="1" x14ac:dyDescent="0.25">
      <c r="KI5420" s="137"/>
      <c r="KN5420" s="137"/>
    </row>
    <row r="5421" spans="295:300" customFormat="1" x14ac:dyDescent="0.25">
      <c r="KI5421" s="137"/>
      <c r="KN5421" s="137"/>
    </row>
    <row r="5422" spans="295:300" customFormat="1" x14ac:dyDescent="0.25">
      <c r="KI5422" s="137"/>
      <c r="KN5422" s="137"/>
    </row>
    <row r="5423" spans="295:300" customFormat="1" x14ac:dyDescent="0.25">
      <c r="KI5423" s="137"/>
      <c r="KN5423" s="137"/>
    </row>
    <row r="5424" spans="295:300" customFormat="1" x14ac:dyDescent="0.25">
      <c r="KI5424" s="137"/>
      <c r="KN5424" s="137"/>
    </row>
    <row r="5425" spans="295:300" customFormat="1" x14ac:dyDescent="0.25">
      <c r="KI5425" s="137"/>
      <c r="KN5425" s="137"/>
    </row>
    <row r="5426" spans="295:300" customFormat="1" x14ac:dyDescent="0.25">
      <c r="KI5426" s="137"/>
      <c r="KN5426" s="137"/>
    </row>
    <row r="5427" spans="295:300" customFormat="1" x14ac:dyDescent="0.25">
      <c r="KI5427" s="137"/>
      <c r="KN5427" s="137"/>
    </row>
    <row r="5428" spans="295:300" customFormat="1" x14ac:dyDescent="0.25">
      <c r="KI5428" s="137"/>
      <c r="KN5428" s="137"/>
    </row>
    <row r="5429" spans="295:300" customFormat="1" x14ac:dyDescent="0.25">
      <c r="KI5429" s="137"/>
      <c r="KN5429" s="137"/>
    </row>
    <row r="5430" spans="295:300" customFormat="1" x14ac:dyDescent="0.25">
      <c r="KI5430" s="137"/>
      <c r="KN5430" s="137"/>
    </row>
    <row r="5431" spans="295:300" customFormat="1" x14ac:dyDescent="0.25">
      <c r="KI5431" s="137"/>
      <c r="KN5431" s="137"/>
    </row>
    <row r="5432" spans="295:300" customFormat="1" x14ac:dyDescent="0.25">
      <c r="KI5432" s="137"/>
      <c r="KN5432" s="137"/>
    </row>
    <row r="5433" spans="295:300" customFormat="1" x14ac:dyDescent="0.25">
      <c r="KI5433" s="137"/>
      <c r="KN5433" s="137"/>
    </row>
    <row r="5434" spans="295:300" customFormat="1" x14ac:dyDescent="0.25">
      <c r="KI5434" s="137"/>
      <c r="KN5434" s="137"/>
    </row>
    <row r="5435" spans="295:300" customFormat="1" x14ac:dyDescent="0.25">
      <c r="KI5435" s="137"/>
      <c r="KN5435" s="137"/>
    </row>
    <row r="5436" spans="295:300" customFormat="1" x14ac:dyDescent="0.25">
      <c r="KI5436" s="137"/>
      <c r="KN5436" s="137"/>
    </row>
    <row r="5437" spans="295:300" customFormat="1" x14ac:dyDescent="0.25">
      <c r="KI5437" s="137"/>
      <c r="KN5437" s="137"/>
    </row>
    <row r="5438" spans="295:300" customFormat="1" x14ac:dyDescent="0.25">
      <c r="KI5438" s="137"/>
      <c r="KN5438" s="137"/>
    </row>
    <row r="5439" spans="295:300" customFormat="1" x14ac:dyDescent="0.25">
      <c r="KI5439" s="137"/>
      <c r="KN5439" s="137"/>
    </row>
    <row r="5440" spans="295:300" customFormat="1" x14ac:dyDescent="0.25">
      <c r="KI5440" s="137"/>
      <c r="KN5440" s="137"/>
    </row>
    <row r="5441" spans="295:300" customFormat="1" x14ac:dyDescent="0.25">
      <c r="KI5441" s="137"/>
      <c r="KN5441" s="137"/>
    </row>
    <row r="5442" spans="295:300" customFormat="1" x14ac:dyDescent="0.25">
      <c r="KI5442" s="137"/>
      <c r="KN5442" s="137"/>
    </row>
    <row r="5443" spans="295:300" customFormat="1" x14ac:dyDescent="0.25">
      <c r="KI5443" s="137"/>
      <c r="KN5443" s="137"/>
    </row>
    <row r="5444" spans="295:300" customFormat="1" x14ac:dyDescent="0.25">
      <c r="KI5444" s="137"/>
      <c r="KN5444" s="137"/>
    </row>
    <row r="5445" spans="295:300" customFormat="1" x14ac:dyDescent="0.25">
      <c r="KI5445" s="137"/>
      <c r="KN5445" s="137"/>
    </row>
    <row r="5446" spans="295:300" customFormat="1" x14ac:dyDescent="0.25">
      <c r="KI5446" s="137"/>
      <c r="KN5446" s="137"/>
    </row>
    <row r="5447" spans="295:300" customFormat="1" x14ac:dyDescent="0.25">
      <c r="KI5447" s="137"/>
      <c r="KN5447" s="137"/>
    </row>
    <row r="5448" spans="295:300" customFormat="1" x14ac:dyDescent="0.25">
      <c r="KI5448" s="137"/>
      <c r="KN5448" s="137"/>
    </row>
    <row r="5449" spans="295:300" customFormat="1" x14ac:dyDescent="0.25">
      <c r="KI5449" s="137"/>
      <c r="KN5449" s="137"/>
    </row>
    <row r="5450" spans="295:300" customFormat="1" x14ac:dyDescent="0.25">
      <c r="KI5450" s="137"/>
      <c r="KN5450" s="137"/>
    </row>
    <row r="5451" spans="295:300" customFormat="1" x14ac:dyDescent="0.25">
      <c r="KI5451" s="137"/>
      <c r="KN5451" s="137"/>
    </row>
    <row r="5452" spans="295:300" customFormat="1" x14ac:dyDescent="0.25">
      <c r="KI5452" s="137"/>
      <c r="KN5452" s="137"/>
    </row>
    <row r="5453" spans="295:300" customFormat="1" x14ac:dyDescent="0.25">
      <c r="KI5453" s="137"/>
      <c r="KN5453" s="137"/>
    </row>
    <row r="5454" spans="295:300" customFormat="1" x14ac:dyDescent="0.25">
      <c r="KI5454" s="137"/>
      <c r="KN5454" s="137"/>
    </row>
    <row r="5455" spans="295:300" customFormat="1" x14ac:dyDescent="0.25">
      <c r="KI5455" s="137"/>
      <c r="KN5455" s="137"/>
    </row>
    <row r="5456" spans="295:300" customFormat="1" x14ac:dyDescent="0.25">
      <c r="KI5456" s="137"/>
      <c r="KN5456" s="137"/>
    </row>
    <row r="5457" spans="295:300" customFormat="1" x14ac:dyDescent="0.25">
      <c r="KI5457" s="137"/>
      <c r="KN5457" s="137"/>
    </row>
    <row r="5458" spans="295:300" customFormat="1" x14ac:dyDescent="0.25">
      <c r="KI5458" s="137"/>
      <c r="KN5458" s="137"/>
    </row>
    <row r="5459" spans="295:300" customFormat="1" x14ac:dyDescent="0.25">
      <c r="KI5459" s="137"/>
      <c r="KN5459" s="137"/>
    </row>
    <row r="5460" spans="295:300" customFormat="1" x14ac:dyDescent="0.25">
      <c r="KI5460" s="137"/>
      <c r="KN5460" s="137"/>
    </row>
    <row r="5461" spans="295:300" customFormat="1" x14ac:dyDescent="0.25">
      <c r="KI5461" s="137"/>
      <c r="KN5461" s="137"/>
    </row>
    <row r="5462" spans="295:300" customFormat="1" x14ac:dyDescent="0.25">
      <c r="KI5462" s="137"/>
      <c r="KN5462" s="137"/>
    </row>
    <row r="5463" spans="295:300" customFormat="1" x14ac:dyDescent="0.25">
      <c r="KI5463" s="137"/>
      <c r="KN5463" s="137"/>
    </row>
    <row r="5464" spans="295:300" customFormat="1" x14ac:dyDescent="0.25">
      <c r="KI5464" s="137"/>
      <c r="KN5464" s="137"/>
    </row>
    <row r="5465" spans="295:300" customFormat="1" x14ac:dyDescent="0.25">
      <c r="KI5465" s="137"/>
      <c r="KN5465" s="137"/>
    </row>
    <row r="5466" spans="295:300" customFormat="1" x14ac:dyDescent="0.25">
      <c r="KI5466" s="137"/>
      <c r="KN5466" s="137"/>
    </row>
    <row r="5467" spans="295:300" customFormat="1" x14ac:dyDescent="0.25">
      <c r="KI5467" s="137"/>
      <c r="KN5467" s="137"/>
    </row>
    <row r="5468" spans="295:300" customFormat="1" x14ac:dyDescent="0.25">
      <c r="KI5468" s="137"/>
      <c r="KN5468" s="137"/>
    </row>
    <row r="5469" spans="295:300" customFormat="1" x14ac:dyDescent="0.25">
      <c r="KI5469" s="137"/>
      <c r="KN5469" s="137"/>
    </row>
    <row r="5470" spans="295:300" customFormat="1" x14ac:dyDescent="0.25">
      <c r="KI5470" s="137"/>
      <c r="KN5470" s="137"/>
    </row>
    <row r="5471" spans="295:300" customFormat="1" x14ac:dyDescent="0.25">
      <c r="KI5471" s="137"/>
      <c r="KN5471" s="137"/>
    </row>
    <row r="5472" spans="295:300" customFormat="1" x14ac:dyDescent="0.25">
      <c r="KI5472" s="137"/>
      <c r="KN5472" s="137"/>
    </row>
    <row r="5473" spans="295:300" customFormat="1" x14ac:dyDescent="0.25">
      <c r="KI5473" s="137"/>
      <c r="KN5473" s="137"/>
    </row>
    <row r="5474" spans="295:300" customFormat="1" x14ac:dyDescent="0.25">
      <c r="KI5474" s="137"/>
      <c r="KN5474" s="137"/>
    </row>
    <row r="5475" spans="295:300" customFormat="1" x14ac:dyDescent="0.25">
      <c r="KI5475" s="137"/>
      <c r="KN5475" s="137"/>
    </row>
    <row r="5476" spans="295:300" customFormat="1" x14ac:dyDescent="0.25">
      <c r="KI5476" s="137"/>
      <c r="KN5476" s="137"/>
    </row>
    <row r="5477" spans="295:300" customFormat="1" x14ac:dyDescent="0.25">
      <c r="KI5477" s="137"/>
      <c r="KN5477" s="137"/>
    </row>
    <row r="5478" spans="295:300" customFormat="1" x14ac:dyDescent="0.25">
      <c r="KI5478" s="137"/>
      <c r="KN5478" s="137"/>
    </row>
    <row r="5479" spans="295:300" customFormat="1" x14ac:dyDescent="0.25">
      <c r="KI5479" s="137"/>
      <c r="KN5479" s="137"/>
    </row>
    <row r="5480" spans="295:300" customFormat="1" x14ac:dyDescent="0.25">
      <c r="KI5480" s="137"/>
      <c r="KN5480" s="137"/>
    </row>
    <row r="5481" spans="295:300" customFormat="1" x14ac:dyDescent="0.25">
      <c r="KI5481" s="137"/>
      <c r="KN5481" s="137"/>
    </row>
    <row r="5482" spans="295:300" customFormat="1" x14ac:dyDescent="0.25">
      <c r="KI5482" s="137"/>
      <c r="KN5482" s="137"/>
    </row>
    <row r="5483" spans="295:300" customFormat="1" x14ac:dyDescent="0.25">
      <c r="KI5483" s="137"/>
      <c r="KN5483" s="137"/>
    </row>
    <row r="5484" spans="295:300" customFormat="1" x14ac:dyDescent="0.25">
      <c r="KI5484" s="137"/>
      <c r="KN5484" s="137"/>
    </row>
    <row r="5485" spans="295:300" customFormat="1" x14ac:dyDescent="0.25">
      <c r="KI5485" s="137"/>
      <c r="KN5485" s="137"/>
    </row>
    <row r="5486" spans="295:300" customFormat="1" x14ac:dyDescent="0.25">
      <c r="KI5486" s="137"/>
      <c r="KN5486" s="137"/>
    </row>
    <row r="5487" spans="295:300" customFormat="1" x14ac:dyDescent="0.25">
      <c r="KI5487" s="137"/>
      <c r="KN5487" s="137"/>
    </row>
    <row r="5488" spans="295:300" customFormat="1" x14ac:dyDescent="0.25">
      <c r="KI5488" s="137"/>
      <c r="KN5488" s="137"/>
    </row>
    <row r="5489" spans="295:300" customFormat="1" x14ac:dyDescent="0.25">
      <c r="KI5489" s="137"/>
      <c r="KN5489" s="137"/>
    </row>
    <row r="5490" spans="295:300" customFormat="1" x14ac:dyDescent="0.25">
      <c r="KI5490" s="137"/>
      <c r="KN5490" s="137"/>
    </row>
    <row r="5491" spans="295:300" customFormat="1" x14ac:dyDescent="0.25">
      <c r="KI5491" s="137"/>
      <c r="KN5491" s="137"/>
    </row>
    <row r="5492" spans="295:300" customFormat="1" x14ac:dyDescent="0.25">
      <c r="KI5492" s="137"/>
      <c r="KN5492" s="137"/>
    </row>
    <row r="5493" spans="295:300" customFormat="1" x14ac:dyDescent="0.25">
      <c r="KI5493" s="137"/>
      <c r="KN5493" s="137"/>
    </row>
    <row r="5494" spans="295:300" customFormat="1" x14ac:dyDescent="0.25">
      <c r="KI5494" s="137"/>
      <c r="KN5494" s="137"/>
    </row>
    <row r="5495" spans="295:300" customFormat="1" x14ac:dyDescent="0.25">
      <c r="KI5495" s="137"/>
      <c r="KN5495" s="137"/>
    </row>
    <row r="5496" spans="295:300" customFormat="1" x14ac:dyDescent="0.25">
      <c r="KI5496" s="137"/>
      <c r="KN5496" s="137"/>
    </row>
    <row r="5497" spans="295:300" customFormat="1" x14ac:dyDescent="0.25">
      <c r="KI5497" s="137"/>
      <c r="KN5497" s="137"/>
    </row>
    <row r="5498" spans="295:300" customFormat="1" x14ac:dyDescent="0.25">
      <c r="KI5498" s="137"/>
      <c r="KN5498" s="137"/>
    </row>
    <row r="5499" spans="295:300" customFormat="1" x14ac:dyDescent="0.25">
      <c r="KI5499" s="137"/>
      <c r="KN5499" s="137"/>
    </row>
    <row r="5500" spans="295:300" customFormat="1" x14ac:dyDescent="0.25">
      <c r="KI5500" s="137"/>
      <c r="KN5500" s="137"/>
    </row>
    <row r="5501" spans="295:300" customFormat="1" x14ac:dyDescent="0.25">
      <c r="KI5501" s="137"/>
      <c r="KN5501" s="137"/>
    </row>
    <row r="5502" spans="295:300" customFormat="1" x14ac:dyDescent="0.25">
      <c r="KI5502" s="137"/>
      <c r="KN5502" s="137"/>
    </row>
    <row r="5503" spans="295:300" customFormat="1" x14ac:dyDescent="0.25">
      <c r="KI5503" s="137"/>
      <c r="KN5503" s="137"/>
    </row>
    <row r="5504" spans="295:300" customFormat="1" x14ac:dyDescent="0.25">
      <c r="KI5504" s="137"/>
      <c r="KN5504" s="137"/>
    </row>
    <row r="5505" spans="295:300" customFormat="1" x14ac:dyDescent="0.25">
      <c r="KI5505" s="137"/>
      <c r="KN5505" s="137"/>
    </row>
    <row r="5506" spans="295:300" customFormat="1" x14ac:dyDescent="0.25">
      <c r="KI5506" s="137"/>
      <c r="KN5506" s="137"/>
    </row>
    <row r="5507" spans="295:300" customFormat="1" x14ac:dyDescent="0.25">
      <c r="KI5507" s="137"/>
      <c r="KN5507" s="137"/>
    </row>
    <row r="5508" spans="295:300" customFormat="1" x14ac:dyDescent="0.25">
      <c r="KI5508" s="137"/>
      <c r="KN5508" s="137"/>
    </row>
    <row r="5509" spans="295:300" customFormat="1" x14ac:dyDescent="0.25">
      <c r="KI5509" s="137"/>
      <c r="KN5509" s="137"/>
    </row>
    <row r="5510" spans="295:300" customFormat="1" x14ac:dyDescent="0.25">
      <c r="KI5510" s="137"/>
      <c r="KN5510" s="137"/>
    </row>
    <row r="5511" spans="295:300" customFormat="1" x14ac:dyDescent="0.25">
      <c r="KI5511" s="137"/>
      <c r="KN5511" s="137"/>
    </row>
    <row r="5512" spans="295:300" customFormat="1" x14ac:dyDescent="0.25">
      <c r="KI5512" s="137"/>
      <c r="KN5512" s="137"/>
    </row>
    <row r="5513" spans="295:300" customFormat="1" x14ac:dyDescent="0.25">
      <c r="KI5513" s="137"/>
      <c r="KN5513" s="137"/>
    </row>
    <row r="5514" spans="295:300" customFormat="1" x14ac:dyDescent="0.25">
      <c r="KI5514" s="137"/>
      <c r="KN5514" s="137"/>
    </row>
    <row r="5515" spans="295:300" customFormat="1" x14ac:dyDescent="0.25">
      <c r="KI5515" s="137"/>
      <c r="KN5515" s="137"/>
    </row>
    <row r="5516" spans="295:300" customFormat="1" x14ac:dyDescent="0.25">
      <c r="KI5516" s="137"/>
      <c r="KN5516" s="137"/>
    </row>
    <row r="5517" spans="295:300" customFormat="1" x14ac:dyDescent="0.25">
      <c r="KI5517" s="137"/>
      <c r="KN5517" s="137"/>
    </row>
    <row r="5518" spans="295:300" customFormat="1" x14ac:dyDescent="0.25">
      <c r="KI5518" s="137"/>
      <c r="KN5518" s="137"/>
    </row>
    <row r="5519" spans="295:300" customFormat="1" x14ac:dyDescent="0.25">
      <c r="KI5519" s="137"/>
      <c r="KN5519" s="137"/>
    </row>
    <row r="5520" spans="295:300" customFormat="1" x14ac:dyDescent="0.25">
      <c r="KI5520" s="137"/>
      <c r="KN5520" s="137"/>
    </row>
    <row r="5521" spans="295:300" customFormat="1" x14ac:dyDescent="0.25">
      <c r="KI5521" s="137"/>
      <c r="KN5521" s="137"/>
    </row>
    <row r="5522" spans="295:300" customFormat="1" x14ac:dyDescent="0.25">
      <c r="KI5522" s="137"/>
      <c r="KN5522" s="137"/>
    </row>
    <row r="5523" spans="295:300" customFormat="1" x14ac:dyDescent="0.25">
      <c r="KI5523" s="137"/>
      <c r="KN5523" s="137"/>
    </row>
    <row r="5524" spans="295:300" customFormat="1" x14ac:dyDescent="0.25">
      <c r="KI5524" s="137"/>
      <c r="KN5524" s="137"/>
    </row>
    <row r="5525" spans="295:300" customFormat="1" x14ac:dyDescent="0.25">
      <c r="KI5525" s="137"/>
      <c r="KN5525" s="137"/>
    </row>
    <row r="5526" spans="295:300" customFormat="1" x14ac:dyDescent="0.25">
      <c r="KI5526" s="137"/>
      <c r="KN5526" s="137"/>
    </row>
    <row r="5527" spans="295:300" customFormat="1" x14ac:dyDescent="0.25">
      <c r="KI5527" s="137"/>
      <c r="KN5527" s="137"/>
    </row>
    <row r="5528" spans="295:300" customFormat="1" x14ac:dyDescent="0.25">
      <c r="KI5528" s="137"/>
      <c r="KN5528" s="137"/>
    </row>
    <row r="5529" spans="295:300" customFormat="1" x14ac:dyDescent="0.25">
      <c r="KI5529" s="137"/>
      <c r="KN5529" s="137"/>
    </row>
    <row r="5530" spans="295:300" customFormat="1" x14ac:dyDescent="0.25">
      <c r="KI5530" s="137"/>
      <c r="KN5530" s="137"/>
    </row>
    <row r="5531" spans="295:300" customFormat="1" x14ac:dyDescent="0.25">
      <c r="KI5531" s="137"/>
      <c r="KN5531" s="137"/>
    </row>
    <row r="5532" spans="295:300" customFormat="1" x14ac:dyDescent="0.25">
      <c r="KI5532" s="137"/>
      <c r="KN5532" s="137"/>
    </row>
    <row r="5533" spans="295:300" customFormat="1" x14ac:dyDescent="0.25">
      <c r="KI5533" s="137"/>
      <c r="KN5533" s="137"/>
    </row>
    <row r="5534" spans="295:300" customFormat="1" x14ac:dyDescent="0.25">
      <c r="KI5534" s="137"/>
      <c r="KN5534" s="137"/>
    </row>
    <row r="5535" spans="295:300" customFormat="1" x14ac:dyDescent="0.25">
      <c r="KI5535" s="137"/>
      <c r="KN5535" s="137"/>
    </row>
    <row r="5536" spans="295:300" customFormat="1" x14ac:dyDescent="0.25">
      <c r="KI5536" s="137"/>
      <c r="KN5536" s="137"/>
    </row>
    <row r="5537" spans="295:300" customFormat="1" x14ac:dyDescent="0.25">
      <c r="KI5537" s="137"/>
      <c r="KN5537" s="137"/>
    </row>
    <row r="5538" spans="295:300" customFormat="1" x14ac:dyDescent="0.25">
      <c r="KI5538" s="137"/>
      <c r="KN5538" s="137"/>
    </row>
    <row r="5539" spans="295:300" customFormat="1" x14ac:dyDescent="0.25">
      <c r="KI5539" s="137"/>
      <c r="KN5539" s="137"/>
    </row>
    <row r="5540" spans="295:300" customFormat="1" x14ac:dyDescent="0.25">
      <c r="KI5540" s="137"/>
      <c r="KN5540" s="137"/>
    </row>
    <row r="5541" spans="295:300" customFormat="1" x14ac:dyDescent="0.25">
      <c r="KI5541" s="137"/>
      <c r="KN5541" s="137"/>
    </row>
    <row r="5542" spans="295:300" customFormat="1" x14ac:dyDescent="0.25">
      <c r="KI5542" s="137"/>
      <c r="KN5542" s="137"/>
    </row>
    <row r="5543" spans="295:300" customFormat="1" x14ac:dyDescent="0.25">
      <c r="KI5543" s="137"/>
      <c r="KN5543" s="137"/>
    </row>
    <row r="5544" spans="295:300" customFormat="1" x14ac:dyDescent="0.25">
      <c r="KI5544" s="137"/>
      <c r="KN5544" s="137"/>
    </row>
    <row r="5545" spans="295:300" customFormat="1" x14ac:dyDescent="0.25">
      <c r="KI5545" s="137"/>
      <c r="KN5545" s="137"/>
    </row>
    <row r="5546" spans="295:300" customFormat="1" x14ac:dyDescent="0.25">
      <c r="KI5546" s="137"/>
      <c r="KN5546" s="137"/>
    </row>
    <row r="5547" spans="295:300" customFormat="1" x14ac:dyDescent="0.25">
      <c r="KI5547" s="137"/>
      <c r="KN5547" s="137"/>
    </row>
    <row r="5548" spans="295:300" customFormat="1" x14ac:dyDescent="0.25">
      <c r="KI5548" s="137"/>
      <c r="KN5548" s="137"/>
    </row>
    <row r="5549" spans="295:300" customFormat="1" x14ac:dyDescent="0.25">
      <c r="KI5549" s="137"/>
      <c r="KN5549" s="137"/>
    </row>
    <row r="5550" spans="295:300" customFormat="1" x14ac:dyDescent="0.25">
      <c r="KI5550" s="137"/>
      <c r="KN5550" s="137"/>
    </row>
    <row r="5551" spans="295:300" customFormat="1" x14ac:dyDescent="0.25">
      <c r="KI5551" s="137"/>
      <c r="KN5551" s="137"/>
    </row>
    <row r="5552" spans="295:300" customFormat="1" x14ac:dyDescent="0.25">
      <c r="KI5552" s="137"/>
      <c r="KN5552" s="137"/>
    </row>
    <row r="5553" spans="295:300" customFormat="1" x14ac:dyDescent="0.25">
      <c r="KI5553" s="137"/>
      <c r="KN5553" s="137"/>
    </row>
    <row r="5554" spans="295:300" customFormat="1" x14ac:dyDescent="0.25">
      <c r="KI5554" s="137"/>
      <c r="KN5554" s="137"/>
    </row>
    <row r="5555" spans="295:300" customFormat="1" x14ac:dyDescent="0.25">
      <c r="KI5555" s="137"/>
      <c r="KN5555" s="137"/>
    </row>
    <row r="5556" spans="295:300" customFormat="1" x14ac:dyDescent="0.25">
      <c r="KI5556" s="137"/>
      <c r="KN5556" s="137"/>
    </row>
    <row r="5557" spans="295:300" customFormat="1" x14ac:dyDescent="0.25">
      <c r="KI5557" s="137"/>
      <c r="KN5557" s="137"/>
    </row>
    <row r="5558" spans="295:300" customFormat="1" x14ac:dyDescent="0.25">
      <c r="KI5558" s="137"/>
      <c r="KN5558" s="137"/>
    </row>
    <row r="5559" spans="295:300" customFormat="1" x14ac:dyDescent="0.25">
      <c r="KI5559" s="137"/>
      <c r="KN5559" s="137"/>
    </row>
    <row r="5560" spans="295:300" customFormat="1" x14ac:dyDescent="0.25">
      <c r="KI5560" s="137"/>
      <c r="KN5560" s="137"/>
    </row>
    <row r="5561" spans="295:300" customFormat="1" x14ac:dyDescent="0.25">
      <c r="KI5561" s="137"/>
      <c r="KN5561" s="137"/>
    </row>
    <row r="5562" spans="295:300" customFormat="1" x14ac:dyDescent="0.25">
      <c r="KI5562" s="137"/>
      <c r="KN5562" s="137"/>
    </row>
    <row r="5563" spans="295:300" customFormat="1" x14ac:dyDescent="0.25">
      <c r="KI5563" s="137"/>
      <c r="KN5563" s="137"/>
    </row>
    <row r="5564" spans="295:300" customFormat="1" x14ac:dyDescent="0.25">
      <c r="KI5564" s="137"/>
      <c r="KN5564" s="137"/>
    </row>
    <row r="5565" spans="295:300" customFormat="1" x14ac:dyDescent="0.25">
      <c r="KI5565" s="137"/>
      <c r="KN5565" s="137"/>
    </row>
    <row r="5566" spans="295:300" customFormat="1" x14ac:dyDescent="0.25">
      <c r="KI5566" s="137"/>
      <c r="KN5566" s="137"/>
    </row>
    <row r="5567" spans="295:300" customFormat="1" x14ac:dyDescent="0.25">
      <c r="KI5567" s="137"/>
      <c r="KN5567" s="137"/>
    </row>
    <row r="5568" spans="295:300" customFormat="1" x14ac:dyDescent="0.25">
      <c r="KI5568" s="137"/>
      <c r="KN5568" s="137"/>
    </row>
    <row r="5569" spans="295:300" customFormat="1" x14ac:dyDescent="0.25">
      <c r="KI5569" s="137"/>
      <c r="KN5569" s="137"/>
    </row>
    <row r="5570" spans="295:300" customFormat="1" x14ac:dyDescent="0.25">
      <c r="KI5570" s="137"/>
      <c r="KN5570" s="137"/>
    </row>
    <row r="5571" spans="295:300" customFormat="1" x14ac:dyDescent="0.25">
      <c r="KI5571" s="137"/>
      <c r="KN5571" s="137"/>
    </row>
    <row r="5572" spans="295:300" customFormat="1" x14ac:dyDescent="0.25">
      <c r="KI5572" s="137"/>
      <c r="KN5572" s="137"/>
    </row>
    <row r="5573" spans="295:300" customFormat="1" x14ac:dyDescent="0.25">
      <c r="KI5573" s="137"/>
      <c r="KN5573" s="137"/>
    </row>
    <row r="5574" spans="295:300" customFormat="1" x14ac:dyDescent="0.25">
      <c r="KI5574" s="137"/>
      <c r="KN5574" s="137"/>
    </row>
    <row r="5575" spans="295:300" customFormat="1" x14ac:dyDescent="0.25">
      <c r="KI5575" s="137"/>
      <c r="KN5575" s="137"/>
    </row>
    <row r="5576" spans="295:300" customFormat="1" x14ac:dyDescent="0.25">
      <c r="KI5576" s="137"/>
      <c r="KN5576" s="137"/>
    </row>
    <row r="5577" spans="295:300" customFormat="1" x14ac:dyDescent="0.25">
      <c r="KI5577" s="137"/>
      <c r="KN5577" s="137"/>
    </row>
    <row r="5578" spans="295:300" customFormat="1" x14ac:dyDescent="0.25">
      <c r="KI5578" s="137"/>
      <c r="KN5578" s="137"/>
    </row>
    <row r="5579" spans="295:300" customFormat="1" x14ac:dyDescent="0.25">
      <c r="KI5579" s="137"/>
      <c r="KN5579" s="137"/>
    </row>
    <row r="5580" spans="295:300" customFormat="1" x14ac:dyDescent="0.25">
      <c r="KI5580" s="137"/>
      <c r="KN5580" s="137"/>
    </row>
    <row r="5581" spans="295:300" customFormat="1" x14ac:dyDescent="0.25">
      <c r="KI5581" s="137"/>
      <c r="KN5581" s="137"/>
    </row>
    <row r="5582" spans="295:300" customFormat="1" x14ac:dyDescent="0.25">
      <c r="KI5582" s="137"/>
      <c r="KN5582" s="137"/>
    </row>
    <row r="5583" spans="295:300" customFormat="1" x14ac:dyDescent="0.25">
      <c r="KI5583" s="137"/>
      <c r="KN5583" s="137"/>
    </row>
    <row r="5584" spans="295:300" customFormat="1" x14ac:dyDescent="0.25">
      <c r="KI5584" s="137"/>
      <c r="KN5584" s="137"/>
    </row>
    <row r="5585" spans="295:300" customFormat="1" x14ac:dyDescent="0.25">
      <c r="KI5585" s="137"/>
      <c r="KN5585" s="137"/>
    </row>
    <row r="5586" spans="295:300" customFormat="1" x14ac:dyDescent="0.25">
      <c r="KI5586" s="137"/>
      <c r="KN5586" s="137"/>
    </row>
    <row r="5587" spans="295:300" customFormat="1" x14ac:dyDescent="0.25">
      <c r="KI5587" s="137"/>
      <c r="KN5587" s="137"/>
    </row>
    <row r="5588" spans="295:300" customFormat="1" x14ac:dyDescent="0.25">
      <c r="KI5588" s="137"/>
      <c r="KN5588" s="137"/>
    </row>
    <row r="5589" spans="295:300" customFormat="1" x14ac:dyDescent="0.25">
      <c r="KI5589" s="137"/>
      <c r="KN5589" s="137"/>
    </row>
    <row r="5590" spans="295:300" customFormat="1" x14ac:dyDescent="0.25">
      <c r="KI5590" s="137"/>
      <c r="KN5590" s="137"/>
    </row>
    <row r="5591" spans="295:300" customFormat="1" x14ac:dyDescent="0.25">
      <c r="KI5591" s="137"/>
      <c r="KN5591" s="137"/>
    </row>
    <row r="5592" spans="295:300" customFormat="1" x14ac:dyDescent="0.25">
      <c r="KI5592" s="137"/>
      <c r="KN5592" s="137"/>
    </row>
    <row r="5593" spans="295:300" customFormat="1" x14ac:dyDescent="0.25">
      <c r="KI5593" s="137"/>
      <c r="KN5593" s="137"/>
    </row>
    <row r="5594" spans="295:300" customFormat="1" x14ac:dyDescent="0.25">
      <c r="KI5594" s="137"/>
      <c r="KN5594" s="137"/>
    </row>
    <row r="5595" spans="295:300" customFormat="1" x14ac:dyDescent="0.25">
      <c r="KI5595" s="137"/>
      <c r="KN5595" s="137"/>
    </row>
    <row r="5596" spans="295:300" customFormat="1" x14ac:dyDescent="0.25">
      <c r="KI5596" s="137"/>
      <c r="KN5596" s="137"/>
    </row>
    <row r="5597" spans="295:300" customFormat="1" x14ac:dyDescent="0.25">
      <c r="KI5597" s="137"/>
      <c r="KN5597" s="137"/>
    </row>
    <row r="5598" spans="295:300" customFormat="1" x14ac:dyDescent="0.25">
      <c r="KI5598" s="137"/>
      <c r="KN5598" s="137"/>
    </row>
    <row r="5599" spans="295:300" customFormat="1" x14ac:dyDescent="0.25">
      <c r="KI5599" s="137"/>
      <c r="KN5599" s="137"/>
    </row>
    <row r="5600" spans="295:300" customFormat="1" x14ac:dyDescent="0.25">
      <c r="KI5600" s="137"/>
      <c r="KN5600" s="137"/>
    </row>
    <row r="5601" spans="295:300" customFormat="1" x14ac:dyDescent="0.25">
      <c r="KI5601" s="137"/>
      <c r="KN5601" s="137"/>
    </row>
    <row r="5602" spans="295:300" customFormat="1" x14ac:dyDescent="0.25">
      <c r="KI5602" s="137"/>
      <c r="KN5602" s="137"/>
    </row>
    <row r="5603" spans="295:300" customFormat="1" x14ac:dyDescent="0.25">
      <c r="KI5603" s="137"/>
      <c r="KN5603" s="137"/>
    </row>
    <row r="5604" spans="295:300" customFormat="1" x14ac:dyDescent="0.25">
      <c r="KI5604" s="137"/>
      <c r="KN5604" s="137"/>
    </row>
    <row r="5605" spans="295:300" customFormat="1" x14ac:dyDescent="0.25">
      <c r="KI5605" s="137"/>
      <c r="KN5605" s="137"/>
    </row>
    <row r="5606" spans="295:300" customFormat="1" x14ac:dyDescent="0.25">
      <c r="KI5606" s="137"/>
      <c r="KN5606" s="137"/>
    </row>
    <row r="5607" spans="295:300" customFormat="1" x14ac:dyDescent="0.25">
      <c r="KI5607" s="137"/>
      <c r="KN5607" s="137"/>
    </row>
    <row r="5608" spans="295:300" customFormat="1" x14ac:dyDescent="0.25">
      <c r="KI5608" s="137"/>
      <c r="KN5608" s="137"/>
    </row>
    <row r="5609" spans="295:300" customFormat="1" x14ac:dyDescent="0.25">
      <c r="KI5609" s="137"/>
      <c r="KN5609" s="137"/>
    </row>
    <row r="5610" spans="295:300" customFormat="1" x14ac:dyDescent="0.25">
      <c r="KI5610" s="137"/>
      <c r="KN5610" s="137"/>
    </row>
    <row r="5611" spans="295:300" customFormat="1" x14ac:dyDescent="0.25">
      <c r="KI5611" s="137"/>
      <c r="KN5611" s="137"/>
    </row>
    <row r="5612" spans="295:300" customFormat="1" x14ac:dyDescent="0.25">
      <c r="KI5612" s="137"/>
      <c r="KN5612" s="137"/>
    </row>
    <row r="5613" spans="295:300" customFormat="1" x14ac:dyDescent="0.25">
      <c r="KI5613" s="137"/>
      <c r="KN5613" s="137"/>
    </row>
    <row r="5614" spans="295:300" customFormat="1" x14ac:dyDescent="0.25">
      <c r="KI5614" s="137"/>
      <c r="KN5614" s="137"/>
    </row>
    <row r="5615" spans="295:300" customFormat="1" x14ac:dyDescent="0.25">
      <c r="KI5615" s="137"/>
      <c r="KN5615" s="137"/>
    </row>
    <row r="5616" spans="295:300" customFormat="1" x14ac:dyDescent="0.25">
      <c r="KI5616" s="137"/>
      <c r="KN5616" s="137"/>
    </row>
    <row r="5617" spans="295:300" customFormat="1" x14ac:dyDescent="0.25">
      <c r="KI5617" s="137"/>
      <c r="KN5617" s="137"/>
    </row>
    <row r="5618" spans="295:300" customFormat="1" x14ac:dyDescent="0.25">
      <c r="KI5618" s="137"/>
      <c r="KN5618" s="137"/>
    </row>
    <row r="5619" spans="295:300" customFormat="1" x14ac:dyDescent="0.25">
      <c r="KI5619" s="137"/>
      <c r="KN5619" s="137"/>
    </row>
    <row r="5620" spans="295:300" customFormat="1" x14ac:dyDescent="0.25">
      <c r="KI5620" s="137"/>
      <c r="KN5620" s="137"/>
    </row>
    <row r="5621" spans="295:300" customFormat="1" x14ac:dyDescent="0.25">
      <c r="KI5621" s="137"/>
      <c r="KN5621" s="137"/>
    </row>
    <row r="5622" spans="295:300" customFormat="1" x14ac:dyDescent="0.25">
      <c r="KI5622" s="137"/>
      <c r="KN5622" s="137"/>
    </row>
    <row r="5623" spans="295:300" customFormat="1" x14ac:dyDescent="0.25">
      <c r="KI5623" s="137"/>
      <c r="KN5623" s="137"/>
    </row>
    <row r="5624" spans="295:300" customFormat="1" x14ac:dyDescent="0.25">
      <c r="KI5624" s="137"/>
      <c r="KN5624" s="137"/>
    </row>
    <row r="5625" spans="295:300" customFormat="1" x14ac:dyDescent="0.25">
      <c r="KI5625" s="137"/>
      <c r="KN5625" s="137"/>
    </row>
    <row r="5626" spans="295:300" customFormat="1" x14ac:dyDescent="0.25">
      <c r="KI5626" s="137"/>
      <c r="KN5626" s="137"/>
    </row>
    <row r="5627" spans="295:300" customFormat="1" x14ac:dyDescent="0.25">
      <c r="KI5627" s="137"/>
      <c r="KN5627" s="137"/>
    </row>
    <row r="5628" spans="295:300" customFormat="1" x14ac:dyDescent="0.25">
      <c r="KI5628" s="137"/>
      <c r="KN5628" s="137"/>
    </row>
    <row r="5629" spans="295:300" customFormat="1" x14ac:dyDescent="0.25">
      <c r="KI5629" s="137"/>
      <c r="KN5629" s="137"/>
    </row>
    <row r="5630" spans="295:300" customFormat="1" x14ac:dyDescent="0.25">
      <c r="KI5630" s="137"/>
      <c r="KN5630" s="137"/>
    </row>
    <row r="5631" spans="295:300" customFormat="1" x14ac:dyDescent="0.25">
      <c r="KI5631" s="137"/>
      <c r="KN5631" s="137"/>
    </row>
    <row r="5632" spans="295:300" customFormat="1" x14ac:dyDescent="0.25">
      <c r="KI5632" s="137"/>
      <c r="KN5632" s="137"/>
    </row>
    <row r="5633" spans="295:300" customFormat="1" x14ac:dyDescent="0.25">
      <c r="KI5633" s="137"/>
      <c r="KN5633" s="137"/>
    </row>
    <row r="5634" spans="295:300" customFormat="1" x14ac:dyDescent="0.25">
      <c r="KI5634" s="137"/>
      <c r="KN5634" s="137"/>
    </row>
    <row r="5635" spans="295:300" customFormat="1" x14ac:dyDescent="0.25">
      <c r="KI5635" s="137"/>
      <c r="KN5635" s="137"/>
    </row>
    <row r="5636" spans="295:300" customFormat="1" x14ac:dyDescent="0.25">
      <c r="KI5636" s="137"/>
      <c r="KN5636" s="137"/>
    </row>
    <row r="5637" spans="295:300" customFormat="1" x14ac:dyDescent="0.25">
      <c r="KI5637" s="137"/>
      <c r="KN5637" s="137"/>
    </row>
    <row r="5638" spans="295:300" customFormat="1" x14ac:dyDescent="0.25">
      <c r="KI5638" s="137"/>
      <c r="KN5638" s="137"/>
    </row>
    <row r="5639" spans="295:300" customFormat="1" x14ac:dyDescent="0.25">
      <c r="KI5639" s="137"/>
      <c r="KN5639" s="137"/>
    </row>
    <row r="5640" spans="295:300" customFormat="1" x14ac:dyDescent="0.25">
      <c r="KI5640" s="137"/>
      <c r="KN5640" s="137"/>
    </row>
    <row r="5641" spans="295:300" customFormat="1" x14ac:dyDescent="0.25">
      <c r="KI5641" s="137"/>
      <c r="KN5641" s="137"/>
    </row>
    <row r="5642" spans="295:300" customFormat="1" x14ac:dyDescent="0.25">
      <c r="KI5642" s="137"/>
      <c r="KN5642" s="137"/>
    </row>
    <row r="5643" spans="295:300" customFormat="1" x14ac:dyDescent="0.25">
      <c r="KI5643" s="137"/>
      <c r="KN5643" s="137"/>
    </row>
    <row r="5644" spans="295:300" customFormat="1" x14ac:dyDescent="0.25">
      <c r="KI5644" s="137"/>
      <c r="KN5644" s="137"/>
    </row>
    <row r="5645" spans="295:300" customFormat="1" x14ac:dyDescent="0.25">
      <c r="KI5645" s="137"/>
      <c r="KN5645" s="137"/>
    </row>
    <row r="5646" spans="295:300" customFormat="1" x14ac:dyDescent="0.25">
      <c r="KI5646" s="137"/>
      <c r="KN5646" s="137"/>
    </row>
    <row r="5647" spans="295:300" customFormat="1" x14ac:dyDescent="0.25">
      <c r="KI5647" s="137"/>
      <c r="KN5647" s="137"/>
    </row>
    <row r="5648" spans="295:300" customFormat="1" x14ac:dyDescent="0.25">
      <c r="KI5648" s="137"/>
      <c r="KN5648" s="137"/>
    </row>
    <row r="5649" spans="295:300" customFormat="1" x14ac:dyDescent="0.25">
      <c r="KI5649" s="137"/>
      <c r="KN5649" s="137"/>
    </row>
    <row r="5650" spans="295:300" customFormat="1" x14ac:dyDescent="0.25">
      <c r="KI5650" s="137"/>
      <c r="KN5650" s="137"/>
    </row>
    <row r="5651" spans="295:300" customFormat="1" x14ac:dyDescent="0.25">
      <c r="KI5651" s="137"/>
      <c r="KN5651" s="137"/>
    </row>
    <row r="5652" spans="295:300" customFormat="1" x14ac:dyDescent="0.25">
      <c r="KI5652" s="137"/>
      <c r="KN5652" s="137"/>
    </row>
    <row r="5653" spans="295:300" customFormat="1" x14ac:dyDescent="0.25">
      <c r="KI5653" s="137"/>
      <c r="KN5653" s="137"/>
    </row>
    <row r="5654" spans="295:300" customFormat="1" x14ac:dyDescent="0.25">
      <c r="KI5654" s="137"/>
      <c r="KN5654" s="137"/>
    </row>
    <row r="5655" spans="295:300" customFormat="1" x14ac:dyDescent="0.25">
      <c r="KI5655" s="137"/>
      <c r="KN5655" s="137"/>
    </row>
    <row r="5656" spans="295:300" customFormat="1" x14ac:dyDescent="0.25">
      <c r="KI5656" s="137"/>
      <c r="KN5656" s="137"/>
    </row>
    <row r="5657" spans="295:300" customFormat="1" x14ac:dyDescent="0.25">
      <c r="KI5657" s="137"/>
      <c r="KN5657" s="137"/>
    </row>
    <row r="5658" spans="295:300" customFormat="1" x14ac:dyDescent="0.25">
      <c r="KI5658" s="137"/>
      <c r="KN5658" s="137"/>
    </row>
    <row r="5659" spans="295:300" customFormat="1" x14ac:dyDescent="0.25">
      <c r="KI5659" s="137"/>
      <c r="KN5659" s="137"/>
    </row>
    <row r="5660" spans="295:300" customFormat="1" x14ac:dyDescent="0.25">
      <c r="KI5660" s="137"/>
      <c r="KN5660" s="137"/>
    </row>
    <row r="5661" spans="295:300" customFormat="1" x14ac:dyDescent="0.25">
      <c r="KI5661" s="137"/>
      <c r="KN5661" s="137"/>
    </row>
    <row r="5662" spans="295:300" customFormat="1" x14ac:dyDescent="0.25">
      <c r="KI5662" s="137"/>
      <c r="KN5662" s="137"/>
    </row>
    <row r="5663" spans="295:300" customFormat="1" x14ac:dyDescent="0.25">
      <c r="KI5663" s="137"/>
      <c r="KN5663" s="137"/>
    </row>
    <row r="5664" spans="295:300" customFormat="1" x14ac:dyDescent="0.25">
      <c r="KI5664" s="137"/>
      <c r="KN5664" s="137"/>
    </row>
    <row r="5665" spans="295:300" customFormat="1" x14ac:dyDescent="0.25">
      <c r="KI5665" s="137"/>
      <c r="KN5665" s="137"/>
    </row>
    <row r="5666" spans="295:300" customFormat="1" x14ac:dyDescent="0.25">
      <c r="KI5666" s="137"/>
      <c r="KN5666" s="137"/>
    </row>
    <row r="5667" spans="295:300" customFormat="1" x14ac:dyDescent="0.25">
      <c r="KI5667" s="137"/>
      <c r="KN5667" s="137"/>
    </row>
    <row r="5668" spans="295:300" customFormat="1" x14ac:dyDescent="0.25">
      <c r="KI5668" s="137"/>
      <c r="KN5668" s="137"/>
    </row>
    <row r="5669" spans="295:300" customFormat="1" x14ac:dyDescent="0.25">
      <c r="KI5669" s="137"/>
      <c r="KN5669" s="137"/>
    </row>
    <row r="5670" spans="295:300" customFormat="1" x14ac:dyDescent="0.25">
      <c r="KI5670" s="137"/>
      <c r="KN5670" s="137"/>
    </row>
    <row r="5671" spans="295:300" customFormat="1" x14ac:dyDescent="0.25">
      <c r="KI5671" s="137"/>
      <c r="KN5671" s="137"/>
    </row>
    <row r="5672" spans="295:300" customFormat="1" x14ac:dyDescent="0.25">
      <c r="KI5672" s="137"/>
      <c r="KN5672" s="137"/>
    </row>
    <row r="5673" spans="295:300" customFormat="1" x14ac:dyDescent="0.25">
      <c r="KI5673" s="137"/>
      <c r="KN5673" s="137"/>
    </row>
    <row r="5674" spans="295:300" customFormat="1" x14ac:dyDescent="0.25">
      <c r="KI5674" s="137"/>
      <c r="KN5674" s="137"/>
    </row>
    <row r="5675" spans="295:300" customFormat="1" x14ac:dyDescent="0.25">
      <c r="KI5675" s="137"/>
      <c r="KN5675" s="137"/>
    </row>
    <row r="5676" spans="295:300" customFormat="1" x14ac:dyDescent="0.25">
      <c r="KI5676" s="137"/>
      <c r="KN5676" s="137"/>
    </row>
    <row r="5677" spans="295:300" customFormat="1" x14ac:dyDescent="0.25">
      <c r="KI5677" s="137"/>
      <c r="KN5677" s="137"/>
    </row>
    <row r="5678" spans="295:300" customFormat="1" x14ac:dyDescent="0.25">
      <c r="KI5678" s="137"/>
      <c r="KN5678" s="137"/>
    </row>
    <row r="5679" spans="295:300" customFormat="1" x14ac:dyDescent="0.25">
      <c r="KI5679" s="137"/>
      <c r="KN5679" s="137"/>
    </row>
    <row r="5680" spans="295:300" customFormat="1" x14ac:dyDescent="0.25">
      <c r="KI5680" s="137"/>
      <c r="KN5680" s="137"/>
    </row>
    <row r="5681" spans="295:300" customFormat="1" x14ac:dyDescent="0.25">
      <c r="KI5681" s="137"/>
      <c r="KN5681" s="137"/>
    </row>
    <row r="5682" spans="295:300" customFormat="1" x14ac:dyDescent="0.25">
      <c r="KI5682" s="137"/>
      <c r="KN5682" s="137"/>
    </row>
    <row r="5683" spans="295:300" customFormat="1" x14ac:dyDescent="0.25">
      <c r="KI5683" s="137"/>
      <c r="KN5683" s="137"/>
    </row>
    <row r="5684" spans="295:300" customFormat="1" x14ac:dyDescent="0.25">
      <c r="KI5684" s="137"/>
      <c r="KN5684" s="137"/>
    </row>
    <row r="5685" spans="295:300" customFormat="1" x14ac:dyDescent="0.25">
      <c r="KI5685" s="137"/>
      <c r="KN5685" s="137"/>
    </row>
    <row r="5686" spans="295:300" customFormat="1" x14ac:dyDescent="0.25">
      <c r="KI5686" s="137"/>
      <c r="KN5686" s="137"/>
    </row>
    <row r="5687" spans="295:300" customFormat="1" x14ac:dyDescent="0.25">
      <c r="KI5687" s="137"/>
      <c r="KN5687" s="137"/>
    </row>
    <row r="5688" spans="295:300" customFormat="1" x14ac:dyDescent="0.25">
      <c r="KI5688" s="137"/>
      <c r="KN5688" s="137"/>
    </row>
    <row r="5689" spans="295:300" customFormat="1" x14ac:dyDescent="0.25">
      <c r="KI5689" s="137"/>
      <c r="KN5689" s="137"/>
    </row>
    <row r="5690" spans="295:300" customFormat="1" x14ac:dyDescent="0.25">
      <c r="KI5690" s="137"/>
      <c r="KN5690" s="137"/>
    </row>
    <row r="5691" spans="295:300" customFormat="1" x14ac:dyDescent="0.25">
      <c r="KI5691" s="137"/>
      <c r="KN5691" s="137"/>
    </row>
    <row r="5692" spans="295:300" customFormat="1" x14ac:dyDescent="0.25">
      <c r="KI5692" s="137"/>
      <c r="KN5692" s="137"/>
    </row>
    <row r="5693" spans="295:300" customFormat="1" x14ac:dyDescent="0.25">
      <c r="KI5693" s="137"/>
      <c r="KN5693" s="137"/>
    </row>
    <row r="5694" spans="295:300" customFormat="1" x14ac:dyDescent="0.25">
      <c r="KI5694" s="137"/>
      <c r="KN5694" s="137"/>
    </row>
    <row r="5695" spans="295:300" customFormat="1" x14ac:dyDescent="0.25">
      <c r="KI5695" s="137"/>
      <c r="KN5695" s="137"/>
    </row>
    <row r="5696" spans="295:300" customFormat="1" x14ac:dyDescent="0.25">
      <c r="KI5696" s="137"/>
      <c r="KN5696" s="137"/>
    </row>
    <row r="5697" spans="295:300" customFormat="1" x14ac:dyDescent="0.25">
      <c r="KI5697" s="137"/>
      <c r="KN5697" s="137"/>
    </row>
    <row r="5698" spans="295:300" customFormat="1" x14ac:dyDescent="0.25">
      <c r="KI5698" s="137"/>
      <c r="KN5698" s="137"/>
    </row>
    <row r="5699" spans="295:300" customFormat="1" x14ac:dyDescent="0.25">
      <c r="KI5699" s="137"/>
      <c r="KN5699" s="137"/>
    </row>
    <row r="5700" spans="295:300" customFormat="1" x14ac:dyDescent="0.25">
      <c r="KI5700" s="137"/>
      <c r="KN5700" s="137"/>
    </row>
    <row r="5701" spans="295:300" customFormat="1" x14ac:dyDescent="0.25">
      <c r="KI5701" s="137"/>
      <c r="KN5701" s="137"/>
    </row>
    <row r="5702" spans="295:300" customFormat="1" x14ac:dyDescent="0.25">
      <c r="KI5702" s="137"/>
      <c r="KN5702" s="137"/>
    </row>
    <row r="5703" spans="295:300" customFormat="1" x14ac:dyDescent="0.25">
      <c r="KI5703" s="137"/>
      <c r="KN5703" s="137"/>
    </row>
    <row r="5704" spans="295:300" customFormat="1" x14ac:dyDescent="0.25">
      <c r="KI5704" s="137"/>
      <c r="KN5704" s="137"/>
    </row>
    <row r="5705" spans="295:300" customFormat="1" x14ac:dyDescent="0.25">
      <c r="KI5705" s="137"/>
      <c r="KN5705" s="137"/>
    </row>
    <row r="5706" spans="295:300" customFormat="1" x14ac:dyDescent="0.25">
      <c r="KI5706" s="137"/>
      <c r="KN5706" s="137"/>
    </row>
    <row r="5707" spans="295:300" customFormat="1" x14ac:dyDescent="0.25">
      <c r="KI5707" s="137"/>
      <c r="KN5707" s="137"/>
    </row>
    <row r="5708" spans="295:300" customFormat="1" x14ac:dyDescent="0.25">
      <c r="KI5708" s="137"/>
      <c r="KN5708" s="137"/>
    </row>
    <row r="5709" spans="295:300" customFormat="1" x14ac:dyDescent="0.25">
      <c r="KI5709" s="137"/>
      <c r="KN5709" s="137"/>
    </row>
    <row r="5710" spans="295:300" customFormat="1" x14ac:dyDescent="0.25">
      <c r="KI5710" s="137"/>
      <c r="KN5710" s="137"/>
    </row>
    <row r="5711" spans="295:300" customFormat="1" x14ac:dyDescent="0.25">
      <c r="KI5711" s="137"/>
      <c r="KN5711" s="137"/>
    </row>
    <row r="5712" spans="295:300" customFormat="1" x14ac:dyDescent="0.25">
      <c r="KI5712" s="137"/>
      <c r="KN5712" s="137"/>
    </row>
    <row r="5713" spans="295:300" customFormat="1" x14ac:dyDescent="0.25">
      <c r="KI5713" s="137"/>
      <c r="KN5713" s="137"/>
    </row>
    <row r="5714" spans="295:300" customFormat="1" x14ac:dyDescent="0.25">
      <c r="KI5714" s="137"/>
      <c r="KN5714" s="137"/>
    </row>
    <row r="5715" spans="295:300" customFormat="1" x14ac:dyDescent="0.25">
      <c r="KI5715" s="137"/>
      <c r="KN5715" s="137"/>
    </row>
    <row r="5716" spans="295:300" customFormat="1" x14ac:dyDescent="0.25">
      <c r="KI5716" s="137"/>
      <c r="KN5716" s="137"/>
    </row>
    <row r="5717" spans="295:300" customFormat="1" x14ac:dyDescent="0.25">
      <c r="KI5717" s="137"/>
      <c r="KN5717" s="137"/>
    </row>
    <row r="5718" spans="295:300" customFormat="1" x14ac:dyDescent="0.25">
      <c r="KI5718" s="137"/>
      <c r="KN5718" s="137"/>
    </row>
    <row r="5719" spans="295:300" customFormat="1" x14ac:dyDescent="0.25">
      <c r="KI5719" s="137"/>
      <c r="KN5719" s="137"/>
    </row>
    <row r="5720" spans="295:300" customFormat="1" x14ac:dyDescent="0.25">
      <c r="KI5720" s="137"/>
      <c r="KN5720" s="137"/>
    </row>
    <row r="5721" spans="295:300" customFormat="1" x14ac:dyDescent="0.25">
      <c r="KI5721" s="137"/>
      <c r="KN5721" s="137"/>
    </row>
    <row r="5722" spans="295:300" customFormat="1" x14ac:dyDescent="0.25">
      <c r="KI5722" s="137"/>
      <c r="KN5722" s="137"/>
    </row>
    <row r="5723" spans="295:300" customFormat="1" x14ac:dyDescent="0.25">
      <c r="KI5723" s="137"/>
      <c r="KN5723" s="137"/>
    </row>
    <row r="5724" spans="295:300" customFormat="1" x14ac:dyDescent="0.25">
      <c r="KI5724" s="137"/>
      <c r="KN5724" s="137"/>
    </row>
    <row r="5725" spans="295:300" customFormat="1" x14ac:dyDescent="0.25">
      <c r="KI5725" s="137"/>
      <c r="KN5725" s="137"/>
    </row>
    <row r="5726" spans="295:300" customFormat="1" x14ac:dyDescent="0.25">
      <c r="KI5726" s="137"/>
      <c r="KN5726" s="137"/>
    </row>
    <row r="5727" spans="295:300" customFormat="1" x14ac:dyDescent="0.25">
      <c r="KI5727" s="137"/>
      <c r="KN5727" s="137"/>
    </row>
    <row r="5728" spans="295:300" customFormat="1" x14ac:dyDescent="0.25">
      <c r="KI5728" s="137"/>
      <c r="KN5728" s="137"/>
    </row>
    <row r="5729" spans="295:300" customFormat="1" x14ac:dyDescent="0.25">
      <c r="KI5729" s="137"/>
      <c r="KN5729" s="137"/>
    </row>
    <row r="5730" spans="295:300" customFormat="1" x14ac:dyDescent="0.25">
      <c r="KI5730" s="137"/>
      <c r="KN5730" s="137"/>
    </row>
    <row r="5731" spans="295:300" customFormat="1" x14ac:dyDescent="0.25">
      <c r="KI5731" s="137"/>
      <c r="KN5731" s="137"/>
    </row>
    <row r="5732" spans="295:300" customFormat="1" x14ac:dyDescent="0.25">
      <c r="KI5732" s="137"/>
      <c r="KN5732" s="137"/>
    </row>
    <row r="5733" spans="295:300" customFormat="1" x14ac:dyDescent="0.25">
      <c r="KI5733" s="137"/>
      <c r="KN5733" s="137"/>
    </row>
    <row r="5734" spans="295:300" customFormat="1" x14ac:dyDescent="0.25">
      <c r="KI5734" s="137"/>
      <c r="KN5734" s="137"/>
    </row>
    <row r="5735" spans="295:300" customFormat="1" x14ac:dyDescent="0.25">
      <c r="KI5735" s="137"/>
      <c r="KN5735" s="137"/>
    </row>
    <row r="5736" spans="295:300" customFormat="1" x14ac:dyDescent="0.25">
      <c r="KI5736" s="137"/>
      <c r="KN5736" s="137"/>
    </row>
    <row r="5737" spans="295:300" customFormat="1" x14ac:dyDescent="0.25">
      <c r="KI5737" s="137"/>
      <c r="KN5737" s="137"/>
    </row>
    <row r="5738" spans="295:300" customFormat="1" x14ac:dyDescent="0.25">
      <c r="KI5738" s="137"/>
      <c r="KN5738" s="137"/>
    </row>
    <row r="5739" spans="295:300" customFormat="1" x14ac:dyDescent="0.25">
      <c r="KI5739" s="137"/>
      <c r="KN5739" s="137"/>
    </row>
    <row r="5740" spans="295:300" customFormat="1" x14ac:dyDescent="0.25">
      <c r="KI5740" s="137"/>
      <c r="KN5740" s="137"/>
    </row>
    <row r="5741" spans="295:300" customFormat="1" x14ac:dyDescent="0.25">
      <c r="KI5741" s="137"/>
      <c r="KN5741" s="137"/>
    </row>
    <row r="5742" spans="295:300" customFormat="1" x14ac:dyDescent="0.25">
      <c r="KI5742" s="137"/>
      <c r="KN5742" s="137"/>
    </row>
    <row r="5743" spans="295:300" customFormat="1" x14ac:dyDescent="0.25">
      <c r="KI5743" s="137"/>
      <c r="KN5743" s="137"/>
    </row>
    <row r="5744" spans="295:300" customFormat="1" x14ac:dyDescent="0.25">
      <c r="KI5744" s="137"/>
      <c r="KN5744" s="137"/>
    </row>
    <row r="5745" spans="295:300" customFormat="1" x14ac:dyDescent="0.25">
      <c r="KI5745" s="137"/>
      <c r="KN5745" s="137"/>
    </row>
    <row r="5746" spans="295:300" customFormat="1" x14ac:dyDescent="0.25">
      <c r="KI5746" s="137"/>
      <c r="KN5746" s="137"/>
    </row>
    <row r="5747" spans="295:300" customFormat="1" x14ac:dyDescent="0.25">
      <c r="KI5747" s="137"/>
      <c r="KN5747" s="137"/>
    </row>
    <row r="5748" spans="295:300" customFormat="1" x14ac:dyDescent="0.25">
      <c r="KI5748" s="137"/>
      <c r="KN5748" s="137"/>
    </row>
    <row r="5749" spans="295:300" customFormat="1" x14ac:dyDescent="0.25">
      <c r="KI5749" s="137"/>
      <c r="KN5749" s="137"/>
    </row>
    <row r="5750" spans="295:300" customFormat="1" x14ac:dyDescent="0.25">
      <c r="KI5750" s="137"/>
      <c r="KN5750" s="137"/>
    </row>
    <row r="5751" spans="295:300" customFormat="1" x14ac:dyDescent="0.25">
      <c r="KI5751" s="137"/>
      <c r="KN5751" s="137"/>
    </row>
    <row r="5752" spans="295:300" customFormat="1" x14ac:dyDescent="0.25">
      <c r="KI5752" s="137"/>
      <c r="KN5752" s="137"/>
    </row>
    <row r="5753" spans="295:300" customFormat="1" x14ac:dyDescent="0.25">
      <c r="KI5753" s="137"/>
      <c r="KN5753" s="137"/>
    </row>
    <row r="5754" spans="295:300" customFormat="1" x14ac:dyDescent="0.25">
      <c r="KI5754" s="137"/>
      <c r="KN5754" s="137"/>
    </row>
    <row r="5755" spans="295:300" customFormat="1" x14ac:dyDescent="0.25">
      <c r="KI5755" s="137"/>
      <c r="KN5755" s="137"/>
    </row>
    <row r="5756" spans="295:300" customFormat="1" x14ac:dyDescent="0.25">
      <c r="KI5756" s="137"/>
      <c r="KN5756" s="137"/>
    </row>
    <row r="5757" spans="295:300" customFormat="1" x14ac:dyDescent="0.25">
      <c r="KI5757" s="137"/>
      <c r="KN5757" s="137"/>
    </row>
    <row r="5758" spans="295:300" customFormat="1" x14ac:dyDescent="0.25">
      <c r="KI5758" s="137"/>
      <c r="KN5758" s="137"/>
    </row>
    <row r="5759" spans="295:300" customFormat="1" x14ac:dyDescent="0.25">
      <c r="KI5759" s="137"/>
      <c r="KN5759" s="137"/>
    </row>
    <row r="5760" spans="295:300" customFormat="1" x14ac:dyDescent="0.25">
      <c r="KI5760" s="137"/>
      <c r="KN5760" s="137"/>
    </row>
    <row r="5761" spans="295:300" customFormat="1" x14ac:dyDescent="0.25">
      <c r="KI5761" s="137"/>
      <c r="KN5761" s="137"/>
    </row>
    <row r="5762" spans="295:300" customFormat="1" x14ac:dyDescent="0.25">
      <c r="KI5762" s="137"/>
      <c r="KN5762" s="137"/>
    </row>
    <row r="5763" spans="295:300" customFormat="1" x14ac:dyDescent="0.25">
      <c r="KI5763" s="137"/>
      <c r="KN5763" s="137"/>
    </row>
    <row r="5764" spans="295:300" customFormat="1" x14ac:dyDescent="0.25">
      <c r="KI5764" s="137"/>
      <c r="KN5764" s="137"/>
    </row>
    <row r="5765" spans="295:300" customFormat="1" x14ac:dyDescent="0.25">
      <c r="KI5765" s="137"/>
      <c r="KN5765" s="137"/>
    </row>
    <row r="5766" spans="295:300" customFormat="1" x14ac:dyDescent="0.25">
      <c r="KI5766" s="137"/>
      <c r="KN5766" s="137"/>
    </row>
    <row r="5767" spans="295:300" customFormat="1" x14ac:dyDescent="0.25">
      <c r="KI5767" s="137"/>
      <c r="KN5767" s="137"/>
    </row>
    <row r="5768" spans="295:300" customFormat="1" x14ac:dyDescent="0.25">
      <c r="KI5768" s="137"/>
      <c r="KN5768" s="137"/>
    </row>
    <row r="5769" spans="295:300" customFormat="1" x14ac:dyDescent="0.25">
      <c r="KI5769" s="137"/>
      <c r="KN5769" s="137"/>
    </row>
    <row r="5770" spans="295:300" customFormat="1" x14ac:dyDescent="0.25">
      <c r="KI5770" s="137"/>
      <c r="KN5770" s="137"/>
    </row>
    <row r="5771" spans="295:300" customFormat="1" x14ac:dyDescent="0.25">
      <c r="KI5771" s="137"/>
      <c r="KN5771" s="137"/>
    </row>
    <row r="5772" spans="295:300" customFormat="1" x14ac:dyDescent="0.25">
      <c r="KI5772" s="137"/>
      <c r="KN5772" s="137"/>
    </row>
    <row r="5773" spans="295:300" customFormat="1" x14ac:dyDescent="0.25">
      <c r="KI5773" s="137"/>
      <c r="KN5773" s="137"/>
    </row>
    <row r="5774" spans="295:300" customFormat="1" x14ac:dyDescent="0.25">
      <c r="KI5774" s="137"/>
      <c r="KN5774" s="137"/>
    </row>
    <row r="5775" spans="295:300" customFormat="1" x14ac:dyDescent="0.25">
      <c r="KI5775" s="137"/>
      <c r="KN5775" s="137"/>
    </row>
    <row r="5776" spans="295:300" customFormat="1" x14ac:dyDescent="0.25">
      <c r="KI5776" s="137"/>
      <c r="KN5776" s="137"/>
    </row>
    <row r="5777" spans="295:300" customFormat="1" x14ac:dyDescent="0.25">
      <c r="KI5777" s="137"/>
      <c r="KN5777" s="137"/>
    </row>
    <row r="5778" spans="295:300" customFormat="1" x14ac:dyDescent="0.25">
      <c r="KI5778" s="137"/>
      <c r="KN5778" s="137"/>
    </row>
    <row r="5779" spans="295:300" customFormat="1" x14ac:dyDescent="0.25">
      <c r="KI5779" s="137"/>
      <c r="KN5779" s="137"/>
    </row>
    <row r="5780" spans="295:300" customFormat="1" x14ac:dyDescent="0.25">
      <c r="KI5780" s="137"/>
      <c r="KN5780" s="137"/>
    </row>
    <row r="5781" spans="295:300" customFormat="1" x14ac:dyDescent="0.25">
      <c r="KI5781" s="137"/>
      <c r="KN5781" s="137"/>
    </row>
    <row r="5782" spans="295:300" customFormat="1" x14ac:dyDescent="0.25">
      <c r="KI5782" s="137"/>
      <c r="KN5782" s="137"/>
    </row>
    <row r="5783" spans="295:300" customFormat="1" x14ac:dyDescent="0.25">
      <c r="KI5783" s="137"/>
      <c r="KN5783" s="137"/>
    </row>
    <row r="5784" spans="295:300" customFormat="1" x14ac:dyDescent="0.25">
      <c r="KI5784" s="137"/>
      <c r="KN5784" s="137"/>
    </row>
    <row r="5785" spans="295:300" customFormat="1" x14ac:dyDescent="0.25">
      <c r="KI5785" s="137"/>
      <c r="KN5785" s="137"/>
    </row>
    <row r="5786" spans="295:300" customFormat="1" x14ac:dyDescent="0.25">
      <c r="KI5786" s="137"/>
      <c r="KN5786" s="137"/>
    </row>
    <row r="5787" spans="295:300" customFormat="1" x14ac:dyDescent="0.25">
      <c r="KI5787" s="137"/>
      <c r="KN5787" s="137"/>
    </row>
    <row r="5788" spans="295:300" customFormat="1" x14ac:dyDescent="0.25">
      <c r="KI5788" s="137"/>
      <c r="KN5788" s="137"/>
    </row>
    <row r="5789" spans="295:300" customFormat="1" x14ac:dyDescent="0.25">
      <c r="KI5789" s="137"/>
      <c r="KN5789" s="137"/>
    </row>
    <row r="5790" spans="295:300" customFormat="1" x14ac:dyDescent="0.25">
      <c r="KI5790" s="137"/>
      <c r="KN5790" s="137"/>
    </row>
    <row r="5791" spans="295:300" customFormat="1" x14ac:dyDescent="0.25">
      <c r="KI5791" s="137"/>
      <c r="KN5791" s="137"/>
    </row>
    <row r="5792" spans="295:300" customFormat="1" x14ac:dyDescent="0.25">
      <c r="KI5792" s="137"/>
      <c r="KN5792" s="137"/>
    </row>
    <row r="5793" spans="295:300" customFormat="1" x14ac:dyDescent="0.25">
      <c r="KI5793" s="137"/>
      <c r="KN5793" s="137"/>
    </row>
    <row r="5794" spans="295:300" customFormat="1" x14ac:dyDescent="0.25">
      <c r="KI5794" s="137"/>
      <c r="KN5794" s="137"/>
    </row>
    <row r="5795" spans="295:300" customFormat="1" x14ac:dyDescent="0.25">
      <c r="KI5795" s="137"/>
      <c r="KN5795" s="137"/>
    </row>
    <row r="5796" spans="295:300" customFormat="1" x14ac:dyDescent="0.25">
      <c r="KI5796" s="137"/>
      <c r="KN5796" s="137"/>
    </row>
    <row r="5797" spans="295:300" customFormat="1" x14ac:dyDescent="0.25">
      <c r="KI5797" s="137"/>
      <c r="KN5797" s="137"/>
    </row>
    <row r="5798" spans="295:300" customFormat="1" x14ac:dyDescent="0.25">
      <c r="KI5798" s="137"/>
      <c r="KN5798" s="137"/>
    </row>
    <row r="5799" spans="295:300" customFormat="1" x14ac:dyDescent="0.25">
      <c r="KI5799" s="137"/>
      <c r="KN5799" s="137"/>
    </row>
    <row r="5800" spans="295:300" customFormat="1" x14ac:dyDescent="0.25">
      <c r="KI5800" s="137"/>
      <c r="KN5800" s="137"/>
    </row>
    <row r="5801" spans="295:300" customFormat="1" x14ac:dyDescent="0.25">
      <c r="KI5801" s="137"/>
      <c r="KN5801" s="137"/>
    </row>
    <row r="5802" spans="295:300" customFormat="1" x14ac:dyDescent="0.25">
      <c r="KI5802" s="137"/>
      <c r="KN5802" s="137"/>
    </row>
    <row r="5803" spans="295:300" customFormat="1" x14ac:dyDescent="0.25">
      <c r="KI5803" s="137"/>
      <c r="KN5803" s="137"/>
    </row>
    <row r="5804" spans="295:300" customFormat="1" x14ac:dyDescent="0.25">
      <c r="KI5804" s="137"/>
      <c r="KN5804" s="137"/>
    </row>
    <row r="5805" spans="295:300" customFormat="1" x14ac:dyDescent="0.25">
      <c r="KI5805" s="137"/>
      <c r="KN5805" s="137"/>
    </row>
    <row r="5806" spans="295:300" customFormat="1" x14ac:dyDescent="0.25">
      <c r="KI5806" s="137"/>
      <c r="KN5806" s="137"/>
    </row>
    <row r="5807" spans="295:300" customFormat="1" x14ac:dyDescent="0.25">
      <c r="KI5807" s="137"/>
      <c r="KN5807" s="137"/>
    </row>
    <row r="5808" spans="295:300" customFormat="1" x14ac:dyDescent="0.25">
      <c r="KI5808" s="137"/>
      <c r="KN5808" s="137"/>
    </row>
    <row r="5809" spans="295:300" customFormat="1" x14ac:dyDescent="0.25">
      <c r="KI5809" s="137"/>
      <c r="KN5809" s="137"/>
    </row>
    <row r="5810" spans="295:300" customFormat="1" x14ac:dyDescent="0.25">
      <c r="KI5810" s="137"/>
      <c r="KN5810" s="137"/>
    </row>
    <row r="5811" spans="295:300" customFormat="1" x14ac:dyDescent="0.25">
      <c r="KI5811" s="137"/>
      <c r="KN5811" s="137"/>
    </row>
    <row r="5812" spans="295:300" customFormat="1" x14ac:dyDescent="0.25">
      <c r="KI5812" s="137"/>
      <c r="KN5812" s="137"/>
    </row>
    <row r="5813" spans="295:300" customFormat="1" x14ac:dyDescent="0.25">
      <c r="KI5813" s="137"/>
      <c r="KN5813" s="137"/>
    </row>
    <row r="5814" spans="295:300" customFormat="1" x14ac:dyDescent="0.25">
      <c r="KI5814" s="137"/>
      <c r="KN5814" s="137"/>
    </row>
    <row r="5815" spans="295:300" customFormat="1" x14ac:dyDescent="0.25">
      <c r="KI5815" s="137"/>
      <c r="KN5815" s="137"/>
    </row>
    <row r="5816" spans="295:300" customFormat="1" x14ac:dyDescent="0.25">
      <c r="KI5816" s="137"/>
      <c r="KN5816" s="137"/>
    </row>
    <row r="5817" spans="295:300" customFormat="1" x14ac:dyDescent="0.25">
      <c r="KI5817" s="137"/>
      <c r="KN5817" s="137"/>
    </row>
    <row r="5818" spans="295:300" customFormat="1" x14ac:dyDescent="0.25">
      <c r="KI5818" s="137"/>
      <c r="KN5818" s="137"/>
    </row>
    <row r="5819" spans="295:300" customFormat="1" x14ac:dyDescent="0.25">
      <c r="KI5819" s="137"/>
      <c r="KN5819" s="137"/>
    </row>
    <row r="5820" spans="295:300" customFormat="1" x14ac:dyDescent="0.25">
      <c r="KI5820" s="137"/>
      <c r="KN5820" s="137"/>
    </row>
    <row r="5821" spans="295:300" customFormat="1" x14ac:dyDescent="0.25">
      <c r="KI5821" s="137"/>
      <c r="KN5821" s="137"/>
    </row>
    <row r="5822" spans="295:300" customFormat="1" x14ac:dyDescent="0.25">
      <c r="KI5822" s="137"/>
      <c r="KN5822" s="137"/>
    </row>
    <row r="5823" spans="295:300" customFormat="1" x14ac:dyDescent="0.25">
      <c r="KI5823" s="137"/>
      <c r="KN5823" s="137"/>
    </row>
    <row r="5824" spans="295:300" customFormat="1" x14ac:dyDescent="0.25">
      <c r="KI5824" s="137"/>
      <c r="KN5824" s="137"/>
    </row>
    <row r="5825" spans="295:300" customFormat="1" x14ac:dyDescent="0.25">
      <c r="KI5825" s="137"/>
      <c r="KN5825" s="137"/>
    </row>
    <row r="5826" spans="295:300" customFormat="1" x14ac:dyDescent="0.25">
      <c r="KI5826" s="137"/>
      <c r="KN5826" s="137"/>
    </row>
    <row r="5827" spans="295:300" customFormat="1" x14ac:dyDescent="0.25">
      <c r="KI5827" s="137"/>
      <c r="KN5827" s="137"/>
    </row>
    <row r="5828" spans="295:300" customFormat="1" x14ac:dyDescent="0.25">
      <c r="KI5828" s="137"/>
      <c r="KN5828" s="137"/>
    </row>
    <row r="5829" spans="295:300" customFormat="1" x14ac:dyDescent="0.25">
      <c r="KI5829" s="137"/>
      <c r="KN5829" s="137"/>
    </row>
    <row r="5830" spans="295:300" customFormat="1" x14ac:dyDescent="0.25">
      <c r="KI5830" s="137"/>
      <c r="KN5830" s="137"/>
    </row>
    <row r="5831" spans="295:300" customFormat="1" x14ac:dyDescent="0.25">
      <c r="KI5831" s="137"/>
      <c r="KN5831" s="137"/>
    </row>
    <row r="5832" spans="295:300" customFormat="1" x14ac:dyDescent="0.25">
      <c r="KI5832" s="137"/>
      <c r="KN5832" s="137"/>
    </row>
    <row r="5833" spans="295:300" customFormat="1" x14ac:dyDescent="0.25">
      <c r="KI5833" s="137"/>
      <c r="KN5833" s="137"/>
    </row>
    <row r="5834" spans="295:300" customFormat="1" x14ac:dyDescent="0.25">
      <c r="KI5834" s="137"/>
      <c r="KN5834" s="137"/>
    </row>
    <row r="5835" spans="295:300" customFormat="1" x14ac:dyDescent="0.25">
      <c r="KI5835" s="137"/>
      <c r="KN5835" s="137"/>
    </row>
    <row r="5836" spans="295:300" customFormat="1" x14ac:dyDescent="0.25">
      <c r="KI5836" s="137"/>
      <c r="KN5836" s="137"/>
    </row>
    <row r="5837" spans="295:300" customFormat="1" x14ac:dyDescent="0.25">
      <c r="KI5837" s="137"/>
      <c r="KN5837" s="137"/>
    </row>
    <row r="5838" spans="295:300" customFormat="1" x14ac:dyDescent="0.25">
      <c r="KI5838" s="137"/>
      <c r="KN5838" s="137"/>
    </row>
    <row r="5839" spans="295:300" customFormat="1" x14ac:dyDescent="0.25">
      <c r="KI5839" s="137"/>
      <c r="KN5839" s="137"/>
    </row>
    <row r="5840" spans="295:300" customFormat="1" x14ac:dyDescent="0.25">
      <c r="KI5840" s="137"/>
      <c r="KN5840" s="137"/>
    </row>
    <row r="5841" spans="295:300" customFormat="1" x14ac:dyDescent="0.25">
      <c r="KI5841" s="137"/>
      <c r="KN5841" s="137"/>
    </row>
    <row r="5842" spans="295:300" customFormat="1" x14ac:dyDescent="0.25">
      <c r="KI5842" s="137"/>
      <c r="KN5842" s="137"/>
    </row>
    <row r="5843" spans="295:300" customFormat="1" x14ac:dyDescent="0.25">
      <c r="KI5843" s="137"/>
      <c r="KN5843" s="137"/>
    </row>
    <row r="5844" spans="295:300" customFormat="1" x14ac:dyDescent="0.25">
      <c r="KI5844" s="137"/>
      <c r="KN5844" s="137"/>
    </row>
    <row r="5845" spans="295:300" customFormat="1" x14ac:dyDescent="0.25">
      <c r="KI5845" s="137"/>
      <c r="KN5845" s="137"/>
    </row>
    <row r="5846" spans="295:300" customFormat="1" x14ac:dyDescent="0.25">
      <c r="KI5846" s="137"/>
      <c r="KN5846" s="137"/>
    </row>
    <row r="5847" spans="295:300" customFormat="1" x14ac:dyDescent="0.25">
      <c r="KI5847" s="137"/>
      <c r="KN5847" s="137"/>
    </row>
    <row r="5848" spans="295:300" customFormat="1" x14ac:dyDescent="0.25">
      <c r="KI5848" s="137"/>
      <c r="KN5848" s="137"/>
    </row>
    <row r="5849" spans="295:300" customFormat="1" x14ac:dyDescent="0.25">
      <c r="KI5849" s="137"/>
      <c r="KN5849" s="137"/>
    </row>
    <row r="5850" spans="295:300" customFormat="1" x14ac:dyDescent="0.25">
      <c r="KI5850" s="137"/>
      <c r="KN5850" s="137"/>
    </row>
    <row r="5851" spans="295:300" customFormat="1" x14ac:dyDescent="0.25">
      <c r="KI5851" s="137"/>
      <c r="KN5851" s="137"/>
    </row>
    <row r="5852" spans="295:300" customFormat="1" x14ac:dyDescent="0.25">
      <c r="KI5852" s="137"/>
      <c r="KN5852" s="137"/>
    </row>
    <row r="5853" spans="295:300" customFormat="1" x14ac:dyDescent="0.25">
      <c r="KI5853" s="137"/>
      <c r="KN5853" s="137"/>
    </row>
    <row r="5854" spans="295:300" customFormat="1" x14ac:dyDescent="0.25">
      <c r="KI5854" s="137"/>
      <c r="KN5854" s="137"/>
    </row>
    <row r="5855" spans="295:300" customFormat="1" x14ac:dyDescent="0.25">
      <c r="KI5855" s="137"/>
      <c r="KN5855" s="137"/>
    </row>
    <row r="5856" spans="295:300" customFormat="1" x14ac:dyDescent="0.25">
      <c r="KI5856" s="137"/>
      <c r="KN5856" s="137"/>
    </row>
    <row r="5857" spans="295:300" customFormat="1" x14ac:dyDescent="0.25">
      <c r="KI5857" s="137"/>
      <c r="KN5857" s="137"/>
    </row>
    <row r="5858" spans="295:300" customFormat="1" x14ac:dyDescent="0.25">
      <c r="KI5858" s="137"/>
      <c r="KN5858" s="137"/>
    </row>
    <row r="5859" spans="295:300" customFormat="1" x14ac:dyDescent="0.25">
      <c r="KI5859" s="137"/>
      <c r="KN5859" s="137"/>
    </row>
    <row r="5860" spans="295:300" customFormat="1" x14ac:dyDescent="0.25">
      <c r="KI5860" s="137"/>
      <c r="KN5860" s="137"/>
    </row>
    <row r="5861" spans="295:300" customFormat="1" x14ac:dyDescent="0.25">
      <c r="KI5861" s="137"/>
      <c r="KN5861" s="137"/>
    </row>
    <row r="5862" spans="295:300" customFormat="1" x14ac:dyDescent="0.25">
      <c r="KI5862" s="137"/>
      <c r="KN5862" s="137"/>
    </row>
    <row r="5863" spans="295:300" customFormat="1" x14ac:dyDescent="0.25">
      <c r="KI5863" s="137"/>
      <c r="KN5863" s="137"/>
    </row>
    <row r="5864" spans="295:300" customFormat="1" x14ac:dyDescent="0.25">
      <c r="KI5864" s="137"/>
      <c r="KN5864" s="137"/>
    </row>
    <row r="5865" spans="295:300" customFormat="1" x14ac:dyDescent="0.25">
      <c r="KI5865" s="137"/>
      <c r="KN5865" s="137"/>
    </row>
    <row r="5866" spans="295:300" customFormat="1" x14ac:dyDescent="0.25">
      <c r="KI5866" s="137"/>
      <c r="KN5866" s="137"/>
    </row>
    <row r="5867" spans="295:300" customFormat="1" x14ac:dyDescent="0.25">
      <c r="KI5867" s="137"/>
      <c r="KN5867" s="137"/>
    </row>
    <row r="5868" spans="295:300" customFormat="1" x14ac:dyDescent="0.25">
      <c r="KI5868" s="137"/>
      <c r="KN5868" s="137"/>
    </row>
    <row r="5869" spans="295:300" customFormat="1" x14ac:dyDescent="0.25">
      <c r="KI5869" s="137"/>
      <c r="KN5869" s="137"/>
    </row>
    <row r="5870" spans="295:300" customFormat="1" x14ac:dyDescent="0.25">
      <c r="KI5870" s="137"/>
      <c r="KN5870" s="137"/>
    </row>
    <row r="5871" spans="295:300" customFormat="1" x14ac:dyDescent="0.25">
      <c r="KI5871" s="137"/>
      <c r="KN5871" s="137"/>
    </row>
    <row r="5872" spans="295:300" customFormat="1" x14ac:dyDescent="0.25">
      <c r="KI5872" s="137"/>
      <c r="KN5872" s="137"/>
    </row>
    <row r="5873" spans="295:300" customFormat="1" x14ac:dyDescent="0.25">
      <c r="KI5873" s="137"/>
      <c r="KN5873" s="137"/>
    </row>
    <row r="5874" spans="295:300" customFormat="1" x14ac:dyDescent="0.25">
      <c r="KI5874" s="137"/>
      <c r="KN5874" s="137"/>
    </row>
    <row r="5875" spans="295:300" customFormat="1" x14ac:dyDescent="0.25">
      <c r="KI5875" s="137"/>
      <c r="KN5875" s="137"/>
    </row>
    <row r="5876" spans="295:300" customFormat="1" x14ac:dyDescent="0.25">
      <c r="KI5876" s="137"/>
      <c r="KN5876" s="137"/>
    </row>
    <row r="5877" spans="295:300" customFormat="1" x14ac:dyDescent="0.25">
      <c r="KI5877" s="137"/>
      <c r="KN5877" s="137"/>
    </row>
    <row r="5878" spans="295:300" customFormat="1" x14ac:dyDescent="0.25">
      <c r="KI5878" s="137"/>
      <c r="KN5878" s="137"/>
    </row>
    <row r="5879" spans="295:300" customFormat="1" x14ac:dyDescent="0.25">
      <c r="KI5879" s="137"/>
      <c r="KN5879" s="137"/>
    </row>
    <row r="5880" spans="295:300" customFormat="1" x14ac:dyDescent="0.25">
      <c r="KI5880" s="137"/>
      <c r="KN5880" s="137"/>
    </row>
    <row r="5881" spans="295:300" customFormat="1" x14ac:dyDescent="0.25">
      <c r="KI5881" s="137"/>
      <c r="KN5881" s="137"/>
    </row>
    <row r="5882" spans="295:300" customFormat="1" x14ac:dyDescent="0.25">
      <c r="KI5882" s="137"/>
      <c r="KN5882" s="137"/>
    </row>
    <row r="5883" spans="295:300" customFormat="1" x14ac:dyDescent="0.25">
      <c r="KI5883" s="137"/>
      <c r="KN5883" s="137"/>
    </row>
    <row r="5884" spans="295:300" customFormat="1" x14ac:dyDescent="0.25">
      <c r="KI5884" s="137"/>
      <c r="KN5884" s="137"/>
    </row>
    <row r="5885" spans="295:300" customFormat="1" x14ac:dyDescent="0.25">
      <c r="KI5885" s="137"/>
      <c r="KN5885" s="137"/>
    </row>
    <row r="5886" spans="295:300" customFormat="1" x14ac:dyDescent="0.25">
      <c r="KI5886" s="137"/>
      <c r="KN5886" s="137"/>
    </row>
    <row r="5887" spans="295:300" customFormat="1" x14ac:dyDescent="0.25">
      <c r="KI5887" s="137"/>
      <c r="KN5887" s="137"/>
    </row>
    <row r="5888" spans="295:300" customFormat="1" x14ac:dyDescent="0.25">
      <c r="KI5888" s="137"/>
      <c r="KN5888" s="137"/>
    </row>
    <row r="5889" spans="295:300" customFormat="1" x14ac:dyDescent="0.25">
      <c r="KI5889" s="137"/>
      <c r="KN5889" s="137"/>
    </row>
    <row r="5890" spans="295:300" customFormat="1" x14ac:dyDescent="0.25">
      <c r="KI5890" s="137"/>
      <c r="KN5890" s="137"/>
    </row>
    <row r="5891" spans="295:300" customFormat="1" x14ac:dyDescent="0.25">
      <c r="KI5891" s="137"/>
      <c r="KN5891" s="137"/>
    </row>
    <row r="5892" spans="295:300" customFormat="1" x14ac:dyDescent="0.25">
      <c r="KI5892" s="137"/>
      <c r="KN5892" s="137"/>
    </row>
    <row r="5893" spans="295:300" customFormat="1" x14ac:dyDescent="0.25">
      <c r="KI5893" s="137"/>
      <c r="KN5893" s="137"/>
    </row>
    <row r="5894" spans="295:300" customFormat="1" x14ac:dyDescent="0.25">
      <c r="KI5894" s="137"/>
      <c r="KN5894" s="137"/>
    </row>
    <row r="5895" spans="295:300" customFormat="1" x14ac:dyDescent="0.25">
      <c r="KI5895" s="137"/>
      <c r="KN5895" s="137"/>
    </row>
    <row r="5896" spans="295:300" customFormat="1" x14ac:dyDescent="0.25">
      <c r="KI5896" s="137"/>
      <c r="KN5896" s="137"/>
    </row>
    <row r="5897" spans="295:300" customFormat="1" x14ac:dyDescent="0.25">
      <c r="KI5897" s="137"/>
      <c r="KN5897" s="137"/>
    </row>
    <row r="5898" spans="295:300" customFormat="1" x14ac:dyDescent="0.25">
      <c r="KI5898" s="137"/>
      <c r="KN5898" s="137"/>
    </row>
    <row r="5899" spans="295:300" customFormat="1" x14ac:dyDescent="0.25">
      <c r="KI5899" s="137"/>
      <c r="KN5899" s="137"/>
    </row>
    <row r="5900" spans="295:300" customFormat="1" x14ac:dyDescent="0.25">
      <c r="KI5900" s="137"/>
      <c r="KN5900" s="137"/>
    </row>
    <row r="5901" spans="295:300" customFormat="1" x14ac:dyDescent="0.25">
      <c r="KI5901" s="137"/>
      <c r="KN5901" s="137"/>
    </row>
    <row r="5902" spans="295:300" customFormat="1" x14ac:dyDescent="0.25">
      <c r="KI5902" s="137"/>
      <c r="KN5902" s="137"/>
    </row>
    <row r="5903" spans="295:300" customFormat="1" x14ac:dyDescent="0.25">
      <c r="KI5903" s="137"/>
      <c r="KN5903" s="137"/>
    </row>
    <row r="5904" spans="295:300" customFormat="1" x14ac:dyDescent="0.25">
      <c r="KI5904" s="137"/>
      <c r="KN5904" s="137"/>
    </row>
    <row r="5905" spans="295:300" customFormat="1" x14ac:dyDescent="0.25">
      <c r="KI5905" s="137"/>
      <c r="KN5905" s="137"/>
    </row>
    <row r="5906" spans="295:300" customFormat="1" x14ac:dyDescent="0.25">
      <c r="KI5906" s="137"/>
      <c r="KN5906" s="137"/>
    </row>
    <row r="5907" spans="295:300" customFormat="1" x14ac:dyDescent="0.25">
      <c r="KI5907" s="137"/>
      <c r="KN5907" s="137"/>
    </row>
    <row r="5908" spans="295:300" customFormat="1" x14ac:dyDescent="0.25">
      <c r="KI5908" s="137"/>
      <c r="KN5908" s="137"/>
    </row>
    <row r="5909" spans="295:300" customFormat="1" x14ac:dyDescent="0.25">
      <c r="KI5909" s="137"/>
      <c r="KN5909" s="137"/>
    </row>
    <row r="5910" spans="295:300" customFormat="1" x14ac:dyDescent="0.25">
      <c r="KI5910" s="137"/>
      <c r="KN5910" s="137"/>
    </row>
    <row r="5911" spans="295:300" customFormat="1" x14ac:dyDescent="0.25">
      <c r="KI5911" s="137"/>
      <c r="KN5911" s="137"/>
    </row>
    <row r="5912" spans="295:300" customFormat="1" x14ac:dyDescent="0.25">
      <c r="KI5912" s="137"/>
      <c r="KN5912" s="137"/>
    </row>
    <row r="5913" spans="295:300" customFormat="1" x14ac:dyDescent="0.25">
      <c r="KI5913" s="137"/>
      <c r="KN5913" s="137"/>
    </row>
    <row r="5914" spans="295:300" customFormat="1" x14ac:dyDescent="0.25">
      <c r="KI5914" s="137"/>
      <c r="KN5914" s="137"/>
    </row>
    <row r="5915" spans="295:300" customFormat="1" x14ac:dyDescent="0.25">
      <c r="KI5915" s="137"/>
      <c r="KN5915" s="137"/>
    </row>
    <row r="5916" spans="295:300" customFormat="1" x14ac:dyDescent="0.25">
      <c r="KI5916" s="137"/>
      <c r="KN5916" s="137"/>
    </row>
    <row r="5917" spans="295:300" customFormat="1" x14ac:dyDescent="0.25">
      <c r="KI5917" s="137"/>
      <c r="KN5917" s="137"/>
    </row>
    <row r="5918" spans="295:300" customFormat="1" x14ac:dyDescent="0.25">
      <c r="KI5918" s="137"/>
      <c r="KN5918" s="137"/>
    </row>
    <row r="5919" spans="295:300" customFormat="1" x14ac:dyDescent="0.25">
      <c r="KI5919" s="137"/>
      <c r="KN5919" s="137"/>
    </row>
    <row r="5920" spans="295:300" customFormat="1" x14ac:dyDescent="0.25">
      <c r="KI5920" s="137"/>
      <c r="KN5920" s="137"/>
    </row>
    <row r="5921" spans="295:300" customFormat="1" x14ac:dyDescent="0.25">
      <c r="KI5921" s="137"/>
      <c r="KN5921" s="137"/>
    </row>
    <row r="5922" spans="295:300" customFormat="1" x14ac:dyDescent="0.25">
      <c r="KI5922" s="137"/>
      <c r="KN5922" s="137"/>
    </row>
    <row r="5923" spans="295:300" customFormat="1" x14ac:dyDescent="0.25">
      <c r="KI5923" s="137"/>
      <c r="KN5923" s="137"/>
    </row>
    <row r="5924" spans="295:300" customFormat="1" x14ac:dyDescent="0.25">
      <c r="KI5924" s="137"/>
      <c r="KN5924" s="137"/>
    </row>
    <row r="5925" spans="295:300" customFormat="1" x14ac:dyDescent="0.25">
      <c r="KI5925" s="137"/>
      <c r="KN5925" s="137"/>
    </row>
    <row r="5926" spans="295:300" customFormat="1" x14ac:dyDescent="0.25">
      <c r="KI5926" s="137"/>
      <c r="KN5926" s="137"/>
    </row>
    <row r="5927" spans="295:300" customFormat="1" x14ac:dyDescent="0.25">
      <c r="KI5927" s="137"/>
      <c r="KN5927" s="137"/>
    </row>
    <row r="5928" spans="295:300" customFormat="1" x14ac:dyDescent="0.25">
      <c r="KI5928" s="137"/>
      <c r="KN5928" s="137"/>
    </row>
    <row r="5929" spans="295:300" customFormat="1" x14ac:dyDescent="0.25">
      <c r="KI5929" s="137"/>
      <c r="KN5929" s="137"/>
    </row>
    <row r="5930" spans="295:300" customFormat="1" x14ac:dyDescent="0.25">
      <c r="KI5930" s="137"/>
      <c r="KN5930" s="137"/>
    </row>
    <row r="5931" spans="295:300" customFormat="1" x14ac:dyDescent="0.25">
      <c r="KI5931" s="137"/>
      <c r="KN5931" s="137"/>
    </row>
    <row r="5932" spans="295:300" customFormat="1" x14ac:dyDescent="0.25">
      <c r="KI5932" s="137"/>
      <c r="KN5932" s="137"/>
    </row>
    <row r="5933" spans="295:300" customFormat="1" x14ac:dyDescent="0.25">
      <c r="KI5933" s="137"/>
      <c r="KN5933" s="137"/>
    </row>
    <row r="5934" spans="295:300" customFormat="1" x14ac:dyDescent="0.25">
      <c r="KI5934" s="137"/>
      <c r="KN5934" s="137"/>
    </row>
    <row r="5935" spans="295:300" customFormat="1" x14ac:dyDescent="0.25">
      <c r="KI5935" s="137"/>
      <c r="KN5935" s="137"/>
    </row>
    <row r="5936" spans="295:300" customFormat="1" x14ac:dyDescent="0.25">
      <c r="KI5936" s="137"/>
      <c r="KN5936" s="137"/>
    </row>
    <row r="5937" spans="295:300" customFormat="1" x14ac:dyDescent="0.25">
      <c r="KI5937" s="137"/>
      <c r="KN5937" s="137"/>
    </row>
    <row r="5938" spans="295:300" customFormat="1" x14ac:dyDescent="0.25">
      <c r="KI5938" s="137"/>
      <c r="KN5938" s="137"/>
    </row>
    <row r="5939" spans="295:300" customFormat="1" x14ac:dyDescent="0.25">
      <c r="KI5939" s="137"/>
      <c r="KN5939" s="137"/>
    </row>
    <row r="5940" spans="295:300" customFormat="1" x14ac:dyDescent="0.25">
      <c r="KI5940" s="137"/>
      <c r="KN5940" s="137"/>
    </row>
    <row r="5941" spans="295:300" customFormat="1" x14ac:dyDescent="0.25">
      <c r="KI5941" s="137"/>
      <c r="KN5941" s="137"/>
    </row>
    <row r="5942" spans="295:300" customFormat="1" x14ac:dyDescent="0.25">
      <c r="KI5942" s="137"/>
      <c r="KN5942" s="137"/>
    </row>
    <row r="5943" spans="295:300" customFormat="1" x14ac:dyDescent="0.25">
      <c r="KI5943" s="137"/>
      <c r="KN5943" s="137"/>
    </row>
    <row r="5944" spans="295:300" customFormat="1" x14ac:dyDescent="0.25">
      <c r="KI5944" s="137"/>
      <c r="KN5944" s="137"/>
    </row>
    <row r="5945" spans="295:300" customFormat="1" x14ac:dyDescent="0.25">
      <c r="KI5945" s="137"/>
      <c r="KN5945" s="137"/>
    </row>
    <row r="5946" spans="295:300" customFormat="1" x14ac:dyDescent="0.25">
      <c r="KI5946" s="137"/>
      <c r="KN5946" s="137"/>
    </row>
    <row r="5947" spans="295:300" customFormat="1" x14ac:dyDescent="0.25">
      <c r="KI5947" s="137"/>
      <c r="KN5947" s="137"/>
    </row>
    <row r="5948" spans="295:300" customFormat="1" x14ac:dyDescent="0.25">
      <c r="KI5948" s="137"/>
      <c r="KN5948" s="137"/>
    </row>
    <row r="5949" spans="295:300" customFormat="1" x14ac:dyDescent="0.25">
      <c r="KI5949" s="137"/>
      <c r="KN5949" s="137"/>
    </row>
    <row r="5950" spans="295:300" customFormat="1" x14ac:dyDescent="0.25">
      <c r="KI5950" s="137"/>
      <c r="KN5950" s="137"/>
    </row>
    <row r="5951" spans="295:300" customFormat="1" x14ac:dyDescent="0.25">
      <c r="KI5951" s="137"/>
      <c r="KN5951" s="137"/>
    </row>
    <row r="5952" spans="295:300" customFormat="1" x14ac:dyDescent="0.25">
      <c r="KI5952" s="137"/>
      <c r="KN5952" s="137"/>
    </row>
    <row r="5953" spans="295:300" customFormat="1" x14ac:dyDescent="0.25">
      <c r="KI5953" s="137"/>
      <c r="KN5953" s="137"/>
    </row>
    <row r="5954" spans="295:300" customFormat="1" x14ac:dyDescent="0.25">
      <c r="KI5954" s="137"/>
      <c r="KN5954" s="137"/>
    </row>
    <row r="5955" spans="295:300" customFormat="1" x14ac:dyDescent="0.25">
      <c r="KI5955" s="137"/>
      <c r="KN5955" s="137"/>
    </row>
    <row r="5956" spans="295:300" customFormat="1" x14ac:dyDescent="0.25">
      <c r="KI5956" s="137"/>
      <c r="KN5956" s="137"/>
    </row>
    <row r="5957" spans="295:300" customFormat="1" x14ac:dyDescent="0.25">
      <c r="KI5957" s="137"/>
      <c r="KN5957" s="137"/>
    </row>
    <row r="5958" spans="295:300" customFormat="1" x14ac:dyDescent="0.25">
      <c r="KI5958" s="137"/>
      <c r="KN5958" s="137"/>
    </row>
    <row r="5959" spans="295:300" customFormat="1" x14ac:dyDescent="0.25">
      <c r="KI5959" s="137"/>
      <c r="KN5959" s="137"/>
    </row>
    <row r="5960" spans="295:300" customFormat="1" x14ac:dyDescent="0.25">
      <c r="KI5960" s="137"/>
      <c r="KN5960" s="137"/>
    </row>
    <row r="5961" spans="295:300" customFormat="1" x14ac:dyDescent="0.25">
      <c r="KI5961" s="137"/>
      <c r="KN5961" s="137"/>
    </row>
    <row r="5962" spans="295:300" customFormat="1" x14ac:dyDescent="0.25">
      <c r="KI5962" s="137"/>
      <c r="KN5962" s="137"/>
    </row>
    <row r="5963" spans="295:300" customFormat="1" x14ac:dyDescent="0.25">
      <c r="KI5963" s="137"/>
      <c r="KN5963" s="137"/>
    </row>
    <row r="5964" spans="295:300" customFormat="1" x14ac:dyDescent="0.25">
      <c r="KI5964" s="137"/>
      <c r="KN5964" s="137"/>
    </row>
    <row r="5965" spans="295:300" customFormat="1" x14ac:dyDescent="0.25">
      <c r="KI5965" s="137"/>
      <c r="KN5965" s="137"/>
    </row>
    <row r="5966" spans="295:300" customFormat="1" x14ac:dyDescent="0.25">
      <c r="KI5966" s="137"/>
      <c r="KN5966" s="137"/>
    </row>
    <row r="5967" spans="295:300" customFormat="1" x14ac:dyDescent="0.25">
      <c r="KI5967" s="137"/>
      <c r="KN5967" s="137"/>
    </row>
    <row r="5968" spans="295:300" customFormat="1" x14ac:dyDescent="0.25">
      <c r="KI5968" s="137"/>
      <c r="KN5968" s="137"/>
    </row>
    <row r="5969" spans="295:300" customFormat="1" x14ac:dyDescent="0.25">
      <c r="KI5969" s="137"/>
      <c r="KN5969" s="137"/>
    </row>
    <row r="5970" spans="295:300" customFormat="1" x14ac:dyDescent="0.25">
      <c r="KI5970" s="137"/>
      <c r="KN5970" s="137"/>
    </row>
    <row r="5971" spans="295:300" customFormat="1" x14ac:dyDescent="0.25">
      <c r="KI5971" s="137"/>
      <c r="KN5971" s="137"/>
    </row>
    <row r="5972" spans="295:300" customFormat="1" x14ac:dyDescent="0.25">
      <c r="KI5972" s="137"/>
      <c r="KN5972" s="137"/>
    </row>
    <row r="5973" spans="295:300" customFormat="1" x14ac:dyDescent="0.25">
      <c r="KI5973" s="137"/>
      <c r="KN5973" s="137"/>
    </row>
    <row r="5974" spans="295:300" customFormat="1" x14ac:dyDescent="0.25">
      <c r="KI5974" s="137"/>
      <c r="KN5974" s="137"/>
    </row>
    <row r="5975" spans="295:300" customFormat="1" x14ac:dyDescent="0.25">
      <c r="KI5975" s="137"/>
      <c r="KN5975" s="137"/>
    </row>
    <row r="5976" spans="295:300" customFormat="1" x14ac:dyDescent="0.25">
      <c r="KI5976" s="137"/>
      <c r="KN5976" s="137"/>
    </row>
    <row r="5977" spans="295:300" customFormat="1" x14ac:dyDescent="0.25">
      <c r="KI5977" s="137"/>
      <c r="KN5977" s="137"/>
    </row>
    <row r="5978" spans="295:300" customFormat="1" x14ac:dyDescent="0.25">
      <c r="KI5978" s="137"/>
      <c r="KN5978" s="137"/>
    </row>
    <row r="5979" spans="295:300" customFormat="1" x14ac:dyDescent="0.25">
      <c r="KI5979" s="137"/>
      <c r="KN5979" s="137"/>
    </row>
    <row r="5980" spans="295:300" customFormat="1" x14ac:dyDescent="0.25">
      <c r="KI5980" s="137"/>
      <c r="KN5980" s="137"/>
    </row>
    <row r="5981" spans="295:300" customFormat="1" x14ac:dyDescent="0.25">
      <c r="KI5981" s="137"/>
      <c r="KN5981" s="137"/>
    </row>
    <row r="5982" spans="295:300" customFormat="1" x14ac:dyDescent="0.25">
      <c r="KI5982" s="137"/>
      <c r="KN5982" s="137"/>
    </row>
    <row r="5983" spans="295:300" customFormat="1" x14ac:dyDescent="0.25">
      <c r="KI5983" s="137"/>
      <c r="KN5983" s="137"/>
    </row>
    <row r="5984" spans="295:300" customFormat="1" x14ac:dyDescent="0.25">
      <c r="KI5984" s="137"/>
      <c r="KN5984" s="137"/>
    </row>
    <row r="5985" spans="295:300" customFormat="1" x14ac:dyDescent="0.25">
      <c r="KI5985" s="137"/>
      <c r="KN5985" s="137"/>
    </row>
    <row r="5986" spans="295:300" customFormat="1" x14ac:dyDescent="0.25">
      <c r="KI5986" s="137"/>
      <c r="KN5986" s="137"/>
    </row>
    <row r="5987" spans="295:300" customFormat="1" x14ac:dyDescent="0.25">
      <c r="KI5987" s="137"/>
      <c r="KN5987" s="137"/>
    </row>
    <row r="5988" spans="295:300" customFormat="1" x14ac:dyDescent="0.25">
      <c r="KI5988" s="137"/>
      <c r="KN5988" s="137"/>
    </row>
    <row r="5989" spans="295:300" customFormat="1" x14ac:dyDescent="0.25">
      <c r="KI5989" s="137"/>
      <c r="KN5989" s="137"/>
    </row>
    <row r="5990" spans="295:300" customFormat="1" x14ac:dyDescent="0.25">
      <c r="KI5990" s="137"/>
      <c r="KN5990" s="137"/>
    </row>
    <row r="5991" spans="295:300" customFormat="1" x14ac:dyDescent="0.25">
      <c r="KI5991" s="137"/>
      <c r="KN5991" s="137"/>
    </row>
    <row r="5992" spans="295:300" customFormat="1" x14ac:dyDescent="0.25">
      <c r="KI5992" s="137"/>
      <c r="KN5992" s="137"/>
    </row>
    <row r="5993" spans="295:300" customFormat="1" x14ac:dyDescent="0.25">
      <c r="KI5993" s="137"/>
      <c r="KN5993" s="137"/>
    </row>
    <row r="5994" spans="295:300" customFormat="1" x14ac:dyDescent="0.25">
      <c r="KI5994" s="137"/>
      <c r="KN5994" s="137"/>
    </row>
    <row r="5995" spans="295:300" customFormat="1" x14ac:dyDescent="0.25">
      <c r="KI5995" s="137"/>
      <c r="KN5995" s="137"/>
    </row>
    <row r="5996" spans="295:300" customFormat="1" x14ac:dyDescent="0.25">
      <c r="KI5996" s="137"/>
      <c r="KN5996" s="137"/>
    </row>
    <row r="5997" spans="295:300" customFormat="1" x14ac:dyDescent="0.25">
      <c r="KI5997" s="137"/>
      <c r="KN5997" s="137"/>
    </row>
    <row r="5998" spans="295:300" customFormat="1" x14ac:dyDescent="0.25">
      <c r="KI5998" s="137"/>
      <c r="KN5998" s="137"/>
    </row>
    <row r="5999" spans="295:300" customFormat="1" x14ac:dyDescent="0.25">
      <c r="KI5999" s="137"/>
      <c r="KN5999" s="137"/>
    </row>
    <row r="6000" spans="295:300" customFormat="1" x14ac:dyDescent="0.25">
      <c r="KI6000" s="137"/>
      <c r="KN6000" s="137"/>
    </row>
    <row r="6001" spans="295:300" customFormat="1" x14ac:dyDescent="0.25">
      <c r="KI6001" s="137"/>
      <c r="KN6001" s="137"/>
    </row>
    <row r="6002" spans="295:300" customFormat="1" x14ac:dyDescent="0.25">
      <c r="KI6002" s="137"/>
      <c r="KN6002" s="137"/>
    </row>
    <row r="6003" spans="295:300" customFormat="1" x14ac:dyDescent="0.25">
      <c r="KI6003" s="137"/>
      <c r="KN6003" s="137"/>
    </row>
    <row r="6004" spans="295:300" customFormat="1" x14ac:dyDescent="0.25">
      <c r="KI6004" s="137"/>
      <c r="KN6004" s="137"/>
    </row>
    <row r="6005" spans="295:300" customFormat="1" x14ac:dyDescent="0.25">
      <c r="KI6005" s="137"/>
      <c r="KN6005" s="137"/>
    </row>
    <row r="6006" spans="295:300" customFormat="1" x14ac:dyDescent="0.25">
      <c r="KI6006" s="137"/>
      <c r="KN6006" s="137"/>
    </row>
    <row r="6007" spans="295:300" customFormat="1" x14ac:dyDescent="0.25">
      <c r="KI6007" s="137"/>
      <c r="KN6007" s="137"/>
    </row>
    <row r="6008" spans="295:300" customFormat="1" x14ac:dyDescent="0.25">
      <c r="KI6008" s="137"/>
      <c r="KN6008" s="137"/>
    </row>
    <row r="6009" spans="295:300" customFormat="1" x14ac:dyDescent="0.25">
      <c r="KI6009" s="137"/>
      <c r="KN6009" s="137"/>
    </row>
    <row r="6010" spans="295:300" customFormat="1" x14ac:dyDescent="0.25">
      <c r="KI6010" s="137"/>
      <c r="KN6010" s="137"/>
    </row>
    <row r="6011" spans="295:300" customFormat="1" x14ac:dyDescent="0.25">
      <c r="KI6011" s="137"/>
      <c r="KN6011" s="137"/>
    </row>
    <row r="6012" spans="295:300" customFormat="1" x14ac:dyDescent="0.25">
      <c r="KI6012" s="137"/>
      <c r="KN6012" s="137"/>
    </row>
    <row r="6013" spans="295:300" customFormat="1" x14ac:dyDescent="0.25">
      <c r="KI6013" s="137"/>
      <c r="KN6013" s="137"/>
    </row>
    <row r="6014" spans="295:300" customFormat="1" x14ac:dyDescent="0.25">
      <c r="KI6014" s="137"/>
      <c r="KN6014" s="137"/>
    </row>
    <row r="6015" spans="295:300" customFormat="1" x14ac:dyDescent="0.25">
      <c r="KI6015" s="137"/>
      <c r="KN6015" s="137"/>
    </row>
    <row r="6016" spans="295:300" customFormat="1" x14ac:dyDescent="0.25">
      <c r="KI6016" s="137"/>
      <c r="KN6016" s="137"/>
    </row>
    <row r="6017" spans="295:300" customFormat="1" x14ac:dyDescent="0.25">
      <c r="KI6017" s="137"/>
      <c r="KN6017" s="137"/>
    </row>
    <row r="6018" spans="295:300" customFormat="1" x14ac:dyDescent="0.25">
      <c r="KI6018" s="137"/>
      <c r="KN6018" s="137"/>
    </row>
    <row r="6019" spans="295:300" customFormat="1" x14ac:dyDescent="0.25">
      <c r="KI6019" s="137"/>
      <c r="KN6019" s="137"/>
    </row>
    <row r="6020" spans="295:300" customFormat="1" x14ac:dyDescent="0.25">
      <c r="KI6020" s="137"/>
      <c r="KN6020" s="137"/>
    </row>
    <row r="6021" spans="295:300" customFormat="1" x14ac:dyDescent="0.25">
      <c r="KI6021" s="137"/>
      <c r="KN6021" s="137"/>
    </row>
    <row r="6022" spans="295:300" customFormat="1" x14ac:dyDescent="0.25">
      <c r="KI6022" s="137"/>
      <c r="KN6022" s="137"/>
    </row>
    <row r="6023" spans="295:300" customFormat="1" x14ac:dyDescent="0.25">
      <c r="KI6023" s="137"/>
      <c r="KN6023" s="137"/>
    </row>
    <row r="6024" spans="295:300" customFormat="1" x14ac:dyDescent="0.25">
      <c r="KI6024" s="137"/>
      <c r="KN6024" s="137"/>
    </row>
    <row r="6025" spans="295:300" customFormat="1" x14ac:dyDescent="0.25">
      <c r="KI6025" s="137"/>
      <c r="KN6025" s="137"/>
    </row>
    <row r="6026" spans="295:300" customFormat="1" x14ac:dyDescent="0.25">
      <c r="KI6026" s="137"/>
      <c r="KN6026" s="137"/>
    </row>
    <row r="6027" spans="295:300" customFormat="1" x14ac:dyDescent="0.25">
      <c r="KI6027" s="137"/>
      <c r="KN6027" s="137"/>
    </row>
    <row r="6028" spans="295:300" customFormat="1" x14ac:dyDescent="0.25">
      <c r="KI6028" s="137"/>
      <c r="KN6028" s="137"/>
    </row>
    <row r="6029" spans="295:300" customFormat="1" x14ac:dyDescent="0.25">
      <c r="KI6029" s="137"/>
      <c r="KN6029" s="137"/>
    </row>
    <row r="6030" spans="295:300" customFormat="1" x14ac:dyDescent="0.25">
      <c r="KI6030" s="137"/>
      <c r="KN6030" s="137"/>
    </row>
    <row r="6031" spans="295:300" customFormat="1" x14ac:dyDescent="0.25">
      <c r="KI6031" s="137"/>
      <c r="KN6031" s="137"/>
    </row>
    <row r="6032" spans="295:300" customFormat="1" x14ac:dyDescent="0.25">
      <c r="KI6032" s="137"/>
      <c r="KN6032" s="137"/>
    </row>
    <row r="6033" spans="295:300" customFormat="1" x14ac:dyDescent="0.25">
      <c r="KI6033" s="137"/>
      <c r="KN6033" s="137"/>
    </row>
    <row r="6034" spans="295:300" customFormat="1" x14ac:dyDescent="0.25">
      <c r="KI6034" s="137"/>
      <c r="KN6034" s="137"/>
    </row>
    <row r="6035" spans="295:300" customFormat="1" x14ac:dyDescent="0.25">
      <c r="KI6035" s="137"/>
      <c r="KN6035" s="137"/>
    </row>
    <row r="6036" spans="295:300" customFormat="1" x14ac:dyDescent="0.25">
      <c r="KI6036" s="137"/>
      <c r="KN6036" s="137"/>
    </row>
    <row r="6037" spans="295:300" customFormat="1" x14ac:dyDescent="0.25">
      <c r="KI6037" s="137"/>
      <c r="KN6037" s="137"/>
    </row>
    <row r="6038" spans="295:300" customFormat="1" x14ac:dyDescent="0.25">
      <c r="KI6038" s="137"/>
      <c r="KN6038" s="137"/>
    </row>
    <row r="6039" spans="295:300" customFormat="1" x14ac:dyDescent="0.25">
      <c r="KI6039" s="137"/>
      <c r="KN6039" s="137"/>
    </row>
    <row r="6040" spans="295:300" customFormat="1" x14ac:dyDescent="0.25">
      <c r="KI6040" s="137"/>
      <c r="KN6040" s="137"/>
    </row>
    <row r="6041" spans="295:300" customFormat="1" x14ac:dyDescent="0.25">
      <c r="KI6041" s="137"/>
      <c r="KN6041" s="137"/>
    </row>
    <row r="6042" spans="295:300" customFormat="1" x14ac:dyDescent="0.25">
      <c r="KI6042" s="137"/>
      <c r="KN6042" s="137"/>
    </row>
    <row r="6043" spans="295:300" customFormat="1" x14ac:dyDescent="0.25">
      <c r="KI6043" s="137"/>
      <c r="KN6043" s="137"/>
    </row>
    <row r="6044" spans="295:300" customFormat="1" x14ac:dyDescent="0.25">
      <c r="KI6044" s="137"/>
      <c r="KN6044" s="137"/>
    </row>
    <row r="6045" spans="295:300" customFormat="1" x14ac:dyDescent="0.25">
      <c r="KI6045" s="137"/>
      <c r="KN6045" s="137"/>
    </row>
    <row r="6046" spans="295:300" customFormat="1" x14ac:dyDescent="0.25">
      <c r="KI6046" s="137"/>
      <c r="KN6046" s="137"/>
    </row>
    <row r="6047" spans="295:300" customFormat="1" x14ac:dyDescent="0.25">
      <c r="KI6047" s="137"/>
      <c r="KN6047" s="137"/>
    </row>
    <row r="6048" spans="295:300" customFormat="1" x14ac:dyDescent="0.25">
      <c r="KI6048" s="137"/>
      <c r="KN6048" s="137"/>
    </row>
    <row r="6049" spans="295:300" customFormat="1" x14ac:dyDescent="0.25">
      <c r="KI6049" s="137"/>
      <c r="KN6049" s="137"/>
    </row>
    <row r="6050" spans="295:300" customFormat="1" x14ac:dyDescent="0.25">
      <c r="KI6050" s="137"/>
      <c r="KN6050" s="137"/>
    </row>
    <row r="6051" spans="295:300" customFormat="1" x14ac:dyDescent="0.25">
      <c r="KI6051" s="137"/>
      <c r="KN6051" s="137"/>
    </row>
    <row r="6052" spans="295:300" customFormat="1" x14ac:dyDescent="0.25">
      <c r="KI6052" s="137"/>
      <c r="KN6052" s="137"/>
    </row>
    <row r="6053" spans="295:300" customFormat="1" x14ac:dyDescent="0.25">
      <c r="KI6053" s="137"/>
      <c r="KN6053" s="137"/>
    </row>
    <row r="6054" spans="295:300" customFormat="1" x14ac:dyDescent="0.25">
      <c r="KI6054" s="137"/>
      <c r="KN6054" s="137"/>
    </row>
    <row r="6055" spans="295:300" customFormat="1" x14ac:dyDescent="0.25">
      <c r="KI6055" s="137"/>
      <c r="KN6055" s="137"/>
    </row>
    <row r="6056" spans="295:300" customFormat="1" x14ac:dyDescent="0.25">
      <c r="KI6056" s="137"/>
      <c r="KN6056" s="137"/>
    </row>
    <row r="6057" spans="295:300" customFormat="1" x14ac:dyDescent="0.25">
      <c r="KI6057" s="137"/>
      <c r="KN6057" s="137"/>
    </row>
    <row r="6058" spans="295:300" customFormat="1" x14ac:dyDescent="0.25">
      <c r="KI6058" s="137"/>
      <c r="KN6058" s="137"/>
    </row>
    <row r="6059" spans="295:300" customFormat="1" x14ac:dyDescent="0.25">
      <c r="KI6059" s="137"/>
      <c r="KN6059" s="137"/>
    </row>
    <row r="6060" spans="295:300" customFormat="1" x14ac:dyDescent="0.25">
      <c r="KI6060" s="137"/>
      <c r="KN6060" s="137"/>
    </row>
    <row r="6061" spans="295:300" customFormat="1" x14ac:dyDescent="0.25">
      <c r="KI6061" s="137"/>
      <c r="KN6061" s="137"/>
    </row>
    <row r="6062" spans="295:300" customFormat="1" x14ac:dyDescent="0.25">
      <c r="KI6062" s="137"/>
      <c r="KN6062" s="137"/>
    </row>
    <row r="6063" spans="295:300" customFormat="1" x14ac:dyDescent="0.25">
      <c r="KI6063" s="137"/>
      <c r="KN6063" s="137"/>
    </row>
    <row r="6064" spans="295:300" customFormat="1" x14ac:dyDescent="0.25">
      <c r="KI6064" s="137"/>
      <c r="KN6064" s="137"/>
    </row>
    <row r="6065" spans="295:300" customFormat="1" x14ac:dyDescent="0.25">
      <c r="KI6065" s="137"/>
      <c r="KN6065" s="137"/>
    </row>
    <row r="6066" spans="295:300" customFormat="1" x14ac:dyDescent="0.25">
      <c r="KI6066" s="137"/>
      <c r="KN6066" s="137"/>
    </row>
    <row r="6067" spans="295:300" customFormat="1" x14ac:dyDescent="0.25">
      <c r="KI6067" s="137"/>
      <c r="KN6067" s="137"/>
    </row>
    <row r="6068" spans="295:300" customFormat="1" x14ac:dyDescent="0.25">
      <c r="KI6068" s="137"/>
      <c r="KN6068" s="137"/>
    </row>
    <row r="6069" spans="295:300" customFormat="1" x14ac:dyDescent="0.25">
      <c r="KI6069" s="137"/>
      <c r="KN6069" s="137"/>
    </row>
    <row r="6070" spans="295:300" customFormat="1" x14ac:dyDescent="0.25">
      <c r="KI6070" s="137"/>
      <c r="KN6070" s="137"/>
    </row>
    <row r="6071" spans="295:300" customFormat="1" x14ac:dyDescent="0.25">
      <c r="KI6071" s="137"/>
      <c r="KN6071" s="137"/>
    </row>
    <row r="6072" spans="295:300" customFormat="1" x14ac:dyDescent="0.25">
      <c r="KI6072" s="137"/>
      <c r="KN6072" s="137"/>
    </row>
    <row r="6073" spans="295:300" customFormat="1" x14ac:dyDescent="0.25">
      <c r="KI6073" s="137"/>
      <c r="KN6073" s="137"/>
    </row>
    <row r="6074" spans="295:300" customFormat="1" x14ac:dyDescent="0.25">
      <c r="KI6074" s="137"/>
      <c r="KN6074" s="137"/>
    </row>
    <row r="6075" spans="295:300" customFormat="1" x14ac:dyDescent="0.25">
      <c r="KI6075" s="137"/>
      <c r="KN6075" s="137"/>
    </row>
    <row r="6076" spans="295:300" customFormat="1" x14ac:dyDescent="0.25">
      <c r="KI6076" s="137"/>
      <c r="KN6076" s="137"/>
    </row>
    <row r="6077" spans="295:300" customFormat="1" x14ac:dyDescent="0.25">
      <c r="KI6077" s="137"/>
      <c r="KN6077" s="137"/>
    </row>
    <row r="6078" spans="295:300" customFormat="1" x14ac:dyDescent="0.25">
      <c r="KI6078" s="137"/>
      <c r="KN6078" s="137"/>
    </row>
    <row r="6079" spans="295:300" customFormat="1" x14ac:dyDescent="0.25">
      <c r="KI6079" s="137"/>
      <c r="KN6079" s="137"/>
    </row>
    <row r="6080" spans="295:300" customFormat="1" x14ac:dyDescent="0.25">
      <c r="KI6080" s="137"/>
      <c r="KN6080" s="137"/>
    </row>
    <row r="6081" spans="295:300" customFormat="1" x14ac:dyDescent="0.25">
      <c r="KI6081" s="137"/>
      <c r="KN6081" s="137"/>
    </row>
    <row r="6082" spans="295:300" customFormat="1" x14ac:dyDescent="0.25">
      <c r="KI6082" s="137"/>
      <c r="KN6082" s="137"/>
    </row>
    <row r="6083" spans="295:300" customFormat="1" x14ac:dyDescent="0.25">
      <c r="KI6083" s="137"/>
      <c r="KN6083" s="137"/>
    </row>
    <row r="6084" spans="295:300" customFormat="1" x14ac:dyDescent="0.25">
      <c r="KI6084" s="137"/>
      <c r="KN6084" s="137"/>
    </row>
    <row r="6085" spans="295:300" customFormat="1" x14ac:dyDescent="0.25">
      <c r="KI6085" s="137"/>
      <c r="KN6085" s="137"/>
    </row>
    <row r="6086" spans="295:300" customFormat="1" x14ac:dyDescent="0.25">
      <c r="KI6086" s="137"/>
      <c r="KN6086" s="137"/>
    </row>
    <row r="6087" spans="295:300" customFormat="1" x14ac:dyDescent="0.25">
      <c r="KI6087" s="137"/>
      <c r="KN6087" s="137"/>
    </row>
    <row r="6088" spans="295:300" customFormat="1" x14ac:dyDescent="0.25">
      <c r="KI6088" s="137"/>
      <c r="KN6088" s="137"/>
    </row>
    <row r="6089" spans="295:300" customFormat="1" x14ac:dyDescent="0.25">
      <c r="KI6089" s="137"/>
      <c r="KN6089" s="137"/>
    </row>
    <row r="6090" spans="295:300" customFormat="1" x14ac:dyDescent="0.25">
      <c r="KI6090" s="137"/>
      <c r="KN6090" s="137"/>
    </row>
    <row r="6091" spans="295:300" customFormat="1" x14ac:dyDescent="0.25">
      <c r="KI6091" s="137"/>
      <c r="KN6091" s="137"/>
    </row>
    <row r="6092" spans="295:300" customFormat="1" x14ac:dyDescent="0.25">
      <c r="KI6092" s="137"/>
      <c r="KN6092" s="137"/>
    </row>
    <row r="6093" spans="295:300" customFormat="1" x14ac:dyDescent="0.25">
      <c r="KI6093" s="137"/>
      <c r="KN6093" s="137"/>
    </row>
    <row r="6094" spans="295:300" customFormat="1" x14ac:dyDescent="0.25">
      <c r="KI6094" s="137"/>
      <c r="KN6094" s="137"/>
    </row>
    <row r="6095" spans="295:300" customFormat="1" x14ac:dyDescent="0.25">
      <c r="KI6095" s="137"/>
      <c r="KN6095" s="137"/>
    </row>
    <row r="6096" spans="295:300" customFormat="1" x14ac:dyDescent="0.25">
      <c r="KI6096" s="137"/>
      <c r="KN6096" s="137"/>
    </row>
    <row r="6097" spans="295:300" customFormat="1" x14ac:dyDescent="0.25">
      <c r="KI6097" s="137"/>
      <c r="KN6097" s="137"/>
    </row>
    <row r="6098" spans="295:300" customFormat="1" x14ac:dyDescent="0.25">
      <c r="KI6098" s="137"/>
      <c r="KN6098" s="137"/>
    </row>
    <row r="6099" spans="295:300" customFormat="1" x14ac:dyDescent="0.25">
      <c r="KI6099" s="137"/>
      <c r="KN6099" s="137"/>
    </row>
    <row r="6100" spans="295:300" customFormat="1" x14ac:dyDescent="0.25">
      <c r="KI6100" s="137"/>
      <c r="KN6100" s="137"/>
    </row>
    <row r="6101" spans="295:300" customFormat="1" x14ac:dyDescent="0.25">
      <c r="KI6101" s="137"/>
      <c r="KN6101" s="137"/>
    </row>
    <row r="6102" spans="295:300" customFormat="1" x14ac:dyDescent="0.25">
      <c r="KI6102" s="137"/>
      <c r="KN6102" s="137"/>
    </row>
    <row r="6103" spans="295:300" customFormat="1" x14ac:dyDescent="0.25">
      <c r="KI6103" s="137"/>
      <c r="KN6103" s="137"/>
    </row>
    <row r="6104" spans="295:300" customFormat="1" x14ac:dyDescent="0.25">
      <c r="KI6104" s="137"/>
      <c r="KN6104" s="137"/>
    </row>
    <row r="6105" spans="295:300" customFormat="1" x14ac:dyDescent="0.25">
      <c r="KI6105" s="137"/>
      <c r="KN6105" s="137"/>
    </row>
    <row r="6106" spans="295:300" customFormat="1" x14ac:dyDescent="0.25">
      <c r="KI6106" s="137"/>
      <c r="KN6106" s="137"/>
    </row>
    <row r="6107" spans="295:300" customFormat="1" x14ac:dyDescent="0.25">
      <c r="KI6107" s="137"/>
      <c r="KN6107" s="137"/>
    </row>
    <row r="6108" spans="295:300" customFormat="1" x14ac:dyDescent="0.25">
      <c r="KI6108" s="137"/>
      <c r="KN6108" s="137"/>
    </row>
    <row r="6109" spans="295:300" customFormat="1" x14ac:dyDescent="0.25">
      <c r="KI6109" s="137"/>
      <c r="KN6109" s="137"/>
    </row>
    <row r="6110" spans="295:300" customFormat="1" x14ac:dyDescent="0.25">
      <c r="KI6110" s="137"/>
      <c r="KN6110" s="137"/>
    </row>
    <row r="6111" spans="295:300" customFormat="1" x14ac:dyDescent="0.25">
      <c r="KI6111" s="137"/>
      <c r="KN6111" s="137"/>
    </row>
    <row r="6112" spans="295:300" customFormat="1" x14ac:dyDescent="0.25">
      <c r="KI6112" s="137"/>
      <c r="KN6112" s="137"/>
    </row>
    <row r="6113" spans="295:300" customFormat="1" x14ac:dyDescent="0.25">
      <c r="KI6113" s="137"/>
      <c r="KN6113" s="137"/>
    </row>
    <row r="6114" spans="295:300" customFormat="1" x14ac:dyDescent="0.25">
      <c r="KI6114" s="137"/>
      <c r="KN6114" s="137"/>
    </row>
    <row r="6115" spans="295:300" customFormat="1" x14ac:dyDescent="0.25">
      <c r="KI6115" s="137"/>
      <c r="KN6115" s="137"/>
    </row>
    <row r="6116" spans="295:300" customFormat="1" x14ac:dyDescent="0.25">
      <c r="KI6116" s="137"/>
      <c r="KN6116" s="137"/>
    </row>
    <row r="6117" spans="295:300" customFormat="1" x14ac:dyDescent="0.25">
      <c r="KI6117" s="137"/>
      <c r="KN6117" s="137"/>
    </row>
    <row r="6118" spans="295:300" customFormat="1" x14ac:dyDescent="0.25">
      <c r="KI6118" s="137"/>
      <c r="KN6118" s="137"/>
    </row>
    <row r="6119" spans="295:300" customFormat="1" x14ac:dyDescent="0.25">
      <c r="KI6119" s="137"/>
      <c r="KN6119" s="137"/>
    </row>
    <row r="6120" spans="295:300" customFormat="1" x14ac:dyDescent="0.25">
      <c r="KI6120" s="137"/>
      <c r="KN6120" s="137"/>
    </row>
    <row r="6121" spans="295:300" customFormat="1" x14ac:dyDescent="0.25">
      <c r="KI6121" s="137"/>
      <c r="KN6121" s="137"/>
    </row>
    <row r="6122" spans="295:300" customFormat="1" x14ac:dyDescent="0.25">
      <c r="KI6122" s="137"/>
      <c r="KN6122" s="137"/>
    </row>
    <row r="6123" spans="295:300" customFormat="1" x14ac:dyDescent="0.25">
      <c r="KI6123" s="137"/>
      <c r="KN6123" s="137"/>
    </row>
    <row r="6124" spans="295:300" customFormat="1" x14ac:dyDescent="0.25">
      <c r="KI6124" s="137"/>
      <c r="KN6124" s="137"/>
    </row>
    <row r="6125" spans="295:300" customFormat="1" x14ac:dyDescent="0.25">
      <c r="KI6125" s="137"/>
      <c r="KN6125" s="137"/>
    </row>
    <row r="6126" spans="295:300" customFormat="1" x14ac:dyDescent="0.25">
      <c r="KI6126" s="137"/>
      <c r="KN6126" s="137"/>
    </row>
    <row r="6127" spans="295:300" customFormat="1" x14ac:dyDescent="0.25">
      <c r="KI6127" s="137"/>
      <c r="KN6127" s="137"/>
    </row>
    <row r="6128" spans="295:300" customFormat="1" x14ac:dyDescent="0.25">
      <c r="KI6128" s="137"/>
      <c r="KN6128" s="137"/>
    </row>
    <row r="6129" spans="295:300" customFormat="1" x14ac:dyDescent="0.25">
      <c r="KI6129" s="137"/>
      <c r="KN6129" s="137"/>
    </row>
    <row r="6130" spans="295:300" customFormat="1" x14ac:dyDescent="0.25">
      <c r="KI6130" s="137"/>
      <c r="KN6130" s="137"/>
    </row>
    <row r="6131" spans="295:300" customFormat="1" x14ac:dyDescent="0.25">
      <c r="KI6131" s="137"/>
      <c r="KN6131" s="137"/>
    </row>
    <row r="6132" spans="295:300" customFormat="1" x14ac:dyDescent="0.25">
      <c r="KI6132" s="137"/>
      <c r="KN6132" s="137"/>
    </row>
    <row r="6133" spans="295:300" customFormat="1" x14ac:dyDescent="0.25">
      <c r="KI6133" s="137"/>
      <c r="KN6133" s="137"/>
    </row>
    <row r="6134" spans="295:300" customFormat="1" x14ac:dyDescent="0.25">
      <c r="KI6134" s="137"/>
      <c r="KN6134" s="137"/>
    </row>
    <row r="6135" spans="295:300" customFormat="1" x14ac:dyDescent="0.25">
      <c r="KI6135" s="137"/>
      <c r="KN6135" s="137"/>
    </row>
    <row r="6136" spans="295:300" customFormat="1" x14ac:dyDescent="0.25">
      <c r="KI6136" s="137"/>
      <c r="KN6136" s="137"/>
    </row>
    <row r="6137" spans="295:300" customFormat="1" x14ac:dyDescent="0.25">
      <c r="KI6137" s="137"/>
      <c r="KN6137" s="137"/>
    </row>
    <row r="6138" spans="295:300" customFormat="1" x14ac:dyDescent="0.25">
      <c r="KI6138" s="137"/>
      <c r="KN6138" s="137"/>
    </row>
    <row r="6139" spans="295:300" customFormat="1" x14ac:dyDescent="0.25">
      <c r="KI6139" s="137"/>
      <c r="KN6139" s="137"/>
    </row>
    <row r="6140" spans="295:300" customFormat="1" x14ac:dyDescent="0.25">
      <c r="KI6140" s="137"/>
      <c r="KN6140" s="137"/>
    </row>
    <row r="6141" spans="295:300" customFormat="1" x14ac:dyDescent="0.25">
      <c r="KI6141" s="137"/>
      <c r="KN6141" s="137"/>
    </row>
    <row r="6142" spans="295:300" customFormat="1" x14ac:dyDescent="0.25">
      <c r="KI6142" s="137"/>
      <c r="KN6142" s="137"/>
    </row>
    <row r="6143" spans="295:300" customFormat="1" x14ac:dyDescent="0.25">
      <c r="KI6143" s="137"/>
      <c r="KN6143" s="137"/>
    </row>
    <row r="6144" spans="295:300" customFormat="1" x14ac:dyDescent="0.25">
      <c r="KI6144" s="137"/>
      <c r="KN6144" s="137"/>
    </row>
    <row r="6145" spans="295:300" customFormat="1" x14ac:dyDescent="0.25">
      <c r="KI6145" s="137"/>
      <c r="KN6145" s="137"/>
    </row>
    <row r="6146" spans="295:300" customFormat="1" x14ac:dyDescent="0.25">
      <c r="KI6146" s="137"/>
      <c r="KN6146" s="137"/>
    </row>
    <row r="6147" spans="295:300" customFormat="1" x14ac:dyDescent="0.25">
      <c r="KI6147" s="137"/>
      <c r="KN6147" s="137"/>
    </row>
    <row r="6148" spans="295:300" customFormat="1" x14ac:dyDescent="0.25">
      <c r="KI6148" s="137"/>
      <c r="KN6148" s="137"/>
    </row>
    <row r="6149" spans="295:300" customFormat="1" x14ac:dyDescent="0.25">
      <c r="KI6149" s="137"/>
      <c r="KN6149" s="137"/>
    </row>
    <row r="6150" spans="295:300" customFormat="1" x14ac:dyDescent="0.25">
      <c r="KI6150" s="137"/>
      <c r="KN6150" s="137"/>
    </row>
    <row r="6151" spans="295:300" customFormat="1" x14ac:dyDescent="0.25">
      <c r="KI6151" s="137"/>
      <c r="KN6151" s="137"/>
    </row>
    <row r="6152" spans="295:300" customFormat="1" x14ac:dyDescent="0.25">
      <c r="KI6152" s="137"/>
      <c r="KN6152" s="137"/>
    </row>
    <row r="6153" spans="295:300" customFormat="1" x14ac:dyDescent="0.25">
      <c r="KI6153" s="137"/>
      <c r="KN6153" s="137"/>
    </row>
    <row r="6154" spans="295:300" customFormat="1" x14ac:dyDescent="0.25">
      <c r="KI6154" s="137"/>
      <c r="KN6154" s="137"/>
    </row>
    <row r="6155" spans="295:300" customFormat="1" x14ac:dyDescent="0.25">
      <c r="KI6155" s="137"/>
      <c r="KN6155" s="137"/>
    </row>
    <row r="6156" spans="295:300" customFormat="1" x14ac:dyDescent="0.25">
      <c r="KI6156" s="137"/>
      <c r="KN6156" s="137"/>
    </row>
    <row r="6157" spans="295:300" customFormat="1" x14ac:dyDescent="0.25">
      <c r="KI6157" s="137"/>
      <c r="KN6157" s="137"/>
    </row>
    <row r="6158" spans="295:300" customFormat="1" x14ac:dyDescent="0.25">
      <c r="KI6158" s="137"/>
      <c r="KN6158" s="137"/>
    </row>
    <row r="6159" spans="295:300" customFormat="1" x14ac:dyDescent="0.25">
      <c r="KI6159" s="137"/>
      <c r="KN6159" s="137"/>
    </row>
    <row r="6160" spans="295:300" customFormat="1" x14ac:dyDescent="0.25">
      <c r="KI6160" s="137"/>
      <c r="KN6160" s="137"/>
    </row>
    <row r="6161" spans="295:300" customFormat="1" x14ac:dyDescent="0.25">
      <c r="KI6161" s="137"/>
      <c r="KN6161" s="137"/>
    </row>
    <row r="6162" spans="295:300" customFormat="1" x14ac:dyDescent="0.25">
      <c r="KI6162" s="137"/>
      <c r="KN6162" s="137"/>
    </row>
    <row r="6163" spans="295:300" customFormat="1" x14ac:dyDescent="0.25">
      <c r="KI6163" s="137"/>
      <c r="KN6163" s="137"/>
    </row>
    <row r="6164" spans="295:300" customFormat="1" x14ac:dyDescent="0.25">
      <c r="KI6164" s="137"/>
      <c r="KN6164" s="137"/>
    </row>
    <row r="6165" spans="295:300" customFormat="1" x14ac:dyDescent="0.25">
      <c r="KI6165" s="137"/>
      <c r="KN6165" s="137"/>
    </row>
    <row r="6166" spans="295:300" customFormat="1" x14ac:dyDescent="0.25">
      <c r="KI6166" s="137"/>
      <c r="KN6166" s="137"/>
    </row>
    <row r="6167" spans="295:300" customFormat="1" x14ac:dyDescent="0.25">
      <c r="KI6167" s="137"/>
      <c r="KN6167" s="137"/>
    </row>
    <row r="6168" spans="295:300" customFormat="1" x14ac:dyDescent="0.25">
      <c r="KI6168" s="137"/>
      <c r="KN6168" s="137"/>
    </row>
    <row r="6169" spans="295:300" customFormat="1" x14ac:dyDescent="0.25">
      <c r="KI6169" s="137"/>
      <c r="KN6169" s="137"/>
    </row>
    <row r="6170" spans="295:300" customFormat="1" x14ac:dyDescent="0.25">
      <c r="KI6170" s="137"/>
      <c r="KN6170" s="137"/>
    </row>
    <row r="6171" spans="295:300" customFormat="1" x14ac:dyDescent="0.25">
      <c r="KI6171" s="137"/>
      <c r="KN6171" s="137"/>
    </row>
    <row r="6172" spans="295:300" customFormat="1" x14ac:dyDescent="0.25">
      <c r="KI6172" s="137"/>
      <c r="KN6172" s="137"/>
    </row>
    <row r="6173" spans="295:300" customFormat="1" x14ac:dyDescent="0.25">
      <c r="KI6173" s="137"/>
      <c r="KN6173" s="137"/>
    </row>
    <row r="6174" spans="295:300" customFormat="1" x14ac:dyDescent="0.25">
      <c r="KI6174" s="137"/>
      <c r="KN6174" s="137"/>
    </row>
    <row r="6175" spans="295:300" customFormat="1" x14ac:dyDescent="0.25">
      <c r="KI6175" s="137"/>
      <c r="KN6175" s="137"/>
    </row>
    <row r="6176" spans="295:300" customFormat="1" x14ac:dyDescent="0.25">
      <c r="KI6176" s="137"/>
      <c r="KN6176" s="137"/>
    </row>
    <row r="6177" spans="295:300" customFormat="1" x14ac:dyDescent="0.25">
      <c r="KI6177" s="137"/>
      <c r="KN6177" s="137"/>
    </row>
    <row r="6178" spans="295:300" customFormat="1" x14ac:dyDescent="0.25">
      <c r="KI6178" s="137"/>
      <c r="KN6178" s="137"/>
    </row>
    <row r="6179" spans="295:300" customFormat="1" x14ac:dyDescent="0.25">
      <c r="KI6179" s="137"/>
      <c r="KN6179" s="137"/>
    </row>
    <row r="6180" spans="295:300" customFormat="1" x14ac:dyDescent="0.25">
      <c r="KI6180" s="137"/>
      <c r="KN6180" s="137"/>
    </row>
    <row r="6181" spans="295:300" customFormat="1" x14ac:dyDescent="0.25">
      <c r="KI6181" s="137"/>
      <c r="KN6181" s="137"/>
    </row>
    <row r="6182" spans="295:300" customFormat="1" x14ac:dyDescent="0.25">
      <c r="KI6182" s="137"/>
      <c r="KN6182" s="137"/>
    </row>
    <row r="6183" spans="295:300" customFormat="1" x14ac:dyDescent="0.25">
      <c r="KI6183" s="137"/>
      <c r="KN6183" s="137"/>
    </row>
    <row r="6184" spans="295:300" customFormat="1" x14ac:dyDescent="0.25">
      <c r="KI6184" s="137"/>
      <c r="KN6184" s="137"/>
    </row>
    <row r="6185" spans="295:300" customFormat="1" x14ac:dyDescent="0.25">
      <c r="KI6185" s="137"/>
      <c r="KN6185" s="137"/>
    </row>
    <row r="6186" spans="295:300" customFormat="1" x14ac:dyDescent="0.25">
      <c r="KI6186" s="137"/>
      <c r="KN6186" s="137"/>
    </row>
    <row r="6187" spans="295:300" customFormat="1" x14ac:dyDescent="0.25">
      <c r="KI6187" s="137"/>
      <c r="KN6187" s="137"/>
    </row>
    <row r="6188" spans="295:300" customFormat="1" x14ac:dyDescent="0.25">
      <c r="KI6188" s="137"/>
      <c r="KN6188" s="137"/>
    </row>
    <row r="6189" spans="295:300" customFormat="1" x14ac:dyDescent="0.25">
      <c r="KI6189" s="137"/>
      <c r="KN6189" s="137"/>
    </row>
    <row r="6190" spans="295:300" customFormat="1" x14ac:dyDescent="0.25">
      <c r="KI6190" s="137"/>
      <c r="KN6190" s="137"/>
    </row>
    <row r="6191" spans="295:300" customFormat="1" x14ac:dyDescent="0.25">
      <c r="KI6191" s="137"/>
      <c r="KN6191" s="137"/>
    </row>
    <row r="6192" spans="295:300" customFormat="1" x14ac:dyDescent="0.25">
      <c r="KI6192" s="137"/>
      <c r="KN6192" s="137"/>
    </row>
    <row r="6193" spans="295:300" customFormat="1" x14ac:dyDescent="0.25">
      <c r="KI6193" s="137"/>
      <c r="KN6193" s="137"/>
    </row>
    <row r="6194" spans="295:300" customFormat="1" x14ac:dyDescent="0.25">
      <c r="KI6194" s="137"/>
      <c r="KN6194" s="137"/>
    </row>
    <row r="6195" spans="295:300" customFormat="1" x14ac:dyDescent="0.25">
      <c r="KI6195" s="137"/>
      <c r="KN6195" s="137"/>
    </row>
    <row r="6196" spans="295:300" customFormat="1" x14ac:dyDescent="0.25">
      <c r="KI6196" s="137"/>
      <c r="KN6196" s="137"/>
    </row>
    <row r="6197" spans="295:300" customFormat="1" x14ac:dyDescent="0.25">
      <c r="KI6197" s="137"/>
      <c r="KN6197" s="137"/>
    </row>
    <row r="6198" spans="295:300" customFormat="1" x14ac:dyDescent="0.25">
      <c r="KI6198" s="137"/>
      <c r="KN6198" s="137"/>
    </row>
    <row r="6199" spans="295:300" customFormat="1" x14ac:dyDescent="0.25">
      <c r="KI6199" s="137"/>
      <c r="KN6199" s="137"/>
    </row>
    <row r="6200" spans="295:300" customFormat="1" x14ac:dyDescent="0.25">
      <c r="KI6200" s="137"/>
      <c r="KN6200" s="137"/>
    </row>
    <row r="6201" spans="295:300" customFormat="1" x14ac:dyDescent="0.25">
      <c r="KI6201" s="137"/>
      <c r="KN6201" s="137"/>
    </row>
    <row r="6202" spans="295:300" customFormat="1" x14ac:dyDescent="0.25">
      <c r="KI6202" s="137"/>
      <c r="KN6202" s="137"/>
    </row>
    <row r="6203" spans="295:300" customFormat="1" x14ac:dyDescent="0.25">
      <c r="KI6203" s="137"/>
      <c r="KN6203" s="137"/>
    </row>
    <row r="6204" spans="295:300" customFormat="1" x14ac:dyDescent="0.25">
      <c r="KI6204" s="137"/>
      <c r="KN6204" s="137"/>
    </row>
    <row r="6205" spans="295:300" customFormat="1" x14ac:dyDescent="0.25">
      <c r="KI6205" s="137"/>
      <c r="KN6205" s="137"/>
    </row>
    <row r="6206" spans="295:300" customFormat="1" x14ac:dyDescent="0.25">
      <c r="KI6206" s="137"/>
      <c r="KN6206" s="137"/>
    </row>
    <row r="6207" spans="295:300" customFormat="1" x14ac:dyDescent="0.25">
      <c r="KI6207" s="137"/>
      <c r="KN6207" s="137"/>
    </row>
    <row r="6208" spans="295:300" customFormat="1" x14ac:dyDescent="0.25">
      <c r="KI6208" s="137"/>
      <c r="KN6208" s="137"/>
    </row>
    <row r="6209" spans="295:300" customFormat="1" x14ac:dyDescent="0.25">
      <c r="KI6209" s="137"/>
      <c r="KN6209" s="137"/>
    </row>
    <row r="6210" spans="295:300" customFormat="1" x14ac:dyDescent="0.25">
      <c r="KI6210" s="137"/>
      <c r="KN6210" s="137"/>
    </row>
    <row r="6211" spans="295:300" customFormat="1" x14ac:dyDescent="0.25">
      <c r="KI6211" s="137"/>
      <c r="KN6211" s="137"/>
    </row>
    <row r="6212" spans="295:300" customFormat="1" x14ac:dyDescent="0.25">
      <c r="KI6212" s="137"/>
      <c r="KN6212" s="137"/>
    </row>
    <row r="6213" spans="295:300" customFormat="1" x14ac:dyDescent="0.25">
      <c r="KI6213" s="137"/>
      <c r="KN6213" s="137"/>
    </row>
    <row r="6214" spans="295:300" customFormat="1" x14ac:dyDescent="0.25">
      <c r="KI6214" s="137"/>
      <c r="KN6214" s="137"/>
    </row>
    <row r="6215" spans="295:300" customFormat="1" x14ac:dyDescent="0.25">
      <c r="KI6215" s="137"/>
      <c r="KN6215" s="137"/>
    </row>
    <row r="6216" spans="295:300" customFormat="1" x14ac:dyDescent="0.25">
      <c r="KI6216" s="137"/>
      <c r="KN6216" s="137"/>
    </row>
    <row r="6217" spans="295:300" customFormat="1" x14ac:dyDescent="0.25">
      <c r="KI6217" s="137"/>
      <c r="KN6217" s="137"/>
    </row>
    <row r="6218" spans="295:300" customFormat="1" x14ac:dyDescent="0.25">
      <c r="KI6218" s="137"/>
      <c r="KN6218" s="137"/>
    </row>
    <row r="6219" spans="295:300" customFormat="1" x14ac:dyDescent="0.25">
      <c r="KI6219" s="137"/>
      <c r="KN6219" s="137"/>
    </row>
    <row r="6220" spans="295:300" customFormat="1" x14ac:dyDescent="0.25">
      <c r="KI6220" s="137"/>
      <c r="KN6220" s="137"/>
    </row>
    <row r="6221" spans="295:300" customFormat="1" x14ac:dyDescent="0.25">
      <c r="KI6221" s="137"/>
      <c r="KN6221" s="137"/>
    </row>
    <row r="6222" spans="295:300" customFormat="1" x14ac:dyDescent="0.25">
      <c r="KI6222" s="137"/>
      <c r="KN6222" s="137"/>
    </row>
    <row r="6223" spans="295:300" customFormat="1" x14ac:dyDescent="0.25">
      <c r="KI6223" s="137"/>
      <c r="KN6223" s="137"/>
    </row>
    <row r="6224" spans="295:300" customFormat="1" x14ac:dyDescent="0.25">
      <c r="KI6224" s="137"/>
      <c r="KN6224" s="137"/>
    </row>
    <row r="6225" spans="295:300" customFormat="1" x14ac:dyDescent="0.25">
      <c r="KI6225" s="137"/>
      <c r="KN6225" s="137"/>
    </row>
    <row r="6226" spans="295:300" customFormat="1" x14ac:dyDescent="0.25">
      <c r="KI6226" s="137"/>
      <c r="KN6226" s="137"/>
    </row>
    <row r="6227" spans="295:300" customFormat="1" x14ac:dyDescent="0.25">
      <c r="KI6227" s="137"/>
      <c r="KN6227" s="137"/>
    </row>
    <row r="6228" spans="295:300" customFormat="1" x14ac:dyDescent="0.25">
      <c r="KI6228" s="137"/>
      <c r="KN6228" s="137"/>
    </row>
    <row r="6229" spans="295:300" customFormat="1" x14ac:dyDescent="0.25">
      <c r="KI6229" s="137"/>
      <c r="KN6229" s="137"/>
    </row>
    <row r="6230" spans="295:300" customFormat="1" x14ac:dyDescent="0.25">
      <c r="KI6230" s="137"/>
      <c r="KN6230" s="137"/>
    </row>
    <row r="6231" spans="295:300" customFormat="1" x14ac:dyDescent="0.25">
      <c r="KI6231" s="137"/>
      <c r="KN6231" s="137"/>
    </row>
    <row r="6232" spans="295:300" customFormat="1" x14ac:dyDescent="0.25">
      <c r="KI6232" s="137"/>
      <c r="KN6232" s="137"/>
    </row>
    <row r="6233" spans="295:300" customFormat="1" x14ac:dyDescent="0.25">
      <c r="KI6233" s="137"/>
      <c r="KN6233" s="137"/>
    </row>
    <row r="6234" spans="295:300" customFormat="1" x14ac:dyDescent="0.25">
      <c r="KI6234" s="137"/>
      <c r="KN6234" s="137"/>
    </row>
    <row r="6235" spans="295:300" customFormat="1" x14ac:dyDescent="0.25">
      <c r="KI6235" s="137"/>
      <c r="KN6235" s="137"/>
    </row>
    <row r="6236" spans="295:300" customFormat="1" x14ac:dyDescent="0.25">
      <c r="KI6236" s="137"/>
      <c r="KN6236" s="137"/>
    </row>
    <row r="6237" spans="295:300" customFormat="1" x14ac:dyDescent="0.25">
      <c r="KI6237" s="137"/>
      <c r="KN6237" s="137"/>
    </row>
    <row r="6238" spans="295:300" customFormat="1" x14ac:dyDescent="0.25">
      <c r="KI6238" s="137"/>
      <c r="KN6238" s="137"/>
    </row>
    <row r="6239" spans="295:300" customFormat="1" x14ac:dyDescent="0.25">
      <c r="KI6239" s="137"/>
      <c r="KN6239" s="137"/>
    </row>
    <row r="6240" spans="295:300" customFormat="1" x14ac:dyDescent="0.25">
      <c r="KI6240" s="137"/>
      <c r="KN6240" s="137"/>
    </row>
    <row r="6241" spans="295:300" customFormat="1" x14ac:dyDescent="0.25">
      <c r="KI6241" s="137"/>
      <c r="KN6241" s="137"/>
    </row>
    <row r="6242" spans="295:300" customFormat="1" x14ac:dyDescent="0.25">
      <c r="KI6242" s="137"/>
      <c r="KN6242" s="137"/>
    </row>
    <row r="6243" spans="295:300" customFormat="1" x14ac:dyDescent="0.25">
      <c r="KI6243" s="137"/>
      <c r="KN6243" s="137"/>
    </row>
    <row r="6244" spans="295:300" customFormat="1" x14ac:dyDescent="0.25">
      <c r="KI6244" s="137"/>
      <c r="KN6244" s="137"/>
    </row>
    <row r="6245" spans="295:300" customFormat="1" x14ac:dyDescent="0.25">
      <c r="KI6245" s="137"/>
      <c r="KN6245" s="137"/>
    </row>
    <row r="6246" spans="295:300" customFormat="1" x14ac:dyDescent="0.25">
      <c r="KI6246" s="137"/>
      <c r="KN6246" s="137"/>
    </row>
    <row r="6247" spans="295:300" customFormat="1" x14ac:dyDescent="0.25">
      <c r="KI6247" s="137"/>
      <c r="KN6247" s="137"/>
    </row>
    <row r="6248" spans="295:300" customFormat="1" x14ac:dyDescent="0.25">
      <c r="KI6248" s="137"/>
      <c r="KN6248" s="137"/>
    </row>
    <row r="6249" spans="295:300" customFormat="1" x14ac:dyDescent="0.25">
      <c r="KI6249" s="137"/>
      <c r="KN6249" s="137"/>
    </row>
    <row r="6250" spans="295:300" customFormat="1" x14ac:dyDescent="0.25">
      <c r="KI6250" s="137"/>
      <c r="KN6250" s="137"/>
    </row>
    <row r="6251" spans="295:300" customFormat="1" x14ac:dyDescent="0.25">
      <c r="KI6251" s="137"/>
      <c r="KN6251" s="137"/>
    </row>
    <row r="6252" spans="295:300" customFormat="1" x14ac:dyDescent="0.25">
      <c r="KI6252" s="137"/>
      <c r="KN6252" s="137"/>
    </row>
    <row r="6253" spans="295:300" customFormat="1" x14ac:dyDescent="0.25">
      <c r="KI6253" s="137"/>
      <c r="KN6253" s="137"/>
    </row>
    <row r="6254" spans="295:300" customFormat="1" x14ac:dyDescent="0.25">
      <c r="KI6254" s="137"/>
      <c r="KN6254" s="137"/>
    </row>
    <row r="6255" spans="295:300" customFormat="1" x14ac:dyDescent="0.25">
      <c r="KI6255" s="137"/>
      <c r="KN6255" s="137"/>
    </row>
    <row r="6256" spans="295:300" customFormat="1" x14ac:dyDescent="0.25">
      <c r="KI6256" s="137"/>
      <c r="KN6256" s="137"/>
    </row>
    <row r="6257" spans="295:300" customFormat="1" x14ac:dyDescent="0.25">
      <c r="KI6257" s="137"/>
      <c r="KN6257" s="137"/>
    </row>
    <row r="6258" spans="295:300" customFormat="1" x14ac:dyDescent="0.25">
      <c r="KI6258" s="137"/>
      <c r="KN6258" s="137"/>
    </row>
    <row r="6259" spans="295:300" customFormat="1" x14ac:dyDescent="0.25">
      <c r="KI6259" s="137"/>
      <c r="KN6259" s="137"/>
    </row>
    <row r="6260" spans="295:300" customFormat="1" x14ac:dyDescent="0.25">
      <c r="KI6260" s="137"/>
      <c r="KN6260" s="137"/>
    </row>
    <row r="6261" spans="295:300" customFormat="1" x14ac:dyDescent="0.25">
      <c r="KI6261" s="137"/>
      <c r="KN6261" s="137"/>
    </row>
    <row r="6262" spans="295:300" customFormat="1" x14ac:dyDescent="0.25">
      <c r="KI6262" s="137"/>
      <c r="KN6262" s="137"/>
    </row>
    <row r="6263" spans="295:300" customFormat="1" x14ac:dyDescent="0.25">
      <c r="KI6263" s="137"/>
      <c r="KN6263" s="137"/>
    </row>
    <row r="6264" spans="295:300" customFormat="1" x14ac:dyDescent="0.25">
      <c r="KI6264" s="137"/>
      <c r="KN6264" s="137"/>
    </row>
    <row r="6265" spans="295:300" customFormat="1" x14ac:dyDescent="0.25">
      <c r="KI6265" s="137"/>
      <c r="KN6265" s="137"/>
    </row>
    <row r="6266" spans="295:300" customFormat="1" x14ac:dyDescent="0.25">
      <c r="KI6266" s="137"/>
      <c r="KN6266" s="137"/>
    </row>
    <row r="6267" spans="295:300" customFormat="1" x14ac:dyDescent="0.25">
      <c r="KI6267" s="137"/>
      <c r="KN6267" s="137"/>
    </row>
    <row r="6268" spans="295:300" customFormat="1" x14ac:dyDescent="0.25">
      <c r="KI6268" s="137"/>
      <c r="KN6268" s="137"/>
    </row>
    <row r="6269" spans="295:300" customFormat="1" x14ac:dyDescent="0.25">
      <c r="KI6269" s="137"/>
      <c r="KN6269" s="137"/>
    </row>
    <row r="6270" spans="295:300" customFormat="1" x14ac:dyDescent="0.25">
      <c r="KI6270" s="137"/>
      <c r="KN6270" s="137"/>
    </row>
    <row r="6271" spans="295:300" customFormat="1" x14ac:dyDescent="0.25">
      <c r="KI6271" s="137"/>
      <c r="KN6271" s="137"/>
    </row>
    <row r="6272" spans="295:300" customFormat="1" x14ac:dyDescent="0.25">
      <c r="KI6272" s="137"/>
      <c r="KN6272" s="137"/>
    </row>
    <row r="6273" spans="295:300" customFormat="1" x14ac:dyDescent="0.25">
      <c r="KI6273" s="137"/>
      <c r="KN6273" s="137"/>
    </row>
    <row r="6274" spans="295:300" customFormat="1" x14ac:dyDescent="0.25">
      <c r="KI6274" s="137"/>
      <c r="KN6274" s="137"/>
    </row>
    <row r="6275" spans="295:300" customFormat="1" x14ac:dyDescent="0.25">
      <c r="KI6275" s="137"/>
      <c r="KN6275" s="137"/>
    </row>
    <row r="6276" spans="295:300" customFormat="1" x14ac:dyDescent="0.25">
      <c r="KI6276" s="137"/>
      <c r="KN6276" s="137"/>
    </row>
    <row r="6277" spans="295:300" customFormat="1" x14ac:dyDescent="0.25">
      <c r="KI6277" s="137"/>
      <c r="KN6277" s="137"/>
    </row>
    <row r="6278" spans="295:300" customFormat="1" x14ac:dyDescent="0.25">
      <c r="KI6278" s="137"/>
      <c r="KN6278" s="137"/>
    </row>
    <row r="6279" spans="295:300" customFormat="1" x14ac:dyDescent="0.25">
      <c r="KI6279" s="137"/>
      <c r="KN6279" s="137"/>
    </row>
    <row r="6280" spans="295:300" customFormat="1" x14ac:dyDescent="0.25">
      <c r="KI6280" s="137"/>
      <c r="KN6280" s="137"/>
    </row>
    <row r="6281" spans="295:300" customFormat="1" x14ac:dyDescent="0.25">
      <c r="KI6281" s="137"/>
      <c r="KN6281" s="137"/>
    </row>
    <row r="6282" spans="295:300" customFormat="1" x14ac:dyDescent="0.25">
      <c r="KI6282" s="137"/>
      <c r="KN6282" s="137"/>
    </row>
    <row r="6283" spans="295:300" customFormat="1" x14ac:dyDescent="0.25">
      <c r="KI6283" s="137"/>
      <c r="KN6283" s="137"/>
    </row>
    <row r="6284" spans="295:300" customFormat="1" x14ac:dyDescent="0.25">
      <c r="KI6284" s="137"/>
      <c r="KN6284" s="137"/>
    </row>
    <row r="6285" spans="295:300" customFormat="1" x14ac:dyDescent="0.25">
      <c r="KI6285" s="137"/>
      <c r="KN6285" s="137"/>
    </row>
    <row r="6286" spans="295:300" customFormat="1" x14ac:dyDescent="0.25">
      <c r="KI6286" s="137"/>
      <c r="KN6286" s="137"/>
    </row>
    <row r="6287" spans="295:300" customFormat="1" x14ac:dyDescent="0.25">
      <c r="KI6287" s="137"/>
      <c r="KN6287" s="137"/>
    </row>
    <row r="6288" spans="295:300" customFormat="1" x14ac:dyDescent="0.25">
      <c r="KI6288" s="137"/>
      <c r="KN6288" s="137"/>
    </row>
    <row r="6289" spans="295:300" customFormat="1" x14ac:dyDescent="0.25">
      <c r="KI6289" s="137"/>
      <c r="KN6289" s="137"/>
    </row>
    <row r="6290" spans="295:300" customFormat="1" x14ac:dyDescent="0.25">
      <c r="KI6290" s="137"/>
      <c r="KN6290" s="137"/>
    </row>
    <row r="6291" spans="295:300" customFormat="1" x14ac:dyDescent="0.25">
      <c r="KI6291" s="137"/>
      <c r="KN6291" s="137"/>
    </row>
    <row r="6292" spans="295:300" customFormat="1" x14ac:dyDescent="0.25">
      <c r="KI6292" s="137"/>
      <c r="KN6292" s="137"/>
    </row>
    <row r="6293" spans="295:300" customFormat="1" x14ac:dyDescent="0.25">
      <c r="KI6293" s="137"/>
      <c r="KN6293" s="137"/>
    </row>
    <row r="6294" spans="295:300" customFormat="1" x14ac:dyDescent="0.25">
      <c r="KI6294" s="137"/>
      <c r="KN6294" s="137"/>
    </row>
    <row r="6295" spans="295:300" customFormat="1" x14ac:dyDescent="0.25">
      <c r="KI6295" s="137"/>
      <c r="KN6295" s="137"/>
    </row>
    <row r="6296" spans="295:300" customFormat="1" x14ac:dyDescent="0.25">
      <c r="KI6296" s="137"/>
      <c r="KN6296" s="137"/>
    </row>
    <row r="6297" spans="295:300" customFormat="1" x14ac:dyDescent="0.25">
      <c r="KI6297" s="137"/>
      <c r="KN6297" s="137"/>
    </row>
    <row r="6298" spans="295:300" customFormat="1" x14ac:dyDescent="0.25">
      <c r="KI6298" s="137"/>
      <c r="KN6298" s="137"/>
    </row>
    <row r="6299" spans="295:300" customFormat="1" x14ac:dyDescent="0.25">
      <c r="KI6299" s="137"/>
      <c r="KN6299" s="137"/>
    </row>
    <row r="6300" spans="295:300" customFormat="1" x14ac:dyDescent="0.25">
      <c r="KI6300" s="137"/>
      <c r="KN6300" s="137"/>
    </row>
    <row r="6301" spans="295:300" customFormat="1" x14ac:dyDescent="0.25">
      <c r="KI6301" s="137"/>
      <c r="KN6301" s="137"/>
    </row>
    <row r="6302" spans="295:300" customFormat="1" x14ac:dyDescent="0.25">
      <c r="KI6302" s="137"/>
      <c r="KN6302" s="137"/>
    </row>
    <row r="6303" spans="295:300" customFormat="1" x14ac:dyDescent="0.25">
      <c r="KI6303" s="137"/>
      <c r="KN6303" s="137"/>
    </row>
    <row r="6304" spans="295:300" customFormat="1" x14ac:dyDescent="0.25">
      <c r="KI6304" s="137"/>
      <c r="KN6304" s="137"/>
    </row>
    <row r="6305" spans="295:300" customFormat="1" x14ac:dyDescent="0.25">
      <c r="KI6305" s="137"/>
      <c r="KN6305" s="137"/>
    </row>
    <row r="6306" spans="295:300" customFormat="1" x14ac:dyDescent="0.25">
      <c r="KI6306" s="137"/>
      <c r="KN6306" s="137"/>
    </row>
    <row r="6307" spans="295:300" customFormat="1" x14ac:dyDescent="0.25">
      <c r="KI6307" s="137"/>
      <c r="KN6307" s="137"/>
    </row>
    <row r="6308" spans="295:300" customFormat="1" x14ac:dyDescent="0.25">
      <c r="KI6308" s="137"/>
      <c r="KN6308" s="137"/>
    </row>
    <row r="6309" spans="295:300" customFormat="1" x14ac:dyDescent="0.25">
      <c r="KI6309" s="137"/>
      <c r="KN6309" s="137"/>
    </row>
    <row r="6310" spans="295:300" customFormat="1" x14ac:dyDescent="0.25">
      <c r="KI6310" s="137"/>
      <c r="KN6310" s="137"/>
    </row>
    <row r="6311" spans="295:300" customFormat="1" x14ac:dyDescent="0.25">
      <c r="KI6311" s="137"/>
      <c r="KN6311" s="137"/>
    </row>
    <row r="6312" spans="295:300" customFormat="1" x14ac:dyDescent="0.25">
      <c r="KI6312" s="137"/>
      <c r="KN6312" s="137"/>
    </row>
    <row r="6313" spans="295:300" customFormat="1" x14ac:dyDescent="0.25">
      <c r="KI6313" s="137"/>
      <c r="KN6313" s="137"/>
    </row>
    <row r="6314" spans="295:300" customFormat="1" x14ac:dyDescent="0.25">
      <c r="KI6314" s="137"/>
      <c r="KN6314" s="137"/>
    </row>
    <row r="6315" spans="295:300" customFormat="1" x14ac:dyDescent="0.25">
      <c r="KI6315" s="137"/>
      <c r="KN6315" s="137"/>
    </row>
    <row r="6316" spans="295:300" customFormat="1" x14ac:dyDescent="0.25">
      <c r="KI6316" s="137"/>
      <c r="KN6316" s="137"/>
    </row>
    <row r="6317" spans="295:300" customFormat="1" x14ac:dyDescent="0.25">
      <c r="KI6317" s="137"/>
      <c r="KN6317" s="137"/>
    </row>
    <row r="6318" spans="295:300" customFormat="1" x14ac:dyDescent="0.25">
      <c r="KI6318" s="137"/>
      <c r="KN6318" s="137"/>
    </row>
    <row r="6319" spans="295:300" customFormat="1" x14ac:dyDescent="0.25">
      <c r="KI6319" s="137"/>
      <c r="KN6319" s="137"/>
    </row>
    <row r="6320" spans="295:300" customFormat="1" x14ac:dyDescent="0.25">
      <c r="KI6320" s="137"/>
      <c r="KN6320" s="137"/>
    </row>
    <row r="6321" spans="295:300" customFormat="1" x14ac:dyDescent="0.25">
      <c r="KI6321" s="137"/>
      <c r="KN6321" s="137"/>
    </row>
    <row r="6322" spans="295:300" customFormat="1" x14ac:dyDescent="0.25">
      <c r="KI6322" s="137"/>
      <c r="KN6322" s="137"/>
    </row>
    <row r="6323" spans="295:300" customFormat="1" x14ac:dyDescent="0.25">
      <c r="KI6323" s="137"/>
      <c r="KN6323" s="137"/>
    </row>
    <row r="6324" spans="295:300" customFormat="1" x14ac:dyDescent="0.25">
      <c r="KI6324" s="137"/>
      <c r="KN6324" s="137"/>
    </row>
    <row r="6325" spans="295:300" customFormat="1" x14ac:dyDescent="0.25">
      <c r="KI6325" s="137"/>
      <c r="KN6325" s="137"/>
    </row>
    <row r="6326" spans="295:300" customFormat="1" x14ac:dyDescent="0.25">
      <c r="KI6326" s="137"/>
      <c r="KN6326" s="137"/>
    </row>
    <row r="6327" spans="295:300" customFormat="1" x14ac:dyDescent="0.25">
      <c r="KI6327" s="137"/>
      <c r="KN6327" s="137"/>
    </row>
    <row r="6328" spans="295:300" customFormat="1" x14ac:dyDescent="0.25">
      <c r="KI6328" s="137"/>
      <c r="KN6328" s="137"/>
    </row>
    <row r="6329" spans="295:300" customFormat="1" x14ac:dyDescent="0.25">
      <c r="KI6329" s="137"/>
      <c r="KN6329" s="137"/>
    </row>
    <row r="6330" spans="295:300" customFormat="1" x14ac:dyDescent="0.25">
      <c r="KI6330" s="137"/>
      <c r="KN6330" s="137"/>
    </row>
    <row r="6331" spans="295:300" customFormat="1" x14ac:dyDescent="0.25">
      <c r="KI6331" s="137"/>
      <c r="KN6331" s="137"/>
    </row>
    <row r="6332" spans="295:300" customFormat="1" x14ac:dyDescent="0.25">
      <c r="KI6332" s="137"/>
      <c r="KN6332" s="137"/>
    </row>
    <row r="6333" spans="295:300" customFormat="1" x14ac:dyDescent="0.25">
      <c r="KI6333" s="137"/>
      <c r="KN6333" s="137"/>
    </row>
    <row r="6334" spans="295:300" customFormat="1" x14ac:dyDescent="0.25">
      <c r="KI6334" s="137"/>
      <c r="KN6334" s="137"/>
    </row>
    <row r="6335" spans="295:300" customFormat="1" x14ac:dyDescent="0.25">
      <c r="KI6335" s="137"/>
      <c r="KN6335" s="137"/>
    </row>
    <row r="6336" spans="295:300" customFormat="1" x14ac:dyDescent="0.25">
      <c r="KI6336" s="137"/>
      <c r="KN6336" s="137"/>
    </row>
    <row r="6337" spans="295:300" customFormat="1" x14ac:dyDescent="0.25">
      <c r="KI6337" s="137"/>
      <c r="KN6337" s="137"/>
    </row>
    <row r="6338" spans="295:300" customFormat="1" x14ac:dyDescent="0.25">
      <c r="KI6338" s="137"/>
      <c r="KN6338" s="137"/>
    </row>
    <row r="6339" spans="295:300" customFormat="1" x14ac:dyDescent="0.25">
      <c r="KI6339" s="137"/>
      <c r="KN6339" s="137"/>
    </row>
    <row r="6340" spans="295:300" customFormat="1" x14ac:dyDescent="0.25">
      <c r="KI6340" s="137"/>
      <c r="KN6340" s="137"/>
    </row>
    <row r="6341" spans="295:300" customFormat="1" x14ac:dyDescent="0.25">
      <c r="KI6341" s="137"/>
      <c r="KN6341" s="137"/>
    </row>
    <row r="6342" spans="295:300" customFormat="1" x14ac:dyDescent="0.25">
      <c r="KI6342" s="137"/>
      <c r="KN6342" s="137"/>
    </row>
    <row r="6343" spans="295:300" customFormat="1" x14ac:dyDescent="0.25">
      <c r="KI6343" s="137"/>
      <c r="KN6343" s="137"/>
    </row>
    <row r="6344" spans="295:300" customFormat="1" x14ac:dyDescent="0.25">
      <c r="KI6344" s="137"/>
      <c r="KN6344" s="137"/>
    </row>
    <row r="6345" spans="295:300" customFormat="1" x14ac:dyDescent="0.25">
      <c r="KI6345" s="137"/>
      <c r="KN6345" s="137"/>
    </row>
    <row r="6346" spans="295:300" customFormat="1" x14ac:dyDescent="0.25">
      <c r="KI6346" s="137"/>
      <c r="KN6346" s="137"/>
    </row>
    <row r="6347" spans="295:300" customFormat="1" x14ac:dyDescent="0.25">
      <c r="KI6347" s="137"/>
      <c r="KN6347" s="137"/>
    </row>
    <row r="6348" spans="295:300" customFormat="1" x14ac:dyDescent="0.25">
      <c r="KI6348" s="137"/>
      <c r="KN6348" s="137"/>
    </row>
    <row r="6349" spans="295:300" customFormat="1" x14ac:dyDescent="0.25">
      <c r="KI6349" s="137"/>
      <c r="KN6349" s="137"/>
    </row>
    <row r="6350" spans="295:300" customFormat="1" x14ac:dyDescent="0.25">
      <c r="KI6350" s="137"/>
      <c r="KN6350" s="137"/>
    </row>
    <row r="6351" spans="295:300" customFormat="1" x14ac:dyDescent="0.25">
      <c r="KI6351" s="137"/>
      <c r="KN6351" s="137"/>
    </row>
    <row r="6352" spans="295:300" customFormat="1" x14ac:dyDescent="0.25">
      <c r="KI6352" s="137"/>
      <c r="KN6352" s="137"/>
    </row>
    <row r="6353" spans="295:300" customFormat="1" x14ac:dyDescent="0.25">
      <c r="KI6353" s="137"/>
      <c r="KN6353" s="137"/>
    </row>
    <row r="6354" spans="295:300" customFormat="1" x14ac:dyDescent="0.25">
      <c r="KI6354" s="137"/>
      <c r="KN6354" s="137"/>
    </row>
    <row r="6355" spans="295:300" customFormat="1" x14ac:dyDescent="0.25">
      <c r="KI6355" s="137"/>
      <c r="KN6355" s="137"/>
    </row>
    <row r="6356" spans="295:300" customFormat="1" x14ac:dyDescent="0.25">
      <c r="KI6356" s="137"/>
      <c r="KN6356" s="137"/>
    </row>
    <row r="6357" spans="295:300" customFormat="1" x14ac:dyDescent="0.25">
      <c r="KI6357" s="137"/>
      <c r="KN6357" s="137"/>
    </row>
    <row r="6358" spans="295:300" customFormat="1" x14ac:dyDescent="0.25">
      <c r="KI6358" s="137"/>
      <c r="KN6358" s="137"/>
    </row>
    <row r="6359" spans="295:300" customFormat="1" x14ac:dyDescent="0.25">
      <c r="KI6359" s="137"/>
      <c r="KN6359" s="137"/>
    </row>
    <row r="6360" spans="295:300" customFormat="1" x14ac:dyDescent="0.25">
      <c r="KI6360" s="137"/>
      <c r="KN6360" s="137"/>
    </row>
    <row r="6361" spans="295:300" customFormat="1" x14ac:dyDescent="0.25">
      <c r="KI6361" s="137"/>
      <c r="KN6361" s="137"/>
    </row>
    <row r="6362" spans="295:300" customFormat="1" x14ac:dyDescent="0.25">
      <c r="KI6362" s="137"/>
      <c r="KN6362" s="137"/>
    </row>
    <row r="6363" spans="295:300" customFormat="1" x14ac:dyDescent="0.25">
      <c r="KI6363" s="137"/>
      <c r="KN6363" s="137"/>
    </row>
    <row r="6364" spans="295:300" customFormat="1" x14ac:dyDescent="0.25">
      <c r="KI6364" s="137"/>
      <c r="KN6364" s="137"/>
    </row>
    <row r="6365" spans="295:300" customFormat="1" x14ac:dyDescent="0.25">
      <c r="KI6365" s="137"/>
      <c r="KN6365" s="137"/>
    </row>
    <row r="6366" spans="295:300" customFormat="1" x14ac:dyDescent="0.25">
      <c r="KI6366" s="137"/>
      <c r="KN6366" s="137"/>
    </row>
    <row r="6367" spans="295:300" customFormat="1" x14ac:dyDescent="0.25">
      <c r="KI6367" s="137"/>
      <c r="KN6367" s="137"/>
    </row>
    <row r="6368" spans="295:300" customFormat="1" x14ac:dyDescent="0.25">
      <c r="KI6368" s="137"/>
      <c r="KN6368" s="137"/>
    </row>
    <row r="6369" spans="295:300" customFormat="1" x14ac:dyDescent="0.25">
      <c r="KI6369" s="137"/>
      <c r="KN6369" s="137"/>
    </row>
    <row r="6370" spans="295:300" customFormat="1" x14ac:dyDescent="0.25">
      <c r="KI6370" s="137"/>
      <c r="KN6370" s="137"/>
    </row>
    <row r="6371" spans="295:300" customFormat="1" x14ac:dyDescent="0.25">
      <c r="KI6371" s="137"/>
      <c r="KN6371" s="137"/>
    </row>
    <row r="6372" spans="295:300" customFormat="1" x14ac:dyDescent="0.25">
      <c r="KI6372" s="137"/>
      <c r="KN6372" s="137"/>
    </row>
    <row r="6373" spans="295:300" customFormat="1" x14ac:dyDescent="0.25">
      <c r="KI6373" s="137"/>
      <c r="KN6373" s="137"/>
    </row>
    <row r="6374" spans="295:300" customFormat="1" x14ac:dyDescent="0.25">
      <c r="KI6374" s="137"/>
      <c r="KN6374" s="137"/>
    </row>
    <row r="6375" spans="295:300" customFormat="1" x14ac:dyDescent="0.25">
      <c r="KI6375" s="137"/>
      <c r="KN6375" s="137"/>
    </row>
    <row r="6376" spans="295:300" customFormat="1" x14ac:dyDescent="0.25">
      <c r="KI6376" s="137"/>
      <c r="KN6376" s="137"/>
    </row>
    <row r="6377" spans="295:300" customFormat="1" x14ac:dyDescent="0.25">
      <c r="KI6377" s="137"/>
      <c r="KN6377" s="137"/>
    </row>
    <row r="6378" spans="295:300" customFormat="1" x14ac:dyDescent="0.25">
      <c r="KI6378" s="137"/>
      <c r="KN6378" s="137"/>
    </row>
    <row r="6379" spans="295:300" customFormat="1" x14ac:dyDescent="0.25">
      <c r="KI6379" s="137"/>
      <c r="KN6379" s="137"/>
    </row>
    <row r="6380" spans="295:300" customFormat="1" x14ac:dyDescent="0.25">
      <c r="KI6380" s="137"/>
      <c r="KN6380" s="137"/>
    </row>
    <row r="6381" spans="295:300" customFormat="1" x14ac:dyDescent="0.25">
      <c r="KI6381" s="137"/>
      <c r="KN6381" s="137"/>
    </row>
    <row r="6382" spans="295:300" customFormat="1" x14ac:dyDescent="0.25">
      <c r="KI6382" s="137"/>
      <c r="KN6382" s="137"/>
    </row>
    <row r="6383" spans="295:300" customFormat="1" x14ac:dyDescent="0.25">
      <c r="KI6383" s="137"/>
      <c r="KN6383" s="137"/>
    </row>
    <row r="6384" spans="295:300" customFormat="1" x14ac:dyDescent="0.25">
      <c r="KI6384" s="137"/>
      <c r="KN6384" s="137"/>
    </row>
    <row r="6385" spans="295:300" customFormat="1" x14ac:dyDescent="0.25">
      <c r="KI6385" s="137"/>
      <c r="KN6385" s="137"/>
    </row>
    <row r="6386" spans="295:300" customFormat="1" x14ac:dyDescent="0.25">
      <c r="KI6386" s="137"/>
      <c r="KN6386" s="137"/>
    </row>
    <row r="6387" spans="295:300" customFormat="1" x14ac:dyDescent="0.25">
      <c r="KI6387" s="137"/>
      <c r="KN6387" s="137"/>
    </row>
    <row r="6388" spans="295:300" customFormat="1" x14ac:dyDescent="0.25">
      <c r="KI6388" s="137"/>
      <c r="KN6388" s="137"/>
    </row>
    <row r="6389" spans="295:300" customFormat="1" x14ac:dyDescent="0.25">
      <c r="KI6389" s="137"/>
      <c r="KN6389" s="137"/>
    </row>
    <row r="6390" spans="295:300" customFormat="1" x14ac:dyDescent="0.25">
      <c r="KI6390" s="137"/>
      <c r="KN6390" s="137"/>
    </row>
    <row r="6391" spans="295:300" customFormat="1" x14ac:dyDescent="0.25">
      <c r="KI6391" s="137"/>
      <c r="KN6391" s="137"/>
    </row>
    <row r="6392" spans="295:300" customFormat="1" x14ac:dyDescent="0.25">
      <c r="KI6392" s="137"/>
      <c r="KN6392" s="137"/>
    </row>
    <row r="6393" spans="295:300" customFormat="1" x14ac:dyDescent="0.25">
      <c r="KI6393" s="137"/>
      <c r="KN6393" s="137"/>
    </row>
    <row r="6394" spans="295:300" customFormat="1" x14ac:dyDescent="0.25">
      <c r="KI6394" s="137"/>
      <c r="KN6394" s="137"/>
    </row>
    <row r="6395" spans="295:300" customFormat="1" x14ac:dyDescent="0.25">
      <c r="KI6395" s="137"/>
      <c r="KN6395" s="137"/>
    </row>
    <row r="6396" spans="295:300" customFormat="1" x14ac:dyDescent="0.25">
      <c r="KI6396" s="137"/>
      <c r="KN6396" s="137"/>
    </row>
    <row r="6397" spans="295:300" customFormat="1" x14ac:dyDescent="0.25">
      <c r="KI6397" s="137"/>
      <c r="KN6397" s="137"/>
    </row>
    <row r="6398" spans="295:300" customFormat="1" x14ac:dyDescent="0.25">
      <c r="KI6398" s="137"/>
      <c r="KN6398" s="137"/>
    </row>
    <row r="6399" spans="295:300" customFormat="1" x14ac:dyDescent="0.25">
      <c r="KI6399" s="137"/>
      <c r="KN6399" s="137"/>
    </row>
    <row r="6400" spans="295:300" customFormat="1" x14ac:dyDescent="0.25">
      <c r="KI6400" s="137"/>
      <c r="KN6400" s="137"/>
    </row>
    <row r="6401" spans="295:300" customFormat="1" x14ac:dyDescent="0.25">
      <c r="KI6401" s="137"/>
      <c r="KN6401" s="137"/>
    </row>
    <row r="6402" spans="295:300" customFormat="1" x14ac:dyDescent="0.25">
      <c r="KI6402" s="137"/>
      <c r="KN6402" s="137"/>
    </row>
    <row r="6403" spans="295:300" customFormat="1" x14ac:dyDescent="0.25">
      <c r="KI6403" s="137"/>
      <c r="KN6403" s="137"/>
    </row>
    <row r="6404" spans="295:300" customFormat="1" x14ac:dyDescent="0.25">
      <c r="KI6404" s="137"/>
      <c r="KN6404" s="137"/>
    </row>
    <row r="6405" spans="295:300" customFormat="1" x14ac:dyDescent="0.25">
      <c r="KI6405" s="137"/>
      <c r="KN6405" s="137"/>
    </row>
    <row r="6406" spans="295:300" customFormat="1" x14ac:dyDescent="0.25">
      <c r="KI6406" s="137"/>
      <c r="KN6406" s="137"/>
    </row>
    <row r="6407" spans="295:300" customFormat="1" x14ac:dyDescent="0.25">
      <c r="KI6407" s="137"/>
      <c r="KN6407" s="137"/>
    </row>
    <row r="6408" spans="295:300" customFormat="1" x14ac:dyDescent="0.25">
      <c r="KI6408" s="137"/>
      <c r="KN6408" s="137"/>
    </row>
    <row r="6409" spans="295:300" customFormat="1" x14ac:dyDescent="0.25">
      <c r="KI6409" s="137"/>
      <c r="KN6409" s="137"/>
    </row>
    <row r="6410" spans="295:300" customFormat="1" x14ac:dyDescent="0.25">
      <c r="KI6410" s="137"/>
      <c r="KN6410" s="137"/>
    </row>
    <row r="6411" spans="295:300" customFormat="1" x14ac:dyDescent="0.25">
      <c r="KI6411" s="137"/>
      <c r="KN6411" s="137"/>
    </row>
    <row r="6412" spans="295:300" customFormat="1" x14ac:dyDescent="0.25">
      <c r="KI6412" s="137"/>
      <c r="KN6412" s="137"/>
    </row>
    <row r="6413" spans="295:300" customFormat="1" x14ac:dyDescent="0.25">
      <c r="KI6413" s="137"/>
      <c r="KN6413" s="137"/>
    </row>
    <row r="6414" spans="295:300" customFormat="1" x14ac:dyDescent="0.25">
      <c r="KI6414" s="137"/>
      <c r="KN6414" s="137"/>
    </row>
    <row r="6415" spans="295:300" customFormat="1" x14ac:dyDescent="0.25">
      <c r="KI6415" s="137"/>
      <c r="KN6415" s="137"/>
    </row>
    <row r="6416" spans="295:300" customFormat="1" x14ac:dyDescent="0.25">
      <c r="KI6416" s="137"/>
      <c r="KN6416" s="137"/>
    </row>
    <row r="6417" spans="295:300" customFormat="1" x14ac:dyDescent="0.25">
      <c r="KI6417" s="137"/>
      <c r="KN6417" s="137"/>
    </row>
    <row r="6418" spans="295:300" customFormat="1" x14ac:dyDescent="0.25">
      <c r="KI6418" s="137"/>
      <c r="KN6418" s="137"/>
    </row>
    <row r="6419" spans="295:300" customFormat="1" x14ac:dyDescent="0.25">
      <c r="KI6419" s="137"/>
      <c r="KN6419" s="137"/>
    </row>
    <row r="6420" spans="295:300" customFormat="1" x14ac:dyDescent="0.25">
      <c r="KI6420" s="137"/>
      <c r="KN6420" s="137"/>
    </row>
    <row r="6421" spans="295:300" customFormat="1" x14ac:dyDescent="0.25">
      <c r="KI6421" s="137"/>
      <c r="KN6421" s="137"/>
    </row>
    <row r="6422" spans="295:300" customFormat="1" x14ac:dyDescent="0.25">
      <c r="KI6422" s="137"/>
      <c r="KN6422" s="137"/>
    </row>
    <row r="6423" spans="295:300" customFormat="1" x14ac:dyDescent="0.25">
      <c r="KI6423" s="137"/>
      <c r="KN6423" s="137"/>
    </row>
    <row r="6424" spans="295:300" customFormat="1" x14ac:dyDescent="0.25">
      <c r="KI6424" s="137"/>
      <c r="KN6424" s="137"/>
    </row>
    <row r="6425" spans="295:300" customFormat="1" x14ac:dyDescent="0.25">
      <c r="KI6425" s="137"/>
      <c r="KN6425" s="137"/>
    </row>
    <row r="6426" spans="295:300" customFormat="1" x14ac:dyDescent="0.25">
      <c r="KI6426" s="137"/>
      <c r="KN6426" s="137"/>
    </row>
    <row r="6427" spans="295:300" customFormat="1" x14ac:dyDescent="0.25">
      <c r="KI6427" s="137"/>
      <c r="KN6427" s="137"/>
    </row>
    <row r="6428" spans="295:300" customFormat="1" x14ac:dyDescent="0.25">
      <c r="KI6428" s="137"/>
      <c r="KN6428" s="137"/>
    </row>
    <row r="6429" spans="295:300" customFormat="1" x14ac:dyDescent="0.25">
      <c r="KI6429" s="137"/>
      <c r="KN6429" s="137"/>
    </row>
    <row r="6430" spans="295:300" customFormat="1" x14ac:dyDescent="0.25">
      <c r="KI6430" s="137"/>
      <c r="KN6430" s="137"/>
    </row>
    <row r="6431" spans="295:300" customFormat="1" x14ac:dyDescent="0.25">
      <c r="KI6431" s="137"/>
      <c r="KN6431" s="137"/>
    </row>
    <row r="6432" spans="295:300" customFormat="1" x14ac:dyDescent="0.25">
      <c r="KI6432" s="137"/>
      <c r="KN6432" s="137"/>
    </row>
    <row r="6433" spans="295:300" customFormat="1" x14ac:dyDescent="0.25">
      <c r="KI6433" s="137"/>
      <c r="KN6433" s="137"/>
    </row>
    <row r="6434" spans="295:300" customFormat="1" x14ac:dyDescent="0.25">
      <c r="KI6434" s="137"/>
      <c r="KN6434" s="137"/>
    </row>
    <row r="6435" spans="295:300" customFormat="1" x14ac:dyDescent="0.25">
      <c r="KI6435" s="137"/>
      <c r="KN6435" s="137"/>
    </row>
    <row r="6436" spans="295:300" customFormat="1" x14ac:dyDescent="0.25">
      <c r="KI6436" s="137"/>
      <c r="KN6436" s="137"/>
    </row>
    <row r="6437" spans="295:300" customFormat="1" x14ac:dyDescent="0.25">
      <c r="KI6437" s="137"/>
      <c r="KN6437" s="137"/>
    </row>
    <row r="6438" spans="295:300" customFormat="1" x14ac:dyDescent="0.25">
      <c r="KI6438" s="137"/>
      <c r="KN6438" s="137"/>
    </row>
    <row r="6439" spans="295:300" customFormat="1" x14ac:dyDescent="0.25">
      <c r="KI6439" s="137"/>
      <c r="KN6439" s="137"/>
    </row>
    <row r="6440" spans="295:300" customFormat="1" x14ac:dyDescent="0.25">
      <c r="KI6440" s="137"/>
      <c r="KN6440" s="137"/>
    </row>
    <row r="6441" spans="295:300" customFormat="1" x14ac:dyDescent="0.25">
      <c r="KI6441" s="137"/>
      <c r="KN6441" s="137"/>
    </row>
    <row r="6442" spans="295:300" customFormat="1" x14ac:dyDescent="0.25">
      <c r="KI6442" s="137"/>
      <c r="KN6442" s="137"/>
    </row>
    <row r="6443" spans="295:300" customFormat="1" x14ac:dyDescent="0.25">
      <c r="KI6443" s="137"/>
      <c r="KN6443" s="137"/>
    </row>
    <row r="6444" spans="295:300" customFormat="1" x14ac:dyDescent="0.25">
      <c r="KI6444" s="137"/>
      <c r="KN6444" s="137"/>
    </row>
    <row r="6445" spans="295:300" customFormat="1" x14ac:dyDescent="0.25">
      <c r="KI6445" s="137"/>
      <c r="KN6445" s="137"/>
    </row>
    <row r="6446" spans="295:300" customFormat="1" x14ac:dyDescent="0.25">
      <c r="KI6446" s="137"/>
      <c r="KN6446" s="137"/>
    </row>
    <row r="6447" spans="295:300" customFormat="1" x14ac:dyDescent="0.25">
      <c r="KI6447" s="137"/>
      <c r="KN6447" s="137"/>
    </row>
    <row r="6448" spans="295:300" customFormat="1" x14ac:dyDescent="0.25">
      <c r="KI6448" s="137"/>
      <c r="KN6448" s="137"/>
    </row>
    <row r="6449" spans="295:300" customFormat="1" x14ac:dyDescent="0.25">
      <c r="KI6449" s="137"/>
      <c r="KN6449" s="137"/>
    </row>
    <row r="6450" spans="295:300" customFormat="1" x14ac:dyDescent="0.25">
      <c r="KI6450" s="137"/>
      <c r="KN6450" s="137"/>
    </row>
    <row r="6451" spans="295:300" customFormat="1" x14ac:dyDescent="0.25">
      <c r="KI6451" s="137"/>
      <c r="KN6451" s="137"/>
    </row>
    <row r="6452" spans="295:300" customFormat="1" x14ac:dyDescent="0.25">
      <c r="KI6452" s="137"/>
      <c r="KN6452" s="137"/>
    </row>
    <row r="6453" spans="295:300" customFormat="1" x14ac:dyDescent="0.25">
      <c r="KI6453" s="137"/>
      <c r="KN6453" s="137"/>
    </row>
    <row r="6454" spans="295:300" customFormat="1" x14ac:dyDescent="0.25">
      <c r="KI6454" s="137"/>
      <c r="KN6454" s="137"/>
    </row>
    <row r="6455" spans="295:300" customFormat="1" x14ac:dyDescent="0.25">
      <c r="KI6455" s="137"/>
      <c r="KN6455" s="137"/>
    </row>
    <row r="6456" spans="295:300" customFormat="1" x14ac:dyDescent="0.25">
      <c r="KI6456" s="137"/>
      <c r="KN6456" s="137"/>
    </row>
    <row r="6457" spans="295:300" customFormat="1" x14ac:dyDescent="0.25">
      <c r="KI6457" s="137"/>
      <c r="KN6457" s="137"/>
    </row>
    <row r="6458" spans="295:300" customFormat="1" x14ac:dyDescent="0.25">
      <c r="KI6458" s="137"/>
      <c r="KN6458" s="137"/>
    </row>
    <row r="6459" spans="295:300" customFormat="1" x14ac:dyDescent="0.25">
      <c r="KI6459" s="137"/>
      <c r="KN6459" s="137"/>
    </row>
    <row r="6460" spans="295:300" customFormat="1" x14ac:dyDescent="0.25">
      <c r="KI6460" s="137"/>
      <c r="KN6460" s="137"/>
    </row>
    <row r="6461" spans="295:300" customFormat="1" x14ac:dyDescent="0.25">
      <c r="KI6461" s="137"/>
      <c r="KN6461" s="137"/>
    </row>
    <row r="6462" spans="295:300" customFormat="1" x14ac:dyDescent="0.25">
      <c r="KI6462" s="137"/>
      <c r="KN6462" s="137"/>
    </row>
    <row r="6463" spans="295:300" customFormat="1" x14ac:dyDescent="0.25">
      <c r="KI6463" s="137"/>
      <c r="KN6463" s="137"/>
    </row>
    <row r="6464" spans="295:300" customFormat="1" x14ac:dyDescent="0.25">
      <c r="KI6464" s="137"/>
      <c r="KN6464" s="137"/>
    </row>
    <row r="6465" spans="295:300" customFormat="1" x14ac:dyDescent="0.25">
      <c r="KI6465" s="137"/>
      <c r="KN6465" s="137"/>
    </row>
    <row r="6466" spans="295:300" customFormat="1" x14ac:dyDescent="0.25">
      <c r="KI6466" s="137"/>
      <c r="KN6466" s="137"/>
    </row>
    <row r="6467" spans="295:300" customFormat="1" x14ac:dyDescent="0.25">
      <c r="KI6467" s="137"/>
      <c r="KN6467" s="137"/>
    </row>
    <row r="6468" spans="295:300" customFormat="1" x14ac:dyDescent="0.25">
      <c r="KI6468" s="137"/>
      <c r="KN6468" s="137"/>
    </row>
    <row r="6469" spans="295:300" customFormat="1" x14ac:dyDescent="0.25">
      <c r="KI6469" s="137"/>
      <c r="KN6469" s="137"/>
    </row>
    <row r="6470" spans="295:300" customFormat="1" x14ac:dyDescent="0.25">
      <c r="KI6470" s="137"/>
      <c r="KN6470" s="137"/>
    </row>
    <row r="6471" spans="295:300" customFormat="1" x14ac:dyDescent="0.25">
      <c r="KI6471" s="137"/>
      <c r="KN6471" s="137"/>
    </row>
    <row r="6472" spans="295:300" customFormat="1" x14ac:dyDescent="0.25">
      <c r="KI6472" s="137"/>
      <c r="KN6472" s="137"/>
    </row>
    <row r="6473" spans="295:300" customFormat="1" x14ac:dyDescent="0.25">
      <c r="KI6473" s="137"/>
      <c r="KN6473" s="137"/>
    </row>
    <row r="6474" spans="295:300" customFormat="1" x14ac:dyDescent="0.25">
      <c r="KI6474" s="137"/>
      <c r="KN6474" s="137"/>
    </row>
    <row r="6475" spans="295:300" customFormat="1" x14ac:dyDescent="0.25">
      <c r="KI6475" s="137"/>
      <c r="KN6475" s="137"/>
    </row>
    <row r="6476" spans="295:300" customFormat="1" x14ac:dyDescent="0.25">
      <c r="KI6476" s="137"/>
      <c r="KN6476" s="137"/>
    </row>
    <row r="6477" spans="295:300" customFormat="1" x14ac:dyDescent="0.25">
      <c r="KI6477" s="137"/>
      <c r="KN6477" s="137"/>
    </row>
    <row r="6478" spans="295:300" customFormat="1" x14ac:dyDescent="0.25">
      <c r="KI6478" s="137"/>
      <c r="KN6478" s="137"/>
    </row>
    <row r="6479" spans="295:300" customFormat="1" x14ac:dyDescent="0.25">
      <c r="KI6479" s="137"/>
      <c r="KN6479" s="137"/>
    </row>
    <row r="6480" spans="295:300" customFormat="1" x14ac:dyDescent="0.25">
      <c r="KI6480" s="137"/>
      <c r="KN6480" s="137"/>
    </row>
    <row r="6481" spans="227:300" customFormat="1" x14ac:dyDescent="0.25">
      <c r="KI6481" s="137"/>
      <c r="KN6481" s="137"/>
    </row>
    <row r="6482" spans="227:300" customFormat="1" x14ac:dyDescent="0.25">
      <c r="KI6482" s="137"/>
      <c r="KN6482" s="137"/>
    </row>
    <row r="6483" spans="227:300" customFormat="1" x14ac:dyDescent="0.25">
      <c r="KI6483" s="137"/>
      <c r="KN6483" s="137"/>
    </row>
    <row r="6484" spans="227:300" customFormat="1" x14ac:dyDescent="0.25">
      <c r="KI6484" s="137"/>
      <c r="KN6484" s="137"/>
    </row>
    <row r="6485" spans="227:300" customFormat="1" x14ac:dyDescent="0.25">
      <c r="KI6485" s="137"/>
      <c r="KN6485" s="137"/>
    </row>
    <row r="6486" spans="227:300" customFormat="1" x14ac:dyDescent="0.25">
      <c r="KI6486" s="137"/>
      <c r="KN6486" s="137"/>
    </row>
    <row r="6487" spans="227:300" customFormat="1" x14ac:dyDescent="0.25">
      <c r="KI6487" s="137"/>
      <c r="KN6487" s="137"/>
    </row>
    <row r="6488" spans="227:300" customFormat="1" x14ac:dyDescent="0.25">
      <c r="KI6488" s="137"/>
      <c r="KN6488" s="137"/>
    </row>
    <row r="6489" spans="227:300" customFormat="1" x14ac:dyDescent="0.25">
      <c r="KI6489" s="137"/>
      <c r="KN6489" s="137"/>
    </row>
    <row r="6490" spans="227:300" customFormat="1" x14ac:dyDescent="0.25">
      <c r="KI6490" s="137"/>
      <c r="KN6490" s="137"/>
    </row>
    <row r="6491" spans="227:300" customFormat="1" x14ac:dyDescent="0.25">
      <c r="KI6491" s="137"/>
      <c r="KN6491" s="137"/>
    </row>
    <row r="6492" spans="227:300" customFormat="1" x14ac:dyDescent="0.25">
      <c r="KI6492" s="137"/>
      <c r="KN6492" s="137"/>
    </row>
    <row r="6493" spans="227:300" customFormat="1" x14ac:dyDescent="0.25">
      <c r="KI6493" s="137"/>
      <c r="KN6493" s="137"/>
    </row>
    <row r="6494" spans="227:300" customFormat="1" x14ac:dyDescent="0.25">
      <c r="HS6494" s="137"/>
      <c r="HT6494" s="137"/>
      <c r="HU6494" s="137"/>
      <c r="HV6494" s="137"/>
      <c r="KI6494" s="137"/>
      <c r="KN6494" s="137"/>
    </row>
    <row r="6495" spans="227:300" customFormat="1" x14ac:dyDescent="0.25">
      <c r="HS6495" s="137"/>
      <c r="HT6495" s="137"/>
      <c r="HU6495" s="137"/>
      <c r="HV6495" s="137"/>
      <c r="KI6495" s="137"/>
      <c r="KN6495" s="137"/>
    </row>
    <row r="6496" spans="227:300" customFormat="1" x14ac:dyDescent="0.25">
      <c r="HS6496" s="137"/>
      <c r="HT6496" s="137"/>
      <c r="HU6496" s="137"/>
      <c r="HV6496" s="137"/>
      <c r="KI6496" s="137"/>
      <c r="KN6496" s="137"/>
    </row>
    <row r="6497" spans="227:300" customFormat="1" x14ac:dyDescent="0.25">
      <c r="HS6497" s="137"/>
      <c r="HT6497" s="137"/>
      <c r="HU6497" s="137"/>
      <c r="HV6497" s="137"/>
      <c r="KI6497" s="137"/>
      <c r="KN6497" s="137"/>
    </row>
    <row r="6498" spans="227:300" customFormat="1" x14ac:dyDescent="0.25">
      <c r="HS6498" s="137"/>
      <c r="HT6498" s="137"/>
      <c r="HU6498" s="137"/>
      <c r="HV6498" s="137"/>
      <c r="KI6498" s="137"/>
      <c r="KN6498" s="137"/>
    </row>
    <row r="6499" spans="227:300" customFormat="1" x14ac:dyDescent="0.25">
      <c r="HS6499" s="137"/>
      <c r="HT6499" s="137"/>
      <c r="HU6499" s="137"/>
      <c r="HV6499" s="137"/>
      <c r="KI6499" s="137"/>
      <c r="KN6499" s="137"/>
    </row>
    <row r="6500" spans="227:300" customFormat="1" x14ac:dyDescent="0.25">
      <c r="HS6500" s="137"/>
      <c r="HT6500" s="137"/>
      <c r="HU6500" s="137"/>
      <c r="HV6500" s="137"/>
      <c r="KI6500" s="137"/>
      <c r="KN6500" s="137"/>
    </row>
    <row r="6501" spans="227:300" customFormat="1" x14ac:dyDescent="0.25">
      <c r="HS6501" s="137"/>
      <c r="HT6501" s="137"/>
      <c r="HU6501" s="137"/>
      <c r="HV6501" s="137"/>
      <c r="KI6501" s="137"/>
      <c r="KN6501" s="137"/>
    </row>
    <row r="6502" spans="227:300" customFormat="1" x14ac:dyDescent="0.25">
      <c r="HS6502" s="137"/>
      <c r="HT6502" s="137"/>
      <c r="HU6502" s="137"/>
      <c r="HV6502" s="137"/>
      <c r="KI6502" s="137"/>
      <c r="KN6502" s="137"/>
    </row>
    <row r="6503" spans="227:300" customFormat="1" x14ac:dyDescent="0.25">
      <c r="HS6503" s="137"/>
      <c r="HT6503" s="137"/>
      <c r="HU6503" s="137"/>
      <c r="HV6503" s="137"/>
      <c r="KI6503" s="137"/>
      <c r="KN6503" s="137"/>
    </row>
    <row r="6504" spans="227:300" customFormat="1" x14ac:dyDescent="0.25">
      <c r="HS6504" s="137"/>
      <c r="HT6504" s="137"/>
      <c r="HU6504" s="137"/>
      <c r="HV6504" s="137"/>
      <c r="KI6504" s="137"/>
      <c r="KN6504" s="137"/>
    </row>
    <row r="6505" spans="227:300" customFormat="1" x14ac:dyDescent="0.25">
      <c r="HS6505" s="137"/>
      <c r="HT6505" s="137"/>
      <c r="HU6505" s="137"/>
      <c r="HV6505" s="137"/>
      <c r="KI6505" s="137"/>
      <c r="KN6505" s="137"/>
    </row>
    <row r="6506" spans="227:300" customFormat="1" x14ac:dyDescent="0.25">
      <c r="HS6506" s="137"/>
      <c r="HT6506" s="137"/>
      <c r="HU6506" s="137"/>
      <c r="HV6506" s="137"/>
      <c r="KI6506" s="137"/>
      <c r="KN6506" s="137"/>
    </row>
    <row r="6507" spans="227:300" customFormat="1" x14ac:dyDescent="0.25">
      <c r="HS6507" s="137"/>
      <c r="HT6507" s="137"/>
      <c r="HU6507" s="137"/>
      <c r="HV6507" s="137"/>
      <c r="KI6507" s="137"/>
      <c r="KN6507" s="137"/>
    </row>
    <row r="6508" spans="227:300" customFormat="1" x14ac:dyDescent="0.25">
      <c r="HS6508" s="137"/>
      <c r="HT6508" s="137"/>
      <c r="HU6508" s="137"/>
      <c r="HV6508" s="137"/>
      <c r="KI6508" s="137"/>
      <c r="KN6508" s="137"/>
    </row>
    <row r="6509" spans="227:300" customFormat="1" x14ac:dyDescent="0.25">
      <c r="HS6509" s="137"/>
      <c r="HT6509" s="137"/>
      <c r="HU6509" s="137"/>
      <c r="HV6509" s="137"/>
      <c r="KI6509" s="137"/>
      <c r="KN6509" s="137"/>
    </row>
    <row r="6510" spans="227:300" customFormat="1" x14ac:dyDescent="0.25">
      <c r="HS6510" s="137"/>
      <c r="HT6510" s="137"/>
      <c r="HU6510" s="137"/>
      <c r="HV6510" s="137"/>
      <c r="KI6510" s="137"/>
      <c r="KN6510" s="137"/>
    </row>
    <row r="6511" spans="227:300" customFormat="1" x14ac:dyDescent="0.25">
      <c r="HS6511" s="137"/>
      <c r="HT6511" s="137"/>
      <c r="HU6511" s="137"/>
      <c r="HV6511" s="137"/>
      <c r="KI6511" s="137"/>
      <c r="KN6511" s="137"/>
    </row>
    <row r="6512" spans="227:300" customFormat="1" x14ac:dyDescent="0.25">
      <c r="HS6512" s="137"/>
      <c r="HT6512" s="137"/>
      <c r="HU6512" s="137"/>
      <c r="HV6512" s="137"/>
      <c r="KI6512" s="137"/>
      <c r="KN6512" s="137"/>
    </row>
    <row r="6513" spans="227:300" customFormat="1" x14ac:dyDescent="0.25">
      <c r="HS6513" s="137"/>
      <c r="HT6513" s="137"/>
      <c r="HU6513" s="137"/>
      <c r="HV6513" s="137"/>
      <c r="KI6513" s="137"/>
      <c r="KN6513" s="137"/>
    </row>
    <row r="6514" spans="227:300" customFormat="1" x14ac:dyDescent="0.25">
      <c r="HS6514" s="137"/>
      <c r="HT6514" s="137"/>
      <c r="HU6514" s="137"/>
      <c r="HV6514" s="137"/>
      <c r="KI6514" s="137"/>
      <c r="KN6514" s="137"/>
    </row>
    <row r="6515" spans="227:300" customFormat="1" x14ac:dyDescent="0.25">
      <c r="HS6515" s="137"/>
      <c r="HT6515" s="137"/>
      <c r="HU6515" s="137"/>
      <c r="HV6515" s="137"/>
      <c r="KI6515" s="137"/>
      <c r="KN6515" s="137"/>
    </row>
    <row r="6516" spans="227:300" customFormat="1" x14ac:dyDescent="0.25">
      <c r="HS6516" s="137"/>
      <c r="HT6516" s="137"/>
      <c r="HU6516" s="137"/>
      <c r="HV6516" s="137"/>
      <c r="KI6516" s="137"/>
      <c r="KN6516" s="137"/>
    </row>
    <row r="6517" spans="227:300" customFormat="1" x14ac:dyDescent="0.25">
      <c r="HS6517" s="137"/>
      <c r="HT6517" s="137"/>
      <c r="HU6517" s="137"/>
      <c r="HV6517" s="137"/>
      <c r="KI6517" s="137"/>
      <c r="KN6517" s="137"/>
    </row>
    <row r="6518" spans="227:300" customFormat="1" x14ac:dyDescent="0.25">
      <c r="HS6518" s="137"/>
      <c r="HT6518" s="137"/>
      <c r="HU6518" s="137"/>
      <c r="HV6518" s="137"/>
      <c r="KI6518" s="137"/>
      <c r="KN6518" s="137"/>
    </row>
    <row r="6519" spans="227:300" customFormat="1" x14ac:dyDescent="0.25">
      <c r="HS6519" s="137"/>
      <c r="HT6519" s="137"/>
      <c r="HU6519" s="137"/>
      <c r="HV6519" s="137"/>
      <c r="KI6519" s="137"/>
      <c r="KN6519" s="137"/>
    </row>
    <row r="6520" spans="227:300" customFormat="1" x14ac:dyDescent="0.25">
      <c r="HS6520" s="137"/>
      <c r="HT6520" s="137"/>
      <c r="HU6520" s="137"/>
      <c r="HV6520" s="137"/>
      <c r="KI6520" s="137"/>
      <c r="KN6520" s="137"/>
    </row>
    <row r="6521" spans="227:300" customFormat="1" x14ac:dyDescent="0.25">
      <c r="HS6521" s="137"/>
      <c r="HT6521" s="137"/>
      <c r="HU6521" s="137"/>
      <c r="HV6521" s="137"/>
      <c r="KI6521" s="137"/>
      <c r="KN6521" s="137"/>
    </row>
    <row r="6522" spans="227:300" customFormat="1" x14ac:dyDescent="0.25">
      <c r="HS6522" s="137"/>
      <c r="HT6522" s="137"/>
      <c r="HU6522" s="137"/>
      <c r="HV6522" s="137"/>
      <c r="KI6522" s="137"/>
      <c r="KN6522" s="137"/>
    </row>
    <row r="6523" spans="227:300" customFormat="1" x14ac:dyDescent="0.25">
      <c r="HS6523" s="137"/>
      <c r="HT6523" s="137"/>
      <c r="HU6523" s="137"/>
      <c r="HV6523" s="137"/>
      <c r="KI6523" s="137"/>
      <c r="KN6523" s="137"/>
    </row>
    <row r="6524" spans="227:300" customFormat="1" x14ac:dyDescent="0.25">
      <c r="HS6524" s="137"/>
      <c r="HT6524" s="137"/>
      <c r="HU6524" s="137"/>
      <c r="HV6524" s="137"/>
      <c r="KI6524" s="137"/>
      <c r="KN6524" s="137"/>
    </row>
    <row r="6525" spans="227:300" customFormat="1" x14ac:dyDescent="0.25">
      <c r="HS6525" s="137"/>
      <c r="HT6525" s="137"/>
      <c r="HU6525" s="137"/>
      <c r="HV6525" s="137"/>
      <c r="KI6525" s="137"/>
      <c r="KN6525" s="137"/>
    </row>
    <row r="6526" spans="227:300" customFormat="1" x14ac:dyDescent="0.25">
      <c r="HS6526" s="137"/>
      <c r="HT6526" s="137"/>
      <c r="HU6526" s="137"/>
      <c r="HV6526" s="137"/>
      <c r="KI6526" s="137"/>
      <c r="KN6526" s="137"/>
    </row>
    <row r="6527" spans="227:300" customFormat="1" x14ac:dyDescent="0.25">
      <c r="HS6527" s="137"/>
      <c r="HT6527" s="137"/>
      <c r="HU6527" s="137"/>
      <c r="HV6527" s="137"/>
      <c r="KI6527" s="137"/>
      <c r="KN6527" s="137"/>
    </row>
    <row r="6528" spans="227:300" customFormat="1" x14ac:dyDescent="0.25">
      <c r="HS6528" s="137"/>
      <c r="HT6528" s="137"/>
      <c r="HU6528" s="137"/>
      <c r="HV6528" s="137"/>
      <c r="KI6528" s="137"/>
      <c r="KN6528" s="137"/>
    </row>
    <row r="6529" spans="227:300" customFormat="1" x14ac:dyDescent="0.25">
      <c r="HS6529" s="137"/>
      <c r="HT6529" s="137"/>
      <c r="HU6529" s="137"/>
      <c r="HV6529" s="137"/>
      <c r="KI6529" s="137"/>
      <c r="KN6529" s="137"/>
    </row>
    <row r="6530" spans="227:300" customFormat="1" x14ac:dyDescent="0.25">
      <c r="HS6530" s="137"/>
      <c r="HT6530" s="137"/>
      <c r="HU6530" s="137"/>
      <c r="HV6530" s="137"/>
      <c r="KI6530" s="137"/>
      <c r="KN6530" s="137"/>
    </row>
    <row r="6531" spans="227:300" customFormat="1" x14ac:dyDescent="0.25">
      <c r="HS6531" s="137"/>
      <c r="HT6531" s="137"/>
      <c r="HU6531" s="137"/>
      <c r="HV6531" s="137"/>
      <c r="KI6531" s="137"/>
      <c r="KN6531" s="137"/>
    </row>
    <row r="6532" spans="227:300" customFormat="1" x14ac:dyDescent="0.25">
      <c r="HS6532" s="137"/>
      <c r="HT6532" s="137"/>
      <c r="HU6532" s="137"/>
      <c r="HV6532" s="137"/>
      <c r="KI6532" s="137"/>
      <c r="KN6532" s="137"/>
    </row>
    <row r="6533" spans="227:300" customFormat="1" x14ac:dyDescent="0.25">
      <c r="HS6533" s="137"/>
      <c r="HT6533" s="137"/>
      <c r="HU6533" s="137"/>
      <c r="HV6533" s="137"/>
      <c r="KI6533" s="137"/>
      <c r="KN6533" s="137"/>
    </row>
    <row r="6534" spans="227:300" customFormat="1" x14ac:dyDescent="0.25">
      <c r="HS6534" s="137"/>
      <c r="HT6534" s="137"/>
      <c r="HU6534" s="137"/>
      <c r="HV6534" s="137"/>
      <c r="KI6534" s="137"/>
      <c r="KN6534" s="137"/>
    </row>
    <row r="6535" spans="227:300" customFormat="1" x14ac:dyDescent="0.25">
      <c r="HS6535" s="137"/>
      <c r="HT6535" s="137"/>
      <c r="HU6535" s="137"/>
      <c r="HV6535" s="137"/>
      <c r="KI6535" s="137"/>
      <c r="KN6535" s="137"/>
    </row>
    <row r="6536" spans="227:300" customFormat="1" x14ac:dyDescent="0.25">
      <c r="HS6536" s="137"/>
      <c r="HT6536" s="137"/>
      <c r="HU6536" s="137"/>
      <c r="HV6536" s="137"/>
      <c r="KI6536" s="137"/>
      <c r="KN6536" s="137"/>
    </row>
    <row r="6537" spans="227:300" customFormat="1" x14ac:dyDescent="0.25">
      <c r="HS6537" s="137"/>
      <c r="HT6537" s="137"/>
      <c r="HU6537" s="137"/>
      <c r="HV6537" s="137"/>
      <c r="KI6537" s="137"/>
      <c r="KN6537" s="137"/>
    </row>
    <row r="6538" spans="227:300" customFormat="1" x14ac:dyDescent="0.25">
      <c r="HS6538" s="137"/>
      <c r="HT6538" s="137"/>
      <c r="HU6538" s="137"/>
      <c r="HV6538" s="137"/>
      <c r="KI6538" s="137"/>
      <c r="KN6538" s="137"/>
    </row>
    <row r="6539" spans="227:300" customFormat="1" x14ac:dyDescent="0.25">
      <c r="HS6539" s="137"/>
      <c r="HT6539" s="137"/>
      <c r="HU6539" s="137"/>
      <c r="HV6539" s="137"/>
      <c r="KI6539" s="137"/>
      <c r="KN6539" s="137"/>
    </row>
    <row r="6540" spans="227:300" customFormat="1" x14ac:dyDescent="0.25">
      <c r="HS6540" s="137"/>
      <c r="HT6540" s="137"/>
      <c r="HU6540" s="137"/>
      <c r="HV6540" s="137"/>
      <c r="KI6540" s="137"/>
      <c r="KN6540" s="137"/>
    </row>
    <row r="6541" spans="227:300" customFormat="1" x14ac:dyDescent="0.25">
      <c r="HS6541" s="137"/>
      <c r="HT6541" s="137"/>
      <c r="HU6541" s="137"/>
      <c r="HV6541" s="137"/>
      <c r="KI6541" s="137"/>
      <c r="KN6541" s="137"/>
    </row>
    <row r="6542" spans="227:300" customFormat="1" x14ac:dyDescent="0.25">
      <c r="HS6542" s="137"/>
      <c r="HT6542" s="137"/>
      <c r="HU6542" s="137"/>
      <c r="HV6542" s="137"/>
      <c r="KI6542" s="137"/>
      <c r="KN6542" s="137"/>
    </row>
    <row r="6543" spans="227:300" customFormat="1" x14ac:dyDescent="0.25">
      <c r="HS6543" s="137"/>
      <c r="HT6543" s="137"/>
      <c r="HU6543" s="137"/>
      <c r="HV6543" s="137"/>
      <c r="KI6543" s="137"/>
      <c r="KN6543" s="137"/>
    </row>
    <row r="6544" spans="227:300" customFormat="1" x14ac:dyDescent="0.25">
      <c r="HS6544" s="137"/>
      <c r="HT6544" s="137"/>
      <c r="HU6544" s="137"/>
      <c r="HV6544" s="137"/>
      <c r="KI6544" s="137"/>
      <c r="KN6544" s="137"/>
    </row>
    <row r="6545" spans="227:300" customFormat="1" x14ac:dyDescent="0.25">
      <c r="HS6545" s="137"/>
      <c r="HT6545" s="137"/>
      <c r="HU6545" s="137"/>
      <c r="HV6545" s="137"/>
      <c r="KI6545" s="137"/>
      <c r="KN6545" s="137"/>
    </row>
    <row r="6546" spans="227:300" customFormat="1" x14ac:dyDescent="0.25">
      <c r="HS6546" s="137"/>
      <c r="HT6546" s="137"/>
      <c r="HU6546" s="137"/>
      <c r="HV6546" s="137"/>
      <c r="KI6546" s="137"/>
      <c r="KN6546" s="137"/>
    </row>
    <row r="6547" spans="227:300" customFormat="1" x14ac:dyDescent="0.25">
      <c r="HS6547" s="137"/>
      <c r="HT6547" s="137"/>
      <c r="HU6547" s="137"/>
      <c r="HV6547" s="137"/>
      <c r="KI6547" s="137"/>
      <c r="KN6547" s="137"/>
    </row>
    <row r="6548" spans="227:300" customFormat="1" x14ac:dyDescent="0.25">
      <c r="HS6548" s="137"/>
      <c r="HT6548" s="137"/>
      <c r="HU6548" s="137"/>
      <c r="HV6548" s="137"/>
      <c r="KI6548" s="137"/>
      <c r="KN6548" s="137"/>
    </row>
    <row r="6549" spans="227:300" customFormat="1" x14ac:dyDescent="0.25">
      <c r="HS6549" s="137"/>
      <c r="HT6549" s="137"/>
      <c r="HU6549" s="137"/>
      <c r="HV6549" s="137"/>
      <c r="KI6549" s="137"/>
      <c r="KN6549" s="137"/>
    </row>
    <row r="6550" spans="227:300" customFormat="1" x14ac:dyDescent="0.25">
      <c r="HS6550" s="137"/>
      <c r="HT6550" s="137"/>
      <c r="HU6550" s="137"/>
      <c r="HV6550" s="137"/>
      <c r="KI6550" s="137"/>
      <c r="KN6550" s="137"/>
    </row>
    <row r="6551" spans="227:300" customFormat="1" x14ac:dyDescent="0.25">
      <c r="HS6551" s="137"/>
      <c r="HT6551" s="137"/>
      <c r="HU6551" s="137"/>
      <c r="HV6551" s="137"/>
      <c r="KI6551" s="137"/>
      <c r="KN6551" s="137"/>
    </row>
    <row r="6552" spans="227:300" customFormat="1" x14ac:dyDescent="0.25">
      <c r="HS6552" s="137"/>
      <c r="HT6552" s="137"/>
      <c r="HU6552" s="137"/>
      <c r="HV6552" s="137"/>
      <c r="KI6552" s="137"/>
      <c r="KN6552" s="137"/>
    </row>
    <row r="6553" spans="227:300" customFormat="1" x14ac:dyDescent="0.25">
      <c r="HS6553" s="137"/>
      <c r="HT6553" s="137"/>
      <c r="HU6553" s="137"/>
      <c r="HV6553" s="137"/>
      <c r="KI6553" s="137"/>
      <c r="KN6553" s="137"/>
    </row>
    <row r="6554" spans="227:300" customFormat="1" x14ac:dyDescent="0.25">
      <c r="HS6554" s="137"/>
      <c r="HT6554" s="137"/>
      <c r="HU6554" s="137"/>
      <c r="HV6554" s="137"/>
      <c r="KI6554" s="137"/>
      <c r="KN6554" s="137"/>
    </row>
    <row r="6555" spans="227:300" customFormat="1" x14ac:dyDescent="0.25">
      <c r="HS6555" s="137"/>
      <c r="HT6555" s="137"/>
      <c r="HU6555" s="137"/>
      <c r="HV6555" s="137"/>
      <c r="KI6555" s="137"/>
      <c r="KN6555" s="137"/>
    </row>
    <row r="6556" spans="227:300" customFormat="1" x14ac:dyDescent="0.25">
      <c r="HS6556" s="137"/>
      <c r="HT6556" s="137"/>
      <c r="HU6556" s="137"/>
      <c r="HV6556" s="137"/>
      <c r="KI6556" s="137"/>
      <c r="KN6556" s="137"/>
    </row>
    <row r="6557" spans="227:300" customFormat="1" x14ac:dyDescent="0.25">
      <c r="HS6557" s="137"/>
      <c r="HT6557" s="137"/>
      <c r="HU6557" s="137"/>
      <c r="HV6557" s="137"/>
      <c r="KI6557" s="137"/>
      <c r="KN6557" s="137"/>
    </row>
    <row r="6558" spans="227:300" customFormat="1" x14ac:dyDescent="0.25">
      <c r="HS6558" s="137"/>
      <c r="HT6558" s="137"/>
      <c r="HU6558" s="137"/>
      <c r="HV6558" s="137"/>
      <c r="KI6558" s="137"/>
      <c r="KN6558" s="137"/>
    </row>
    <row r="6559" spans="227:300" customFormat="1" x14ac:dyDescent="0.25">
      <c r="HS6559" s="137"/>
      <c r="HT6559" s="137"/>
      <c r="HU6559" s="137"/>
      <c r="HV6559" s="137"/>
      <c r="KI6559" s="137"/>
      <c r="KN6559" s="137"/>
    </row>
    <row r="6560" spans="227:300" customFormat="1" x14ac:dyDescent="0.25">
      <c r="HS6560" s="137"/>
      <c r="HT6560" s="137"/>
      <c r="HU6560" s="137"/>
      <c r="HV6560" s="137"/>
      <c r="KI6560" s="137"/>
      <c r="KN6560" s="137"/>
    </row>
    <row r="6561" spans="227:300" customFormat="1" x14ac:dyDescent="0.25">
      <c r="HS6561" s="137"/>
      <c r="HT6561" s="137"/>
      <c r="HU6561" s="137"/>
      <c r="HV6561" s="137"/>
      <c r="KI6561" s="137"/>
      <c r="KN6561" s="137"/>
    </row>
    <row r="6562" spans="227:300" customFormat="1" x14ac:dyDescent="0.25">
      <c r="HS6562" s="137"/>
      <c r="HT6562" s="137"/>
      <c r="HU6562" s="137"/>
      <c r="HV6562" s="137"/>
      <c r="KI6562" s="137"/>
      <c r="KN6562" s="137"/>
    </row>
    <row r="6563" spans="227:300" customFormat="1" x14ac:dyDescent="0.25">
      <c r="HS6563" s="137"/>
      <c r="HT6563" s="137"/>
      <c r="HU6563" s="137"/>
      <c r="HV6563" s="137"/>
      <c r="KI6563" s="137"/>
      <c r="KN6563" s="137"/>
    </row>
    <row r="6564" spans="227:300" customFormat="1" x14ac:dyDescent="0.25">
      <c r="HS6564" s="137"/>
      <c r="HT6564" s="137"/>
      <c r="HU6564" s="137"/>
      <c r="HV6564" s="137"/>
      <c r="KI6564" s="137"/>
      <c r="KN6564" s="137"/>
    </row>
    <row r="6565" spans="227:300" customFormat="1" x14ac:dyDescent="0.25">
      <c r="HS6565" s="137"/>
      <c r="HT6565" s="137"/>
      <c r="HU6565" s="137"/>
      <c r="HV6565" s="137"/>
      <c r="KI6565" s="137"/>
      <c r="KN6565" s="137"/>
    </row>
    <row r="6566" spans="227:300" customFormat="1" x14ac:dyDescent="0.25">
      <c r="HS6566" s="137"/>
      <c r="HT6566" s="137"/>
      <c r="HU6566" s="137"/>
      <c r="HV6566" s="137"/>
      <c r="KI6566" s="137"/>
      <c r="KN6566" s="137"/>
    </row>
    <row r="6567" spans="227:300" customFormat="1" x14ac:dyDescent="0.25">
      <c r="HS6567" s="137"/>
      <c r="HT6567" s="137"/>
      <c r="HU6567" s="137"/>
      <c r="HV6567" s="137"/>
      <c r="KI6567" s="137"/>
      <c r="KN6567" s="137"/>
    </row>
    <row r="6568" spans="227:300" customFormat="1" x14ac:dyDescent="0.25">
      <c r="HS6568" s="137"/>
      <c r="HT6568" s="137"/>
      <c r="HU6568" s="137"/>
      <c r="HV6568" s="137"/>
      <c r="KI6568" s="137"/>
      <c r="KN6568" s="137"/>
    </row>
    <row r="6569" spans="227:300" customFormat="1" x14ac:dyDescent="0.25">
      <c r="HS6569" s="137"/>
      <c r="HT6569" s="137"/>
      <c r="HU6569" s="137"/>
      <c r="HV6569" s="137"/>
      <c r="KI6569" s="137"/>
      <c r="KN6569" s="137"/>
    </row>
    <row r="6570" spans="227:300" customFormat="1" x14ac:dyDescent="0.25">
      <c r="HS6570" s="137"/>
      <c r="HT6570" s="137"/>
      <c r="HU6570" s="137"/>
      <c r="HV6570" s="137"/>
      <c r="KI6570" s="137"/>
      <c r="KN6570" s="137"/>
    </row>
    <row r="6571" spans="227:300" customFormat="1" x14ac:dyDescent="0.25">
      <c r="HS6571" s="137"/>
      <c r="HT6571" s="137"/>
      <c r="HU6571" s="137"/>
      <c r="HV6571" s="137"/>
      <c r="KI6571" s="137"/>
      <c r="KN6571" s="137"/>
    </row>
    <row r="6572" spans="227:300" customFormat="1" x14ac:dyDescent="0.25">
      <c r="HS6572" s="137"/>
      <c r="HT6572" s="137"/>
      <c r="HU6572" s="137"/>
      <c r="HV6572" s="137"/>
      <c r="KI6572" s="137"/>
      <c r="KN6572" s="137"/>
    </row>
    <row r="6573" spans="227:300" customFormat="1" x14ac:dyDescent="0.25">
      <c r="HS6573" s="137"/>
      <c r="HT6573" s="137"/>
      <c r="HU6573" s="137"/>
      <c r="HV6573" s="137"/>
      <c r="KI6573" s="137"/>
      <c r="KN6573" s="137"/>
    </row>
    <row r="6574" spans="227:300" customFormat="1" x14ac:dyDescent="0.25">
      <c r="HS6574" s="137"/>
      <c r="HT6574" s="137"/>
      <c r="HU6574" s="137"/>
      <c r="HV6574" s="137"/>
      <c r="KI6574" s="137"/>
      <c r="KN6574" s="137"/>
    </row>
    <row r="6575" spans="227:300" customFormat="1" x14ac:dyDescent="0.25">
      <c r="HS6575" s="137"/>
      <c r="HT6575" s="137"/>
      <c r="HU6575" s="137"/>
      <c r="HV6575" s="137"/>
      <c r="KI6575" s="137"/>
      <c r="KN6575" s="137"/>
    </row>
    <row r="6576" spans="227:300" customFormat="1" x14ac:dyDescent="0.25">
      <c r="HS6576" s="137"/>
      <c r="HT6576" s="137"/>
      <c r="HU6576" s="137"/>
      <c r="HV6576" s="137"/>
      <c r="KI6576" s="137"/>
      <c r="KN6576" s="137"/>
    </row>
    <row r="6577" spans="227:300" customFormat="1" x14ac:dyDescent="0.25">
      <c r="HS6577" s="137"/>
      <c r="HT6577" s="137"/>
      <c r="HU6577" s="137"/>
      <c r="HV6577" s="137"/>
      <c r="KI6577" s="137"/>
      <c r="KN6577" s="137"/>
    </row>
    <row r="6578" spans="227:300" customFormat="1" x14ac:dyDescent="0.25">
      <c r="HS6578" s="137"/>
      <c r="HT6578" s="137"/>
      <c r="HU6578" s="137"/>
      <c r="HV6578" s="137"/>
      <c r="KI6578" s="137"/>
      <c r="KN6578" s="137"/>
    </row>
    <row r="6579" spans="227:300" customFormat="1" x14ac:dyDescent="0.25">
      <c r="HS6579" s="137"/>
      <c r="HT6579" s="137"/>
      <c r="HU6579" s="137"/>
      <c r="HV6579" s="137"/>
      <c r="KI6579" s="137"/>
      <c r="KN6579" s="137"/>
    </row>
    <row r="6580" spans="227:300" customFormat="1" x14ac:dyDescent="0.25">
      <c r="HS6580" s="137"/>
      <c r="HT6580" s="137"/>
      <c r="HU6580" s="137"/>
      <c r="HV6580" s="137"/>
      <c r="KI6580" s="137"/>
      <c r="KN6580" s="137"/>
    </row>
    <row r="6581" spans="227:300" customFormat="1" x14ac:dyDescent="0.25">
      <c r="HS6581" s="137"/>
      <c r="HT6581" s="137"/>
      <c r="HU6581" s="137"/>
      <c r="HV6581" s="137"/>
      <c r="KI6581" s="137"/>
      <c r="KN6581" s="137"/>
    </row>
    <row r="6582" spans="227:300" customFormat="1" x14ac:dyDescent="0.25">
      <c r="HS6582" s="137"/>
      <c r="HT6582" s="137"/>
      <c r="HU6582" s="137"/>
      <c r="HV6582" s="137"/>
      <c r="KI6582" s="137"/>
      <c r="KN6582" s="137"/>
    </row>
    <row r="6583" spans="227:300" customFormat="1" x14ac:dyDescent="0.25">
      <c r="HS6583" s="137"/>
      <c r="HT6583" s="137"/>
      <c r="HU6583" s="137"/>
      <c r="HV6583" s="137"/>
      <c r="KI6583" s="137"/>
      <c r="KN6583" s="137"/>
    </row>
    <row r="6584" spans="227:300" customFormat="1" x14ac:dyDescent="0.25">
      <c r="HS6584" s="137"/>
      <c r="HT6584" s="137"/>
      <c r="HU6584" s="137"/>
      <c r="HV6584" s="137"/>
      <c r="KI6584" s="137"/>
      <c r="KN6584" s="137"/>
    </row>
    <row r="6585" spans="227:300" customFormat="1" x14ac:dyDescent="0.25">
      <c r="HS6585" s="137"/>
      <c r="HT6585" s="137"/>
      <c r="HU6585" s="137"/>
      <c r="HV6585" s="137"/>
      <c r="KI6585" s="137"/>
      <c r="KN6585" s="137"/>
    </row>
    <row r="6586" spans="227:300" customFormat="1" x14ac:dyDescent="0.25">
      <c r="HS6586" s="137"/>
      <c r="HT6586" s="137"/>
      <c r="HU6586" s="137"/>
      <c r="HV6586" s="137"/>
      <c r="KI6586" s="137"/>
      <c r="KN6586" s="137"/>
    </row>
    <row r="6587" spans="227:300" customFormat="1" x14ac:dyDescent="0.25">
      <c r="HS6587" s="137"/>
      <c r="HT6587" s="137"/>
      <c r="HU6587" s="137"/>
      <c r="HV6587" s="137"/>
      <c r="KI6587" s="137"/>
      <c r="KN6587" s="137"/>
    </row>
    <row r="6588" spans="227:300" customFormat="1" x14ac:dyDescent="0.25">
      <c r="HS6588" s="137"/>
      <c r="HT6588" s="137"/>
      <c r="HU6588" s="137"/>
      <c r="HV6588" s="137"/>
      <c r="KI6588" s="137"/>
      <c r="KN6588" s="137"/>
    </row>
    <row r="6589" spans="227:300" customFormat="1" x14ac:dyDescent="0.25">
      <c r="HS6589" s="137"/>
      <c r="HT6589" s="137"/>
      <c r="HU6589" s="137"/>
      <c r="HV6589" s="137"/>
      <c r="KI6589" s="137"/>
      <c r="KN6589" s="137"/>
    </row>
    <row r="6590" spans="227:300" customFormat="1" x14ac:dyDescent="0.25">
      <c r="HS6590" s="137"/>
      <c r="HT6590" s="137"/>
      <c r="HU6590" s="137"/>
      <c r="HV6590" s="137"/>
      <c r="KI6590" s="137"/>
      <c r="KN6590" s="137"/>
    </row>
    <row r="6591" spans="227:300" customFormat="1" x14ac:dyDescent="0.25">
      <c r="HS6591" s="137"/>
      <c r="HT6591" s="137"/>
      <c r="HU6591" s="137"/>
      <c r="HV6591" s="137"/>
      <c r="KI6591" s="137"/>
      <c r="KN6591" s="137"/>
    </row>
    <row r="6592" spans="227:300" customFormat="1" x14ac:dyDescent="0.25">
      <c r="HS6592" s="137"/>
      <c r="HT6592" s="137"/>
      <c r="HU6592" s="137"/>
      <c r="HV6592" s="137"/>
      <c r="KI6592" s="137"/>
      <c r="KN6592" s="137"/>
    </row>
    <row r="6593" spans="227:300" customFormat="1" x14ac:dyDescent="0.25">
      <c r="HS6593" s="137"/>
      <c r="HT6593" s="137"/>
      <c r="HU6593" s="137"/>
      <c r="HV6593" s="137"/>
      <c r="KI6593" s="137"/>
      <c r="KN6593" s="137"/>
    </row>
    <row r="6594" spans="227:300" customFormat="1" x14ac:dyDescent="0.25">
      <c r="HS6594" s="137"/>
      <c r="HT6594" s="137"/>
      <c r="HU6594" s="137"/>
      <c r="HV6594" s="137"/>
      <c r="KI6594" s="137"/>
      <c r="KN6594" s="137"/>
    </row>
    <row r="6595" spans="227:300" customFormat="1" x14ac:dyDescent="0.25">
      <c r="HS6595" s="137"/>
      <c r="HT6595" s="137"/>
      <c r="HU6595" s="137"/>
      <c r="HV6595" s="137"/>
      <c r="KI6595" s="137"/>
      <c r="KN6595" s="137"/>
    </row>
    <row r="6596" spans="227:300" customFormat="1" x14ac:dyDescent="0.25">
      <c r="HS6596" s="137"/>
      <c r="HT6596" s="137"/>
      <c r="HU6596" s="137"/>
      <c r="HV6596" s="137"/>
      <c r="KI6596" s="137"/>
      <c r="KN6596" s="137"/>
    </row>
    <row r="6597" spans="227:300" customFormat="1" x14ac:dyDescent="0.25">
      <c r="HS6597" s="137"/>
      <c r="HT6597" s="137"/>
      <c r="HU6597" s="137"/>
      <c r="HV6597" s="137"/>
      <c r="KI6597" s="137"/>
      <c r="KN6597" s="137"/>
    </row>
    <row r="6598" spans="227:300" customFormat="1" x14ac:dyDescent="0.25">
      <c r="HS6598" s="137"/>
      <c r="HT6598" s="137"/>
      <c r="HU6598" s="137"/>
      <c r="HV6598" s="137"/>
      <c r="KI6598" s="137"/>
      <c r="KN6598" s="137"/>
    </row>
    <row r="6599" spans="227:300" customFormat="1" x14ac:dyDescent="0.25">
      <c r="HS6599" s="137"/>
      <c r="HT6599" s="137"/>
      <c r="HU6599" s="137"/>
      <c r="HV6599" s="137"/>
      <c r="KI6599" s="137"/>
      <c r="KN6599" s="137"/>
    </row>
    <row r="6600" spans="227:300" customFormat="1" x14ac:dyDescent="0.25">
      <c r="HS6600" s="137"/>
      <c r="HT6600" s="137"/>
      <c r="HU6600" s="137"/>
      <c r="HV6600" s="137"/>
      <c r="KI6600" s="137"/>
      <c r="KN6600" s="137"/>
    </row>
    <row r="6601" spans="227:300" customFormat="1" x14ac:dyDescent="0.25">
      <c r="HS6601" s="137"/>
      <c r="HT6601" s="137"/>
      <c r="HU6601" s="137"/>
      <c r="HV6601" s="137"/>
      <c r="KI6601" s="137"/>
      <c r="KN6601" s="137"/>
    </row>
    <row r="6602" spans="227:300" customFormat="1" x14ac:dyDescent="0.25">
      <c r="HS6602" s="137"/>
      <c r="HT6602" s="137"/>
      <c r="HU6602" s="137"/>
      <c r="HV6602" s="137"/>
      <c r="KI6602" s="137"/>
      <c r="KN6602" s="137"/>
    </row>
    <row r="6603" spans="227:300" customFormat="1" x14ac:dyDescent="0.25">
      <c r="HS6603" s="137"/>
      <c r="HT6603" s="137"/>
      <c r="HU6603" s="137"/>
      <c r="HV6603" s="137"/>
      <c r="KI6603" s="137"/>
      <c r="KN6603" s="137"/>
    </row>
    <row r="6604" spans="227:300" customFormat="1" x14ac:dyDescent="0.25">
      <c r="HS6604" s="137"/>
      <c r="HT6604" s="137"/>
      <c r="HU6604" s="137"/>
      <c r="HV6604" s="137"/>
      <c r="KI6604" s="137"/>
      <c r="KN6604" s="137"/>
    </row>
    <row r="6605" spans="227:300" customFormat="1" x14ac:dyDescent="0.25">
      <c r="HS6605" s="137"/>
      <c r="HT6605" s="137"/>
      <c r="HU6605" s="137"/>
      <c r="HV6605" s="137"/>
      <c r="KI6605" s="137"/>
      <c r="KN6605" s="137"/>
    </row>
    <row r="6606" spans="227:300" customFormat="1" x14ac:dyDescent="0.25">
      <c r="HS6606" s="137"/>
      <c r="HT6606" s="137"/>
      <c r="HU6606" s="137"/>
      <c r="HV6606" s="137"/>
      <c r="KI6606" s="137"/>
      <c r="KN6606" s="137"/>
    </row>
    <row r="6607" spans="227:300" customFormat="1" x14ac:dyDescent="0.25">
      <c r="HS6607" s="137"/>
      <c r="HT6607" s="137"/>
      <c r="HU6607" s="137"/>
      <c r="HV6607" s="137"/>
      <c r="KI6607" s="137"/>
      <c r="KN6607" s="137"/>
    </row>
    <row r="6608" spans="227:300" customFormat="1" x14ac:dyDescent="0.25">
      <c r="HS6608" s="137"/>
      <c r="HT6608" s="137"/>
      <c r="HU6608" s="137"/>
      <c r="HV6608" s="137"/>
      <c r="KI6608" s="137"/>
      <c r="KN6608" s="137"/>
    </row>
    <row r="6609" spans="227:300" customFormat="1" x14ac:dyDescent="0.25">
      <c r="HS6609" s="137"/>
      <c r="HT6609" s="137"/>
      <c r="HU6609" s="137"/>
      <c r="HV6609" s="137"/>
      <c r="KI6609" s="137"/>
      <c r="KN6609" s="137"/>
    </row>
    <row r="6610" spans="227:300" customFormat="1" x14ac:dyDescent="0.25">
      <c r="HS6610" s="137"/>
      <c r="HT6610" s="137"/>
      <c r="HU6610" s="137"/>
      <c r="HV6610" s="137"/>
      <c r="KI6610" s="137"/>
      <c r="KN6610" s="137"/>
    </row>
    <row r="6611" spans="227:300" customFormat="1" x14ac:dyDescent="0.25">
      <c r="HS6611" s="137"/>
      <c r="HT6611" s="137"/>
      <c r="HU6611" s="137"/>
      <c r="HV6611" s="137"/>
      <c r="KI6611" s="137"/>
      <c r="KN6611" s="137"/>
    </row>
    <row r="6612" spans="227:300" customFormat="1" x14ac:dyDescent="0.25">
      <c r="HS6612" s="137"/>
      <c r="HT6612" s="137"/>
      <c r="HU6612" s="137"/>
      <c r="HV6612" s="137"/>
      <c r="KI6612" s="137"/>
      <c r="KN6612" s="137"/>
    </row>
    <row r="6613" spans="227:300" customFormat="1" x14ac:dyDescent="0.25">
      <c r="HS6613" s="137"/>
      <c r="HT6613" s="137"/>
      <c r="HU6613" s="137"/>
      <c r="HV6613" s="137"/>
      <c r="KI6613" s="137"/>
      <c r="KN6613" s="137"/>
    </row>
    <row r="6614" spans="227:300" customFormat="1" x14ac:dyDescent="0.25">
      <c r="HS6614" s="137"/>
      <c r="HT6614" s="137"/>
      <c r="HU6614" s="137"/>
      <c r="HV6614" s="137"/>
      <c r="KI6614" s="137"/>
      <c r="KN6614" s="137"/>
    </row>
    <row r="6615" spans="227:300" customFormat="1" x14ac:dyDescent="0.25">
      <c r="HS6615" s="137"/>
      <c r="HT6615" s="137"/>
      <c r="HU6615" s="137"/>
      <c r="HV6615" s="137"/>
      <c r="KI6615" s="137"/>
      <c r="KN6615" s="137"/>
    </row>
    <row r="6616" spans="227:300" customFormat="1" x14ac:dyDescent="0.25">
      <c r="HS6616" s="137"/>
      <c r="HT6616" s="137"/>
      <c r="HU6616" s="137"/>
      <c r="HV6616" s="137"/>
      <c r="KI6616" s="137"/>
      <c r="KN6616" s="137"/>
    </row>
    <row r="6617" spans="227:300" customFormat="1" x14ac:dyDescent="0.25">
      <c r="HS6617" s="137"/>
      <c r="HT6617" s="137"/>
      <c r="HU6617" s="137"/>
      <c r="HV6617" s="137"/>
      <c r="KI6617" s="137"/>
      <c r="KN6617" s="137"/>
    </row>
    <row r="6618" spans="227:300" customFormat="1" x14ac:dyDescent="0.25">
      <c r="HS6618" s="137"/>
      <c r="HT6618" s="137"/>
      <c r="HU6618" s="137"/>
      <c r="HV6618" s="137"/>
      <c r="KI6618" s="137"/>
      <c r="KN6618" s="137"/>
    </row>
    <row r="6619" spans="227:300" customFormat="1" x14ac:dyDescent="0.25">
      <c r="HS6619" s="137"/>
      <c r="HT6619" s="137"/>
      <c r="HU6619" s="137"/>
      <c r="HV6619" s="137"/>
      <c r="KI6619" s="137"/>
      <c r="KN6619" s="137"/>
    </row>
    <row r="6620" spans="227:300" customFormat="1" x14ac:dyDescent="0.25">
      <c r="HS6620" s="137"/>
      <c r="HT6620" s="137"/>
      <c r="HU6620" s="137"/>
      <c r="HV6620" s="137"/>
      <c r="KI6620" s="137"/>
      <c r="KN6620" s="137"/>
    </row>
    <row r="6621" spans="227:300" customFormat="1" x14ac:dyDescent="0.25">
      <c r="HS6621" s="137"/>
      <c r="HT6621" s="137"/>
      <c r="HU6621" s="137"/>
      <c r="HV6621" s="137"/>
      <c r="KI6621" s="137"/>
      <c r="KN6621" s="137"/>
    </row>
    <row r="6622" spans="227:300" customFormat="1" x14ac:dyDescent="0.25">
      <c r="HS6622" s="137"/>
      <c r="HT6622" s="137"/>
      <c r="HU6622" s="137"/>
      <c r="HV6622" s="137"/>
      <c r="KI6622" s="137"/>
      <c r="KN6622" s="137"/>
    </row>
    <row r="6623" spans="227:300" customFormat="1" x14ac:dyDescent="0.25">
      <c r="HS6623" s="137"/>
      <c r="HT6623" s="137"/>
      <c r="HU6623" s="137"/>
      <c r="HV6623" s="137"/>
      <c r="KI6623" s="137"/>
      <c r="KN6623" s="137"/>
    </row>
    <row r="6624" spans="227:300" customFormat="1" x14ac:dyDescent="0.25">
      <c r="HS6624" s="137"/>
      <c r="HT6624" s="137"/>
      <c r="HU6624" s="137"/>
      <c r="HV6624" s="137"/>
      <c r="KI6624" s="137"/>
      <c r="KN6624" s="137"/>
    </row>
    <row r="6625" spans="227:300" customFormat="1" x14ac:dyDescent="0.25">
      <c r="HS6625" s="137"/>
      <c r="HT6625" s="137"/>
      <c r="HU6625" s="137"/>
      <c r="HV6625" s="137"/>
      <c r="KI6625" s="137"/>
      <c r="KN6625" s="137"/>
    </row>
    <row r="6626" spans="227:300" customFormat="1" x14ac:dyDescent="0.25">
      <c r="HS6626" s="137"/>
      <c r="HT6626" s="137"/>
      <c r="HU6626" s="137"/>
      <c r="HV6626" s="137"/>
      <c r="KI6626" s="137"/>
      <c r="KN6626" s="137"/>
    </row>
    <row r="6627" spans="227:300" customFormat="1" x14ac:dyDescent="0.25">
      <c r="HS6627" s="137"/>
      <c r="HT6627" s="137"/>
      <c r="HU6627" s="137"/>
      <c r="HV6627" s="137"/>
      <c r="KI6627" s="137"/>
      <c r="KN6627" s="137"/>
    </row>
    <row r="6628" spans="227:300" customFormat="1" x14ac:dyDescent="0.25">
      <c r="HS6628" s="137"/>
      <c r="HT6628" s="137"/>
      <c r="HU6628" s="137"/>
      <c r="HV6628" s="137"/>
      <c r="KI6628" s="137"/>
      <c r="KN6628" s="137"/>
    </row>
    <row r="6629" spans="227:300" customFormat="1" x14ac:dyDescent="0.25">
      <c r="HS6629" s="137"/>
      <c r="HT6629" s="137"/>
      <c r="HU6629" s="137"/>
      <c r="HV6629" s="137"/>
      <c r="KI6629" s="137"/>
      <c r="KN6629" s="137"/>
    </row>
    <row r="6630" spans="227:300" customFormat="1" x14ac:dyDescent="0.25">
      <c r="HS6630" s="137"/>
      <c r="HT6630" s="137"/>
      <c r="HU6630" s="137"/>
      <c r="HV6630" s="137"/>
      <c r="KI6630" s="137"/>
      <c r="KN6630" s="137"/>
    </row>
    <row r="6631" spans="227:300" customFormat="1" x14ac:dyDescent="0.25">
      <c r="HS6631" s="137"/>
      <c r="HT6631" s="137"/>
      <c r="HU6631" s="137"/>
      <c r="HV6631" s="137"/>
      <c r="KI6631" s="137"/>
      <c r="KN6631" s="137"/>
    </row>
    <row r="6632" spans="227:300" customFormat="1" x14ac:dyDescent="0.25">
      <c r="HS6632" s="137"/>
      <c r="HT6632" s="137"/>
      <c r="HU6632" s="137"/>
      <c r="HV6632" s="137"/>
      <c r="KI6632" s="137"/>
      <c r="KN6632" s="137"/>
    </row>
    <row r="6633" spans="227:300" customFormat="1" x14ac:dyDescent="0.25">
      <c r="HS6633" s="137"/>
      <c r="HT6633" s="137"/>
      <c r="HU6633" s="137"/>
      <c r="HV6633" s="137"/>
      <c r="KI6633" s="137"/>
      <c r="KN6633" s="137"/>
    </row>
    <row r="6634" spans="227:300" customFormat="1" x14ac:dyDescent="0.25">
      <c r="HS6634" s="137"/>
      <c r="HT6634" s="137"/>
      <c r="HU6634" s="137"/>
      <c r="HV6634" s="137"/>
      <c r="KI6634" s="137"/>
      <c r="KN6634" s="137"/>
    </row>
    <row r="6635" spans="227:300" customFormat="1" x14ac:dyDescent="0.25">
      <c r="HS6635" s="137"/>
      <c r="HT6635" s="137"/>
      <c r="HU6635" s="137"/>
      <c r="HV6635" s="137"/>
      <c r="KI6635" s="137"/>
      <c r="KN6635" s="137"/>
    </row>
    <row r="6636" spans="227:300" customFormat="1" x14ac:dyDescent="0.25">
      <c r="HS6636" s="137"/>
      <c r="HT6636" s="137"/>
      <c r="HU6636" s="137"/>
      <c r="HV6636" s="137"/>
      <c r="KI6636" s="137"/>
      <c r="KN6636" s="137"/>
    </row>
    <row r="6637" spans="227:300" customFormat="1" x14ac:dyDescent="0.25">
      <c r="HS6637" s="137"/>
      <c r="HT6637" s="137"/>
      <c r="HU6637" s="137"/>
      <c r="HV6637" s="137"/>
      <c r="KI6637" s="137"/>
      <c r="KN6637" s="137"/>
    </row>
    <row r="6638" spans="227:300" customFormat="1" x14ac:dyDescent="0.25">
      <c r="HS6638" s="137"/>
      <c r="HT6638" s="137"/>
      <c r="HU6638" s="137"/>
      <c r="HV6638" s="137"/>
      <c r="KI6638" s="137"/>
      <c r="KN6638" s="137"/>
    </row>
    <row r="6639" spans="227:300" customFormat="1" x14ac:dyDescent="0.25">
      <c r="HS6639" s="137"/>
      <c r="HT6639" s="137"/>
      <c r="HU6639" s="137"/>
      <c r="HV6639" s="137"/>
      <c r="KI6639" s="137"/>
      <c r="KN6639" s="137"/>
    </row>
    <row r="6640" spans="227:300" customFormat="1" x14ac:dyDescent="0.25">
      <c r="HS6640" s="137"/>
      <c r="HT6640" s="137"/>
      <c r="HU6640" s="137"/>
      <c r="HV6640" s="137"/>
      <c r="KI6640" s="137"/>
      <c r="KN6640" s="137"/>
    </row>
    <row r="6641" spans="227:300" customFormat="1" x14ac:dyDescent="0.25">
      <c r="HS6641" s="137"/>
      <c r="HT6641" s="137"/>
      <c r="HU6641" s="137"/>
      <c r="HV6641" s="137"/>
      <c r="KI6641" s="137"/>
      <c r="KN6641" s="137"/>
    </row>
    <row r="6642" spans="227:300" customFormat="1" x14ac:dyDescent="0.25">
      <c r="HS6642" s="137"/>
      <c r="HT6642" s="137"/>
      <c r="HU6642" s="137"/>
      <c r="HV6642" s="137"/>
      <c r="KI6642" s="137"/>
      <c r="KN6642" s="137"/>
    </row>
    <row r="6643" spans="227:300" customFormat="1" x14ac:dyDescent="0.25">
      <c r="HS6643" s="137"/>
      <c r="HT6643" s="137"/>
      <c r="HU6643" s="137"/>
      <c r="HV6643" s="137"/>
      <c r="KI6643" s="137"/>
      <c r="KN6643" s="137"/>
    </row>
    <row r="6644" spans="227:300" customFormat="1" x14ac:dyDescent="0.25">
      <c r="HS6644" s="137"/>
      <c r="HT6644" s="137"/>
      <c r="HU6644" s="137"/>
      <c r="HV6644" s="137"/>
      <c r="KI6644" s="137"/>
      <c r="KN6644" s="137"/>
    </row>
    <row r="6645" spans="227:300" customFormat="1" x14ac:dyDescent="0.25">
      <c r="HS6645" s="137"/>
      <c r="HT6645" s="137"/>
      <c r="HU6645" s="137"/>
      <c r="HV6645" s="137"/>
      <c r="KI6645" s="137"/>
      <c r="KN6645" s="137"/>
    </row>
    <row r="6646" spans="227:300" customFormat="1" x14ac:dyDescent="0.25">
      <c r="HS6646" s="137"/>
      <c r="HT6646" s="137"/>
      <c r="HU6646" s="137"/>
      <c r="HV6646" s="137"/>
      <c r="KI6646" s="137"/>
      <c r="KN6646" s="137"/>
    </row>
    <row r="6647" spans="227:300" customFormat="1" x14ac:dyDescent="0.25">
      <c r="HS6647" s="137"/>
      <c r="HT6647" s="137"/>
      <c r="HU6647" s="137"/>
      <c r="HV6647" s="137"/>
      <c r="KI6647" s="137"/>
      <c r="KN6647" s="137"/>
    </row>
    <row r="6648" spans="227:300" customFormat="1" x14ac:dyDescent="0.25">
      <c r="HS6648" s="137"/>
      <c r="HT6648" s="137"/>
      <c r="HU6648" s="137"/>
      <c r="HV6648" s="137"/>
      <c r="KI6648" s="137"/>
      <c r="KN6648" s="137"/>
    </row>
    <row r="6649" spans="227:300" customFormat="1" x14ac:dyDescent="0.25">
      <c r="HS6649" s="137"/>
      <c r="HT6649" s="137"/>
      <c r="HU6649" s="137"/>
      <c r="HV6649" s="137"/>
      <c r="KI6649" s="137"/>
      <c r="KN6649" s="137"/>
    </row>
    <row r="6650" spans="227:300" customFormat="1" x14ac:dyDescent="0.25">
      <c r="HS6650" s="137"/>
      <c r="HT6650" s="137"/>
      <c r="HU6650" s="137"/>
      <c r="HV6650" s="137"/>
      <c r="KI6650" s="137"/>
      <c r="KN6650" s="137"/>
    </row>
    <row r="6651" spans="227:300" customFormat="1" x14ac:dyDescent="0.25">
      <c r="HS6651" s="137"/>
      <c r="HT6651" s="137"/>
      <c r="HU6651" s="137"/>
      <c r="HV6651" s="137"/>
      <c r="KI6651" s="137"/>
      <c r="KN6651" s="137"/>
    </row>
    <row r="6652" spans="227:300" customFormat="1" x14ac:dyDescent="0.25">
      <c r="HS6652" s="137"/>
      <c r="HT6652" s="137"/>
      <c r="HU6652" s="137"/>
      <c r="HV6652" s="137"/>
      <c r="KI6652" s="137"/>
      <c r="KN6652" s="137"/>
    </row>
    <row r="6653" spans="227:300" customFormat="1" x14ac:dyDescent="0.25">
      <c r="HS6653" s="137"/>
      <c r="HT6653" s="137"/>
      <c r="HU6653" s="137"/>
      <c r="HV6653" s="137"/>
      <c r="KI6653" s="137"/>
      <c r="KN6653" s="137"/>
    </row>
    <row r="6654" spans="227:300" customFormat="1" x14ac:dyDescent="0.25">
      <c r="HS6654" s="137"/>
      <c r="HT6654" s="137"/>
      <c r="HU6654" s="137"/>
      <c r="HV6654" s="137"/>
      <c r="KI6654" s="137"/>
      <c r="KN6654" s="137"/>
    </row>
    <row r="6655" spans="227:300" customFormat="1" x14ac:dyDescent="0.25">
      <c r="HS6655" s="137"/>
      <c r="HT6655" s="137"/>
      <c r="HU6655" s="137"/>
      <c r="HV6655" s="137"/>
      <c r="KI6655" s="137"/>
      <c r="KN6655" s="137"/>
    </row>
    <row r="6656" spans="227:300" customFormat="1" x14ac:dyDescent="0.25">
      <c r="HS6656" s="137"/>
      <c r="HT6656" s="137"/>
      <c r="HU6656" s="137"/>
      <c r="HV6656" s="137"/>
      <c r="KI6656" s="137"/>
      <c r="KN6656" s="137"/>
    </row>
    <row r="6657" spans="227:300" customFormat="1" x14ac:dyDescent="0.25">
      <c r="HS6657" s="137"/>
      <c r="HT6657" s="137"/>
      <c r="HU6657" s="137"/>
      <c r="HV6657" s="137"/>
      <c r="KI6657" s="137"/>
      <c r="KN6657" s="137"/>
    </row>
    <row r="6658" spans="227:300" customFormat="1" x14ac:dyDescent="0.25">
      <c r="HS6658" s="137"/>
      <c r="HT6658" s="137"/>
      <c r="HU6658" s="137"/>
      <c r="HV6658" s="137"/>
      <c r="KI6658" s="137"/>
      <c r="KN6658" s="137"/>
    </row>
    <row r="6659" spans="227:300" customFormat="1" x14ac:dyDescent="0.25">
      <c r="HS6659" s="137"/>
      <c r="HT6659" s="137"/>
      <c r="HU6659" s="137"/>
      <c r="HV6659" s="137"/>
      <c r="KI6659" s="137"/>
      <c r="KN6659" s="137"/>
    </row>
    <row r="6660" spans="227:300" customFormat="1" x14ac:dyDescent="0.25">
      <c r="HS6660" s="137"/>
      <c r="HT6660" s="137"/>
      <c r="HU6660" s="137"/>
      <c r="HV6660" s="137"/>
      <c r="KI6660" s="137"/>
      <c r="KN6660" s="137"/>
    </row>
    <row r="6661" spans="227:300" customFormat="1" x14ac:dyDescent="0.25">
      <c r="HS6661" s="137"/>
      <c r="HT6661" s="137"/>
      <c r="HU6661" s="137"/>
      <c r="HV6661" s="137"/>
      <c r="KI6661" s="137"/>
      <c r="KN6661" s="137"/>
    </row>
    <row r="6662" spans="227:300" customFormat="1" x14ac:dyDescent="0.25">
      <c r="HS6662" s="137"/>
      <c r="HT6662" s="137"/>
      <c r="HU6662" s="137"/>
      <c r="HV6662" s="137"/>
      <c r="KI6662" s="137"/>
      <c r="KN6662" s="137"/>
    </row>
    <row r="6663" spans="227:300" customFormat="1" x14ac:dyDescent="0.25">
      <c r="HS6663" s="137"/>
      <c r="HT6663" s="137"/>
      <c r="HU6663" s="137"/>
      <c r="HV6663" s="137"/>
      <c r="KI6663" s="137"/>
      <c r="KN6663" s="137"/>
    </row>
    <row r="6664" spans="227:300" customFormat="1" x14ac:dyDescent="0.25">
      <c r="HS6664" s="137"/>
      <c r="HT6664" s="137"/>
      <c r="HU6664" s="137"/>
      <c r="HV6664" s="137"/>
      <c r="KI6664" s="137"/>
      <c r="KN6664" s="137"/>
    </row>
    <row r="6665" spans="227:300" customFormat="1" x14ac:dyDescent="0.25">
      <c r="HS6665" s="137"/>
      <c r="HT6665" s="137"/>
      <c r="HU6665" s="137"/>
      <c r="HV6665" s="137"/>
      <c r="KI6665" s="137"/>
      <c r="KN6665" s="137"/>
    </row>
    <row r="6666" spans="227:300" customFormat="1" x14ac:dyDescent="0.25">
      <c r="HS6666" s="137"/>
      <c r="HT6666" s="137"/>
      <c r="HU6666" s="137"/>
      <c r="HV6666" s="137"/>
      <c r="KI6666" s="137"/>
      <c r="KN6666" s="137"/>
    </row>
    <row r="6667" spans="227:300" customFormat="1" x14ac:dyDescent="0.25">
      <c r="HS6667" s="137"/>
      <c r="HT6667" s="137"/>
      <c r="HU6667" s="137"/>
      <c r="HV6667" s="137"/>
      <c r="KI6667" s="137"/>
      <c r="KN6667" s="137"/>
    </row>
    <row r="6668" spans="227:300" customFormat="1" x14ac:dyDescent="0.25">
      <c r="HS6668" s="137"/>
      <c r="HT6668" s="137"/>
      <c r="HU6668" s="137"/>
      <c r="HV6668" s="137"/>
      <c r="KI6668" s="137"/>
      <c r="KN6668" s="137"/>
    </row>
    <row r="6669" spans="227:300" customFormat="1" x14ac:dyDescent="0.25">
      <c r="HS6669" s="137"/>
      <c r="HT6669" s="137"/>
      <c r="HU6669" s="137"/>
      <c r="HV6669" s="137"/>
      <c r="KI6669" s="137"/>
      <c r="KN6669" s="137"/>
    </row>
    <row r="6670" spans="227:300" customFormat="1" x14ac:dyDescent="0.25">
      <c r="HS6670" s="137"/>
      <c r="HT6670" s="137"/>
      <c r="HU6670" s="137"/>
      <c r="HV6670" s="137"/>
      <c r="KI6670" s="137"/>
      <c r="KN6670" s="137"/>
    </row>
    <row r="6671" spans="227:300" customFormat="1" x14ac:dyDescent="0.25">
      <c r="HS6671" s="137"/>
      <c r="HT6671" s="137"/>
      <c r="HU6671" s="137"/>
      <c r="HV6671" s="137"/>
      <c r="KI6671" s="137"/>
      <c r="KN6671" s="137"/>
    </row>
    <row r="6672" spans="227:300" customFormat="1" x14ac:dyDescent="0.25">
      <c r="HS6672" s="137"/>
      <c r="HT6672" s="137"/>
      <c r="HU6672" s="137"/>
      <c r="HV6672" s="137"/>
      <c r="KI6672" s="137"/>
      <c r="KN6672" s="137"/>
    </row>
    <row r="6673" spans="189:336" x14ac:dyDescent="0.25">
      <c r="GG6673"/>
      <c r="GH6673"/>
      <c r="GI6673"/>
      <c r="GK6673"/>
      <c r="GL6673"/>
      <c r="GM6673"/>
      <c r="GN6673"/>
      <c r="LU6673"/>
      <c r="LV6673"/>
      <c r="LW6673"/>
      <c r="LX6673"/>
    </row>
    <row r="6674" spans="189:336" x14ac:dyDescent="0.25">
      <c r="GG6674"/>
      <c r="GH6674"/>
      <c r="GI6674"/>
      <c r="GK6674"/>
      <c r="GL6674"/>
      <c r="GM6674"/>
      <c r="GN6674"/>
      <c r="LU6674"/>
      <c r="LV6674"/>
      <c r="LW6674"/>
      <c r="LX6674"/>
    </row>
    <row r="6675" spans="189:336" x14ac:dyDescent="0.25">
      <c r="GG6675"/>
      <c r="GH6675"/>
      <c r="GI6675"/>
      <c r="GK6675"/>
      <c r="GL6675"/>
      <c r="GM6675"/>
      <c r="GN6675"/>
      <c r="LU6675"/>
      <c r="LV6675"/>
      <c r="LW6675"/>
      <c r="LX6675"/>
    </row>
    <row r="6676" spans="189:336" x14ac:dyDescent="0.25">
      <c r="GG6676"/>
      <c r="GH6676"/>
      <c r="GI6676"/>
      <c r="GK6676"/>
      <c r="GL6676"/>
      <c r="GM6676"/>
      <c r="GN6676"/>
      <c r="LU6676"/>
      <c r="LV6676"/>
      <c r="LW6676"/>
      <c r="LX6676"/>
    </row>
    <row r="6677" spans="189:336" x14ac:dyDescent="0.25">
      <c r="GG6677"/>
      <c r="GH6677"/>
      <c r="GI6677"/>
      <c r="GK6677"/>
      <c r="GL6677"/>
      <c r="GM6677"/>
      <c r="GN6677"/>
      <c r="LU6677"/>
      <c r="LV6677"/>
      <c r="LW6677"/>
      <c r="LX6677"/>
    </row>
    <row r="6678" spans="189:336" x14ac:dyDescent="0.25">
      <c r="GG6678"/>
      <c r="GH6678"/>
      <c r="GI6678"/>
      <c r="GK6678"/>
      <c r="GL6678"/>
      <c r="GM6678"/>
      <c r="GN6678"/>
      <c r="LU6678"/>
      <c r="LV6678"/>
      <c r="LW6678"/>
      <c r="LX6678"/>
    </row>
    <row r="6679" spans="189:336" x14ac:dyDescent="0.25">
      <c r="GG6679"/>
      <c r="GH6679"/>
      <c r="GI6679"/>
      <c r="GK6679"/>
      <c r="GL6679"/>
      <c r="GM6679"/>
      <c r="GN6679"/>
      <c r="LU6679"/>
      <c r="LV6679"/>
      <c r="LW6679"/>
      <c r="LX6679"/>
    </row>
    <row r="6680" spans="189:336" x14ac:dyDescent="0.25">
      <c r="GG6680"/>
      <c r="GH6680"/>
      <c r="GI6680"/>
      <c r="GK6680"/>
      <c r="GL6680"/>
      <c r="GM6680"/>
      <c r="GN6680"/>
      <c r="LU6680"/>
      <c r="LV6680"/>
      <c r="LW6680"/>
      <c r="LX6680"/>
    </row>
    <row r="6681" spans="189:336" x14ac:dyDescent="0.25">
      <c r="GG6681"/>
      <c r="GH6681"/>
      <c r="GI6681"/>
      <c r="GK6681"/>
      <c r="GL6681"/>
      <c r="GM6681"/>
      <c r="GN6681"/>
      <c r="LU6681"/>
      <c r="LV6681"/>
      <c r="LW6681"/>
      <c r="LX6681"/>
    </row>
    <row r="6682" spans="189:336" x14ac:dyDescent="0.25">
      <c r="GG6682"/>
      <c r="GH6682"/>
      <c r="GI6682"/>
      <c r="GK6682"/>
      <c r="GL6682"/>
      <c r="GM6682"/>
      <c r="GN6682"/>
      <c r="LU6682"/>
      <c r="LV6682"/>
      <c r="LW6682"/>
      <c r="LX6682"/>
    </row>
    <row r="6683" spans="189:336" x14ac:dyDescent="0.25">
      <c r="GG6683"/>
      <c r="GH6683"/>
      <c r="GI6683"/>
      <c r="GK6683"/>
      <c r="GL6683"/>
      <c r="GM6683"/>
      <c r="GN6683"/>
      <c r="LU6683"/>
      <c r="LV6683"/>
      <c r="LW6683"/>
      <c r="LX6683"/>
    </row>
    <row r="6684" spans="189:336" x14ac:dyDescent="0.25">
      <c r="GG6684"/>
      <c r="GH6684"/>
      <c r="GI6684"/>
      <c r="GK6684"/>
      <c r="GL6684"/>
      <c r="GM6684"/>
      <c r="GN6684"/>
      <c r="LU6684"/>
      <c r="LV6684"/>
      <c r="LW6684"/>
      <c r="LX6684"/>
    </row>
    <row r="6685" spans="189:336" x14ac:dyDescent="0.25">
      <c r="GG6685"/>
      <c r="GH6685"/>
      <c r="GI6685"/>
      <c r="GK6685"/>
      <c r="GL6685"/>
      <c r="GM6685"/>
      <c r="GN6685"/>
      <c r="LU6685"/>
      <c r="LV6685"/>
      <c r="LW6685"/>
      <c r="LX6685"/>
    </row>
    <row r="6686" spans="189:336" x14ac:dyDescent="0.25">
      <c r="GG6686"/>
      <c r="GH6686"/>
      <c r="GI6686"/>
      <c r="GK6686"/>
      <c r="GL6686"/>
      <c r="GM6686"/>
      <c r="GN6686"/>
    </row>
    <row r="6687" spans="189:336" x14ac:dyDescent="0.25">
      <c r="GG6687"/>
      <c r="GH6687"/>
      <c r="GI6687"/>
      <c r="GK6687"/>
      <c r="GL6687"/>
      <c r="GM6687"/>
      <c r="GN6687"/>
    </row>
    <row r="6688" spans="189:336" x14ac:dyDescent="0.25">
      <c r="GG6688"/>
      <c r="GH6688"/>
      <c r="GI6688"/>
      <c r="GK6688"/>
      <c r="GL6688"/>
      <c r="GM6688"/>
      <c r="GN6688"/>
    </row>
    <row r="6689" spans="189:196" x14ac:dyDescent="0.25">
      <c r="GG6689"/>
      <c r="GH6689"/>
      <c r="GI6689"/>
      <c r="GK6689"/>
      <c r="GL6689"/>
      <c r="GM6689"/>
      <c r="GN6689"/>
    </row>
    <row r="6690" spans="189:196" x14ac:dyDescent="0.25">
      <c r="GG6690"/>
      <c r="GH6690"/>
      <c r="GI6690"/>
      <c r="GK6690"/>
      <c r="GL6690"/>
      <c r="GM6690"/>
      <c r="GN6690"/>
    </row>
    <row r="6691" spans="189:196" x14ac:dyDescent="0.25">
      <c r="GG6691"/>
      <c r="GH6691"/>
      <c r="GI6691"/>
      <c r="GK6691"/>
      <c r="GL6691"/>
      <c r="GM6691"/>
      <c r="GN6691"/>
    </row>
    <row r="6692" spans="189:196" x14ac:dyDescent="0.25">
      <c r="GG6692"/>
      <c r="GH6692"/>
      <c r="GI6692"/>
      <c r="GK6692"/>
      <c r="GL6692"/>
      <c r="GM6692"/>
      <c r="GN6692"/>
    </row>
    <row r="6693" spans="189:196" x14ac:dyDescent="0.25">
      <c r="GG6693"/>
      <c r="GH6693"/>
      <c r="GI6693"/>
      <c r="GK6693"/>
      <c r="GL6693"/>
      <c r="GM6693"/>
      <c r="GN6693"/>
    </row>
    <row r="6694" spans="189:196" x14ac:dyDescent="0.25">
      <c r="GG6694"/>
      <c r="GH6694"/>
      <c r="GI6694"/>
      <c r="GK6694"/>
      <c r="GL6694"/>
      <c r="GM6694"/>
      <c r="GN6694"/>
    </row>
    <row r="6695" spans="189:196" x14ac:dyDescent="0.25">
      <c r="GG6695"/>
      <c r="GH6695"/>
      <c r="GI6695"/>
      <c r="GK6695"/>
      <c r="GL6695"/>
      <c r="GM6695"/>
      <c r="GN6695"/>
    </row>
    <row r="6696" spans="189:196" x14ac:dyDescent="0.25">
      <c r="GG6696"/>
      <c r="GH6696"/>
      <c r="GI6696"/>
      <c r="GK6696"/>
      <c r="GL6696"/>
      <c r="GM6696"/>
      <c r="GN6696"/>
    </row>
    <row r="6697" spans="189:196" x14ac:dyDescent="0.25">
      <c r="GG6697"/>
      <c r="GH6697"/>
      <c r="GI6697"/>
      <c r="GK6697"/>
      <c r="GL6697"/>
      <c r="GM6697"/>
      <c r="GN6697"/>
    </row>
    <row r="6698" spans="189:196" x14ac:dyDescent="0.25">
      <c r="GG6698"/>
      <c r="GH6698"/>
      <c r="GI6698"/>
      <c r="GK6698"/>
      <c r="GL6698"/>
      <c r="GM6698"/>
      <c r="GN6698"/>
    </row>
    <row r="6699" spans="189:196" x14ac:dyDescent="0.25">
      <c r="GG6699"/>
      <c r="GH6699"/>
      <c r="GI6699"/>
      <c r="GK6699"/>
      <c r="GL6699"/>
      <c r="GM6699"/>
      <c r="GN6699"/>
    </row>
    <row r="6700" spans="189:196" x14ac:dyDescent="0.25">
      <c r="GG6700"/>
      <c r="GH6700"/>
      <c r="GI6700"/>
      <c r="GK6700"/>
      <c r="GL6700"/>
      <c r="GM6700"/>
      <c r="GN6700"/>
    </row>
    <row r="6701" spans="189:196" x14ac:dyDescent="0.25">
      <c r="GG6701"/>
      <c r="GH6701"/>
      <c r="GI6701"/>
      <c r="GK6701"/>
      <c r="GL6701"/>
      <c r="GM6701"/>
      <c r="GN6701"/>
    </row>
    <row r="6702" spans="189:196" x14ac:dyDescent="0.25">
      <c r="GG6702"/>
      <c r="GH6702"/>
      <c r="GI6702"/>
      <c r="GK6702"/>
      <c r="GL6702"/>
      <c r="GM6702"/>
      <c r="GN6702"/>
    </row>
    <row r="6703" spans="189:196" x14ac:dyDescent="0.25">
      <c r="GG6703"/>
      <c r="GH6703"/>
      <c r="GI6703"/>
      <c r="GK6703"/>
      <c r="GL6703"/>
      <c r="GM6703"/>
      <c r="GN6703"/>
    </row>
    <row r="6704" spans="189:196" x14ac:dyDescent="0.25">
      <c r="GG6704"/>
      <c r="GH6704"/>
      <c r="GI6704"/>
      <c r="GK6704"/>
      <c r="GL6704"/>
      <c r="GM6704"/>
      <c r="GN6704"/>
    </row>
    <row r="6705" spans="189:196" x14ac:dyDescent="0.25">
      <c r="GG6705"/>
      <c r="GH6705"/>
      <c r="GI6705"/>
      <c r="GK6705"/>
      <c r="GL6705"/>
      <c r="GM6705"/>
      <c r="GN6705"/>
    </row>
    <row r="6706" spans="189:196" x14ac:dyDescent="0.25">
      <c r="GG6706"/>
      <c r="GH6706"/>
      <c r="GI6706"/>
      <c r="GK6706"/>
      <c r="GL6706"/>
      <c r="GM6706"/>
      <c r="GN6706"/>
    </row>
    <row r="6707" spans="189:196" x14ac:dyDescent="0.25">
      <c r="GG6707"/>
      <c r="GH6707"/>
      <c r="GI6707"/>
      <c r="GK6707"/>
      <c r="GL6707"/>
      <c r="GM6707"/>
      <c r="GN6707"/>
    </row>
    <row r="6708" spans="189:196" x14ac:dyDescent="0.25">
      <c r="GG6708"/>
      <c r="GH6708"/>
      <c r="GI6708"/>
      <c r="GK6708"/>
      <c r="GL6708"/>
      <c r="GM6708"/>
      <c r="GN6708"/>
    </row>
    <row r="6709" spans="189:196" x14ac:dyDescent="0.25">
      <c r="GG6709"/>
      <c r="GH6709"/>
      <c r="GI6709"/>
      <c r="GK6709"/>
      <c r="GL6709"/>
      <c r="GM6709"/>
      <c r="GN6709"/>
    </row>
    <row r="6710" spans="189:196" x14ac:dyDescent="0.25">
      <c r="GG6710"/>
      <c r="GH6710"/>
      <c r="GI6710"/>
      <c r="GK6710"/>
      <c r="GL6710"/>
      <c r="GM6710"/>
      <c r="GN6710"/>
    </row>
    <row r="6711" spans="189:196" x14ac:dyDescent="0.25">
      <c r="GG6711"/>
      <c r="GH6711"/>
      <c r="GI6711"/>
      <c r="GK6711"/>
      <c r="GL6711"/>
      <c r="GM6711"/>
      <c r="GN6711"/>
    </row>
    <row r="6712" spans="189:196" x14ac:dyDescent="0.25">
      <c r="GG6712"/>
      <c r="GH6712"/>
      <c r="GI6712"/>
      <c r="GK6712"/>
      <c r="GL6712"/>
      <c r="GM6712"/>
      <c r="GN6712"/>
    </row>
    <row r="6713" spans="189:196" x14ac:dyDescent="0.25">
      <c r="GG6713"/>
      <c r="GH6713"/>
      <c r="GI6713"/>
      <c r="GK6713"/>
      <c r="GL6713"/>
      <c r="GM6713"/>
      <c r="GN6713"/>
    </row>
    <row r="6714" spans="189:196" x14ac:dyDescent="0.25">
      <c r="GG6714"/>
      <c r="GH6714"/>
      <c r="GI6714"/>
      <c r="GK6714"/>
      <c r="GL6714"/>
      <c r="GM6714"/>
      <c r="GN6714"/>
    </row>
    <row r="6715" spans="189:196" x14ac:dyDescent="0.25">
      <c r="GG6715"/>
      <c r="GH6715"/>
      <c r="GI6715"/>
      <c r="GK6715"/>
      <c r="GL6715"/>
      <c r="GM6715"/>
      <c r="GN6715"/>
    </row>
    <row r="6716" spans="189:196" x14ac:dyDescent="0.25">
      <c r="GG6716"/>
      <c r="GH6716"/>
      <c r="GI6716"/>
      <c r="GK6716"/>
      <c r="GL6716"/>
      <c r="GM6716"/>
      <c r="GN6716"/>
    </row>
    <row r="6717" spans="189:196" x14ac:dyDescent="0.25">
      <c r="GG6717"/>
      <c r="GH6717"/>
      <c r="GI6717"/>
      <c r="GK6717"/>
      <c r="GL6717"/>
      <c r="GM6717"/>
      <c r="GN6717"/>
    </row>
    <row r="6718" spans="189:196" x14ac:dyDescent="0.25">
      <c r="GG6718"/>
      <c r="GH6718"/>
      <c r="GI6718"/>
      <c r="GK6718"/>
      <c r="GL6718"/>
      <c r="GM6718"/>
      <c r="GN6718"/>
    </row>
    <row r="6719" spans="189:196" x14ac:dyDescent="0.25">
      <c r="GG6719"/>
      <c r="GH6719"/>
      <c r="GI6719"/>
      <c r="GK6719"/>
      <c r="GL6719"/>
      <c r="GM6719"/>
      <c r="GN6719"/>
    </row>
    <row r="6720" spans="189:196" x14ac:dyDescent="0.25">
      <c r="GG6720"/>
      <c r="GH6720"/>
      <c r="GI6720"/>
      <c r="GK6720"/>
      <c r="GL6720"/>
      <c r="GM6720"/>
      <c r="GN6720"/>
    </row>
    <row r="6721" spans="189:196" x14ac:dyDescent="0.25">
      <c r="GG6721"/>
      <c r="GH6721"/>
      <c r="GI6721"/>
      <c r="GK6721"/>
      <c r="GL6721"/>
      <c r="GM6721"/>
      <c r="GN6721"/>
    </row>
    <row r="6722" spans="189:196" x14ac:dyDescent="0.25">
      <c r="GG6722"/>
      <c r="GH6722"/>
      <c r="GI6722"/>
      <c r="GK6722"/>
      <c r="GL6722"/>
      <c r="GM6722"/>
      <c r="GN6722"/>
    </row>
    <row r="6723" spans="189:196" x14ac:dyDescent="0.25">
      <c r="GG6723"/>
      <c r="GH6723"/>
      <c r="GI6723"/>
      <c r="GK6723"/>
      <c r="GL6723"/>
      <c r="GM6723"/>
      <c r="GN6723"/>
    </row>
    <row r="6724" spans="189:196" x14ac:dyDescent="0.25">
      <c r="GG6724"/>
      <c r="GH6724"/>
      <c r="GI6724"/>
      <c r="GK6724"/>
      <c r="GL6724"/>
      <c r="GM6724"/>
      <c r="GN6724"/>
    </row>
    <row r="6725" spans="189:196" x14ac:dyDescent="0.25">
      <c r="GG6725"/>
      <c r="GH6725"/>
      <c r="GI6725"/>
      <c r="GK6725"/>
      <c r="GL6725"/>
      <c r="GM6725"/>
      <c r="GN6725"/>
    </row>
    <row r="6726" spans="189:196" x14ac:dyDescent="0.25">
      <c r="GG6726"/>
      <c r="GH6726"/>
      <c r="GI6726"/>
      <c r="GK6726"/>
      <c r="GL6726"/>
      <c r="GM6726"/>
      <c r="GN6726"/>
    </row>
    <row r="6727" spans="189:196" x14ac:dyDescent="0.25">
      <c r="GG6727"/>
      <c r="GH6727"/>
      <c r="GI6727"/>
      <c r="GK6727"/>
      <c r="GL6727"/>
      <c r="GM6727"/>
      <c r="GN6727"/>
    </row>
    <row r="6728" spans="189:196" x14ac:dyDescent="0.25">
      <c r="GG6728"/>
      <c r="GH6728"/>
      <c r="GI6728"/>
      <c r="GK6728"/>
      <c r="GL6728"/>
      <c r="GM6728"/>
      <c r="GN6728"/>
    </row>
    <row r="6729" spans="189:196" x14ac:dyDescent="0.25">
      <c r="GG6729"/>
      <c r="GH6729"/>
      <c r="GI6729"/>
      <c r="GK6729"/>
      <c r="GL6729"/>
      <c r="GM6729"/>
      <c r="GN6729"/>
    </row>
    <row r="6730" spans="189:196" x14ac:dyDescent="0.25">
      <c r="GG6730"/>
      <c r="GH6730"/>
      <c r="GI6730"/>
      <c r="GK6730"/>
      <c r="GL6730"/>
      <c r="GM6730"/>
      <c r="GN6730"/>
    </row>
    <row r="6731" spans="189:196" x14ac:dyDescent="0.25">
      <c r="GG6731"/>
      <c r="GH6731"/>
      <c r="GI6731"/>
      <c r="GK6731"/>
      <c r="GL6731"/>
      <c r="GM6731"/>
      <c r="GN6731"/>
    </row>
    <row r="6732" spans="189:196" x14ac:dyDescent="0.25">
      <c r="GG6732"/>
      <c r="GH6732"/>
      <c r="GI6732"/>
      <c r="GK6732"/>
      <c r="GL6732"/>
      <c r="GM6732"/>
      <c r="GN6732"/>
    </row>
    <row r="6733" spans="189:196" x14ac:dyDescent="0.25">
      <c r="GG6733"/>
      <c r="GH6733"/>
      <c r="GI6733"/>
      <c r="GK6733"/>
      <c r="GL6733"/>
      <c r="GM6733"/>
      <c r="GN6733"/>
    </row>
    <row r="6734" spans="189:196" x14ac:dyDescent="0.25">
      <c r="GG6734"/>
      <c r="GH6734"/>
      <c r="GI6734"/>
      <c r="GK6734"/>
      <c r="GL6734"/>
      <c r="GM6734"/>
      <c r="GN6734"/>
    </row>
    <row r="6735" spans="189:196" x14ac:dyDescent="0.25">
      <c r="GG6735"/>
      <c r="GH6735"/>
      <c r="GI6735"/>
      <c r="GK6735"/>
      <c r="GL6735"/>
      <c r="GM6735"/>
      <c r="GN6735"/>
    </row>
    <row r="6736" spans="189:196" x14ac:dyDescent="0.25">
      <c r="GG6736"/>
      <c r="GH6736"/>
      <c r="GI6736"/>
      <c r="GK6736"/>
      <c r="GL6736"/>
      <c r="GM6736"/>
      <c r="GN6736"/>
    </row>
    <row r="6737" spans="189:196" x14ac:dyDescent="0.25">
      <c r="GG6737"/>
      <c r="GH6737"/>
      <c r="GI6737"/>
      <c r="GK6737"/>
      <c r="GL6737"/>
      <c r="GM6737"/>
      <c r="GN6737"/>
    </row>
    <row r="6738" spans="189:196" x14ac:dyDescent="0.25">
      <c r="GG6738"/>
      <c r="GH6738"/>
      <c r="GI6738"/>
      <c r="GK6738"/>
      <c r="GL6738"/>
      <c r="GM6738"/>
      <c r="GN6738"/>
    </row>
    <row r="6739" spans="189:196" x14ac:dyDescent="0.25">
      <c r="GG6739"/>
      <c r="GH6739"/>
      <c r="GI6739"/>
      <c r="GK6739"/>
      <c r="GL6739"/>
      <c r="GM6739"/>
      <c r="GN6739"/>
    </row>
    <row r="6740" spans="189:196" x14ac:dyDescent="0.25">
      <c r="GG6740"/>
      <c r="GH6740"/>
      <c r="GI6740"/>
      <c r="GK6740"/>
      <c r="GL6740"/>
      <c r="GM6740"/>
      <c r="GN6740"/>
    </row>
    <row r="6741" spans="189:196" x14ac:dyDescent="0.25">
      <c r="GG6741"/>
      <c r="GH6741"/>
      <c r="GI6741"/>
      <c r="GK6741"/>
      <c r="GL6741"/>
      <c r="GM6741"/>
      <c r="GN6741"/>
    </row>
    <row r="6742" spans="189:196" x14ac:dyDescent="0.25">
      <c r="GG6742"/>
      <c r="GH6742"/>
      <c r="GI6742"/>
      <c r="GK6742"/>
      <c r="GL6742"/>
      <c r="GM6742"/>
      <c r="GN6742"/>
    </row>
    <row r="6743" spans="189:196" x14ac:dyDescent="0.25">
      <c r="GG6743"/>
      <c r="GH6743"/>
      <c r="GI6743"/>
      <c r="GK6743"/>
      <c r="GL6743"/>
      <c r="GM6743"/>
      <c r="GN6743"/>
    </row>
    <row r="6744" spans="189:196" x14ac:dyDescent="0.25">
      <c r="GG6744"/>
      <c r="GH6744"/>
      <c r="GI6744"/>
      <c r="GK6744"/>
      <c r="GL6744"/>
      <c r="GM6744"/>
      <c r="GN6744"/>
    </row>
    <row r="6745" spans="189:196" x14ac:dyDescent="0.25">
      <c r="GG6745"/>
      <c r="GH6745"/>
      <c r="GI6745"/>
      <c r="GK6745"/>
      <c r="GL6745"/>
      <c r="GM6745"/>
      <c r="GN6745"/>
    </row>
    <row r="6746" spans="189:196" x14ac:dyDescent="0.25">
      <c r="GG6746"/>
      <c r="GH6746"/>
      <c r="GI6746"/>
      <c r="GK6746"/>
      <c r="GL6746"/>
      <c r="GM6746"/>
      <c r="GN6746"/>
    </row>
    <row r="6747" spans="189:196" x14ac:dyDescent="0.25">
      <c r="GG6747"/>
      <c r="GH6747"/>
      <c r="GI6747"/>
      <c r="GK6747"/>
      <c r="GL6747"/>
      <c r="GM6747"/>
      <c r="GN6747"/>
    </row>
    <row r="6748" spans="189:196" x14ac:dyDescent="0.25">
      <c r="GG6748"/>
      <c r="GH6748"/>
      <c r="GI6748"/>
      <c r="GK6748"/>
      <c r="GL6748"/>
      <c r="GM6748"/>
      <c r="GN6748"/>
    </row>
    <row r="6749" spans="189:196" x14ac:dyDescent="0.25">
      <c r="GG6749"/>
      <c r="GH6749"/>
      <c r="GI6749"/>
      <c r="GK6749"/>
      <c r="GL6749"/>
      <c r="GM6749"/>
      <c r="GN6749"/>
    </row>
    <row r="6750" spans="189:196" x14ac:dyDescent="0.25">
      <c r="GG6750"/>
      <c r="GH6750"/>
      <c r="GI6750"/>
      <c r="GK6750"/>
      <c r="GL6750"/>
      <c r="GM6750"/>
      <c r="GN6750"/>
    </row>
    <row r="6751" spans="189:196" x14ac:dyDescent="0.25">
      <c r="GG6751"/>
      <c r="GH6751"/>
      <c r="GI6751"/>
      <c r="GK6751"/>
      <c r="GL6751"/>
      <c r="GM6751"/>
      <c r="GN6751"/>
    </row>
    <row r="6752" spans="189:196" x14ac:dyDescent="0.25">
      <c r="GG6752"/>
      <c r="GH6752"/>
      <c r="GI6752"/>
      <c r="GK6752"/>
      <c r="GL6752"/>
      <c r="GM6752"/>
      <c r="GN6752"/>
    </row>
    <row r="6753" spans="189:196" x14ac:dyDescent="0.25">
      <c r="GG6753"/>
      <c r="GH6753"/>
      <c r="GI6753"/>
      <c r="GK6753"/>
      <c r="GL6753"/>
      <c r="GM6753"/>
      <c r="GN6753"/>
    </row>
    <row r="6754" spans="189:196" x14ac:dyDescent="0.25">
      <c r="GG6754"/>
      <c r="GH6754"/>
      <c r="GI6754"/>
      <c r="GK6754"/>
      <c r="GL6754"/>
      <c r="GM6754"/>
      <c r="GN6754"/>
    </row>
    <row r="6755" spans="189:196" x14ac:dyDescent="0.25">
      <c r="GG6755"/>
      <c r="GH6755"/>
      <c r="GI6755"/>
      <c r="GK6755"/>
      <c r="GL6755"/>
      <c r="GM6755"/>
      <c r="GN6755"/>
    </row>
    <row r="6756" spans="189:196" x14ac:dyDescent="0.25">
      <c r="GG6756"/>
      <c r="GH6756"/>
      <c r="GI6756"/>
      <c r="GK6756"/>
      <c r="GL6756"/>
      <c r="GM6756"/>
      <c r="GN6756"/>
    </row>
    <row r="6757" spans="189:196" x14ac:dyDescent="0.25">
      <c r="GG6757"/>
      <c r="GH6757"/>
      <c r="GI6757"/>
      <c r="GK6757"/>
      <c r="GL6757"/>
      <c r="GM6757"/>
      <c r="GN6757"/>
    </row>
    <row r="6758" spans="189:196" x14ac:dyDescent="0.25">
      <c r="GG6758"/>
      <c r="GH6758"/>
      <c r="GI6758"/>
      <c r="GK6758"/>
      <c r="GL6758"/>
      <c r="GM6758"/>
      <c r="GN6758"/>
    </row>
    <row r="6759" spans="189:196" x14ac:dyDescent="0.25">
      <c r="GG6759"/>
      <c r="GH6759"/>
      <c r="GI6759"/>
      <c r="GK6759"/>
      <c r="GL6759"/>
      <c r="GM6759"/>
      <c r="GN6759"/>
    </row>
    <row r="6760" spans="189:196" x14ac:dyDescent="0.25">
      <c r="GG6760"/>
      <c r="GH6760"/>
      <c r="GI6760"/>
      <c r="GK6760"/>
      <c r="GL6760"/>
      <c r="GM6760"/>
      <c r="GN6760"/>
    </row>
    <row r="6761" spans="189:196" x14ac:dyDescent="0.25">
      <c r="GG6761"/>
      <c r="GH6761"/>
      <c r="GI6761"/>
      <c r="GK6761"/>
      <c r="GL6761"/>
      <c r="GM6761"/>
      <c r="GN6761"/>
    </row>
    <row r="6762" spans="189:196" x14ac:dyDescent="0.25">
      <c r="GG6762"/>
      <c r="GH6762"/>
      <c r="GI6762"/>
      <c r="GK6762"/>
      <c r="GL6762"/>
      <c r="GM6762"/>
      <c r="GN6762"/>
    </row>
    <row r="6763" spans="189:196" x14ac:dyDescent="0.25">
      <c r="GG6763"/>
      <c r="GH6763"/>
      <c r="GI6763"/>
      <c r="GK6763"/>
      <c r="GL6763"/>
      <c r="GM6763"/>
      <c r="GN6763"/>
    </row>
    <row r="6764" spans="189:196" x14ac:dyDescent="0.25">
      <c r="GG6764"/>
      <c r="GH6764"/>
      <c r="GI6764"/>
      <c r="GK6764"/>
      <c r="GL6764"/>
      <c r="GM6764"/>
      <c r="GN6764"/>
    </row>
    <row r="6765" spans="189:196" x14ac:dyDescent="0.25">
      <c r="GG6765"/>
      <c r="GH6765"/>
      <c r="GI6765"/>
      <c r="GK6765"/>
      <c r="GL6765"/>
      <c r="GM6765"/>
      <c r="GN6765"/>
    </row>
    <row r="6766" spans="189:196" x14ac:dyDescent="0.25">
      <c r="GG6766"/>
      <c r="GH6766"/>
      <c r="GI6766"/>
      <c r="GK6766"/>
      <c r="GL6766"/>
      <c r="GM6766"/>
      <c r="GN6766"/>
    </row>
    <row r="6767" spans="189:196" x14ac:dyDescent="0.25">
      <c r="GG6767"/>
      <c r="GH6767"/>
      <c r="GI6767"/>
      <c r="GK6767"/>
      <c r="GL6767"/>
      <c r="GM6767"/>
      <c r="GN6767"/>
    </row>
    <row r="6768" spans="189:196" x14ac:dyDescent="0.25">
      <c r="GG6768"/>
      <c r="GH6768"/>
      <c r="GI6768"/>
      <c r="GK6768"/>
      <c r="GL6768"/>
      <c r="GM6768"/>
      <c r="GN6768"/>
    </row>
    <row r="6769" spans="189:196" x14ac:dyDescent="0.25">
      <c r="GG6769"/>
      <c r="GH6769"/>
      <c r="GI6769"/>
      <c r="GK6769"/>
      <c r="GL6769"/>
      <c r="GM6769"/>
      <c r="GN6769"/>
    </row>
    <row r="6770" spans="189:196" x14ac:dyDescent="0.25">
      <c r="GG6770"/>
      <c r="GH6770"/>
      <c r="GI6770"/>
      <c r="GK6770"/>
      <c r="GL6770"/>
      <c r="GM6770"/>
      <c r="GN6770"/>
    </row>
    <row r="6771" spans="189:196" x14ac:dyDescent="0.25">
      <c r="GG6771"/>
      <c r="GH6771"/>
      <c r="GI6771"/>
      <c r="GK6771"/>
      <c r="GL6771"/>
      <c r="GM6771"/>
      <c r="GN6771"/>
    </row>
    <row r="6772" spans="189:196" x14ac:dyDescent="0.25">
      <c r="GG6772"/>
      <c r="GH6772"/>
      <c r="GI6772"/>
      <c r="GK6772"/>
      <c r="GL6772"/>
      <c r="GM6772"/>
      <c r="GN6772"/>
    </row>
    <row r="6773" spans="189:196" x14ac:dyDescent="0.25">
      <c r="GG6773"/>
      <c r="GH6773"/>
      <c r="GI6773"/>
      <c r="GK6773"/>
      <c r="GL6773"/>
      <c r="GM6773"/>
      <c r="GN6773"/>
    </row>
    <row r="6774" spans="189:196" x14ac:dyDescent="0.25">
      <c r="GG6774"/>
      <c r="GH6774"/>
      <c r="GI6774"/>
      <c r="GK6774"/>
      <c r="GL6774"/>
      <c r="GM6774"/>
      <c r="GN6774"/>
    </row>
    <row r="6775" spans="189:196" x14ac:dyDescent="0.25">
      <c r="GG6775"/>
      <c r="GH6775"/>
      <c r="GI6775"/>
      <c r="GK6775"/>
      <c r="GL6775"/>
      <c r="GM6775"/>
      <c r="GN6775"/>
    </row>
    <row r="6776" spans="189:196" x14ac:dyDescent="0.25">
      <c r="GG6776"/>
      <c r="GH6776"/>
      <c r="GI6776"/>
      <c r="GK6776"/>
      <c r="GL6776"/>
      <c r="GM6776"/>
      <c r="GN6776"/>
    </row>
    <row r="6777" spans="189:196" x14ac:dyDescent="0.25">
      <c r="GG6777"/>
      <c r="GH6777"/>
      <c r="GI6777"/>
      <c r="GK6777"/>
      <c r="GL6777"/>
      <c r="GM6777"/>
      <c r="GN6777"/>
    </row>
    <row r="6778" spans="189:196" x14ac:dyDescent="0.25">
      <c r="GG6778"/>
      <c r="GH6778"/>
      <c r="GI6778"/>
      <c r="GK6778"/>
      <c r="GL6778"/>
      <c r="GM6778"/>
      <c r="GN6778"/>
    </row>
    <row r="6779" spans="189:196" x14ac:dyDescent="0.25">
      <c r="GG6779"/>
      <c r="GH6779"/>
      <c r="GI6779"/>
      <c r="GK6779"/>
      <c r="GL6779"/>
      <c r="GM6779"/>
      <c r="GN6779"/>
    </row>
    <row r="6780" spans="189:196" x14ac:dyDescent="0.25">
      <c r="GG6780"/>
      <c r="GH6780"/>
      <c r="GI6780"/>
      <c r="GK6780"/>
      <c r="GL6780"/>
      <c r="GM6780"/>
      <c r="GN6780"/>
    </row>
    <row r="6781" spans="189:196" x14ac:dyDescent="0.25">
      <c r="GG6781"/>
      <c r="GH6781"/>
      <c r="GI6781"/>
      <c r="GK6781"/>
      <c r="GL6781"/>
      <c r="GM6781"/>
      <c r="GN6781"/>
    </row>
    <row r="6782" spans="189:196" x14ac:dyDescent="0.25">
      <c r="GG6782"/>
      <c r="GH6782"/>
      <c r="GI6782"/>
      <c r="GK6782"/>
      <c r="GL6782"/>
      <c r="GM6782"/>
      <c r="GN6782"/>
    </row>
    <row r="6783" spans="189:196" x14ac:dyDescent="0.25">
      <c r="GG6783"/>
      <c r="GH6783"/>
      <c r="GI6783"/>
      <c r="GK6783"/>
      <c r="GL6783"/>
      <c r="GM6783"/>
      <c r="GN6783"/>
    </row>
    <row r="6784" spans="189:196" x14ac:dyDescent="0.25">
      <c r="GG6784"/>
      <c r="GH6784"/>
      <c r="GI6784"/>
      <c r="GK6784"/>
      <c r="GL6784"/>
      <c r="GM6784"/>
      <c r="GN6784"/>
    </row>
    <row r="6785" spans="189:196" x14ac:dyDescent="0.25">
      <c r="GG6785"/>
      <c r="GH6785"/>
      <c r="GI6785"/>
      <c r="GK6785"/>
      <c r="GL6785"/>
      <c r="GM6785"/>
      <c r="GN6785"/>
    </row>
    <row r="6786" spans="189:196" x14ac:dyDescent="0.25">
      <c r="GG6786"/>
      <c r="GH6786"/>
      <c r="GI6786"/>
      <c r="GK6786"/>
      <c r="GL6786"/>
      <c r="GM6786"/>
      <c r="GN6786"/>
    </row>
    <row r="6787" spans="189:196" x14ac:dyDescent="0.25">
      <c r="GG6787"/>
      <c r="GH6787"/>
      <c r="GI6787"/>
      <c r="GK6787"/>
      <c r="GL6787"/>
      <c r="GM6787"/>
      <c r="GN6787"/>
    </row>
    <row r="6788" spans="189:196" x14ac:dyDescent="0.25">
      <c r="GG6788"/>
      <c r="GH6788"/>
      <c r="GI6788"/>
      <c r="GK6788"/>
      <c r="GL6788"/>
      <c r="GM6788"/>
      <c r="GN6788"/>
    </row>
    <row r="6789" spans="189:196" x14ac:dyDescent="0.25">
      <c r="GG6789"/>
      <c r="GH6789"/>
      <c r="GI6789"/>
      <c r="GK6789"/>
      <c r="GL6789"/>
      <c r="GM6789"/>
      <c r="GN6789"/>
    </row>
    <row r="6790" spans="189:196" x14ac:dyDescent="0.25">
      <c r="GG6790"/>
      <c r="GH6790"/>
      <c r="GI6790"/>
      <c r="GK6790"/>
      <c r="GL6790"/>
      <c r="GM6790"/>
      <c r="GN6790"/>
    </row>
    <row r="6791" spans="189:196" x14ac:dyDescent="0.25">
      <c r="GG6791"/>
      <c r="GH6791"/>
      <c r="GI6791"/>
      <c r="GK6791"/>
      <c r="GL6791"/>
      <c r="GM6791"/>
      <c r="GN6791"/>
    </row>
    <row r="6792" spans="189:196" x14ac:dyDescent="0.25">
      <c r="GG6792"/>
      <c r="GH6792"/>
      <c r="GI6792"/>
      <c r="GK6792"/>
      <c r="GL6792"/>
      <c r="GM6792"/>
      <c r="GN6792"/>
    </row>
    <row r="6793" spans="189:196" x14ac:dyDescent="0.25">
      <c r="GG6793"/>
      <c r="GH6793"/>
      <c r="GI6793"/>
      <c r="GK6793"/>
      <c r="GL6793"/>
      <c r="GM6793"/>
      <c r="GN6793"/>
    </row>
    <row r="6794" spans="189:196" x14ac:dyDescent="0.25">
      <c r="GG6794"/>
      <c r="GH6794"/>
      <c r="GI6794"/>
      <c r="GK6794"/>
      <c r="GL6794"/>
      <c r="GM6794"/>
      <c r="GN6794"/>
    </row>
    <row r="6795" spans="189:196" x14ac:dyDescent="0.25">
      <c r="GG6795"/>
      <c r="GH6795"/>
      <c r="GI6795"/>
      <c r="GK6795"/>
      <c r="GL6795"/>
      <c r="GM6795"/>
      <c r="GN6795"/>
    </row>
    <row r="6796" spans="189:196" x14ac:dyDescent="0.25">
      <c r="GG6796"/>
      <c r="GH6796"/>
      <c r="GI6796"/>
      <c r="GK6796"/>
      <c r="GL6796"/>
      <c r="GM6796"/>
      <c r="GN6796"/>
    </row>
    <row r="6797" spans="189:196" x14ac:dyDescent="0.25">
      <c r="GG6797"/>
      <c r="GH6797"/>
      <c r="GI6797"/>
      <c r="GK6797"/>
      <c r="GL6797"/>
      <c r="GM6797"/>
      <c r="GN6797"/>
    </row>
    <row r="6798" spans="189:196" x14ac:dyDescent="0.25">
      <c r="GG6798"/>
      <c r="GH6798"/>
      <c r="GI6798"/>
      <c r="GK6798"/>
      <c r="GL6798"/>
      <c r="GM6798"/>
      <c r="GN6798"/>
    </row>
    <row r="6799" spans="189:196" x14ac:dyDescent="0.25">
      <c r="GG6799"/>
      <c r="GH6799"/>
      <c r="GI6799"/>
      <c r="GK6799"/>
      <c r="GL6799"/>
      <c r="GM6799"/>
      <c r="GN6799"/>
    </row>
    <row r="6800" spans="189:196" x14ac:dyDescent="0.25">
      <c r="GG6800"/>
      <c r="GH6800"/>
      <c r="GI6800"/>
      <c r="GK6800"/>
      <c r="GL6800"/>
      <c r="GM6800"/>
      <c r="GN6800"/>
    </row>
    <row r="6801" spans="189:196" x14ac:dyDescent="0.25">
      <c r="GG6801"/>
      <c r="GH6801"/>
      <c r="GI6801"/>
      <c r="GK6801"/>
      <c r="GL6801"/>
      <c r="GM6801"/>
      <c r="GN6801"/>
    </row>
    <row r="6802" spans="189:196" x14ac:dyDescent="0.25">
      <c r="GG6802"/>
      <c r="GH6802"/>
      <c r="GI6802"/>
      <c r="GK6802"/>
      <c r="GL6802"/>
      <c r="GM6802"/>
      <c r="GN6802"/>
    </row>
    <row r="6803" spans="189:196" x14ac:dyDescent="0.25">
      <c r="GG6803"/>
      <c r="GH6803"/>
      <c r="GI6803"/>
      <c r="GK6803"/>
      <c r="GL6803"/>
      <c r="GM6803"/>
      <c r="GN6803"/>
    </row>
    <row r="6804" spans="189:196" x14ac:dyDescent="0.25">
      <c r="GG6804"/>
      <c r="GH6804"/>
      <c r="GI6804"/>
      <c r="GK6804"/>
      <c r="GL6804"/>
      <c r="GM6804"/>
      <c r="GN6804"/>
    </row>
    <row r="6805" spans="189:196" x14ac:dyDescent="0.25">
      <c r="GG6805"/>
      <c r="GH6805"/>
      <c r="GI6805"/>
      <c r="GK6805"/>
      <c r="GL6805"/>
      <c r="GM6805"/>
      <c r="GN6805"/>
    </row>
    <row r="6806" spans="189:196" x14ac:dyDescent="0.25">
      <c r="GG6806"/>
      <c r="GH6806"/>
      <c r="GI6806"/>
      <c r="GK6806"/>
      <c r="GL6806"/>
      <c r="GM6806"/>
      <c r="GN6806"/>
    </row>
    <row r="6807" spans="189:196" x14ac:dyDescent="0.25">
      <c r="GG6807"/>
      <c r="GH6807"/>
      <c r="GI6807"/>
      <c r="GK6807"/>
      <c r="GL6807"/>
      <c r="GM6807"/>
      <c r="GN6807"/>
    </row>
    <row r="6808" spans="189:196" x14ac:dyDescent="0.25">
      <c r="GG6808"/>
      <c r="GH6808"/>
      <c r="GI6808"/>
      <c r="GK6808"/>
      <c r="GL6808"/>
      <c r="GM6808"/>
      <c r="GN6808"/>
    </row>
    <row r="6809" spans="189:196" x14ac:dyDescent="0.25">
      <c r="GG6809"/>
      <c r="GH6809"/>
      <c r="GI6809"/>
      <c r="GK6809"/>
      <c r="GL6809"/>
      <c r="GM6809"/>
      <c r="GN6809"/>
    </row>
    <row r="6810" spans="189:196" x14ac:dyDescent="0.25">
      <c r="GG6810"/>
      <c r="GH6810"/>
      <c r="GI6810"/>
      <c r="GK6810"/>
      <c r="GL6810"/>
      <c r="GM6810"/>
      <c r="GN6810"/>
    </row>
    <row r="6811" spans="189:196" x14ac:dyDescent="0.25">
      <c r="GG6811"/>
      <c r="GH6811"/>
      <c r="GI6811"/>
      <c r="GK6811"/>
      <c r="GL6811"/>
      <c r="GM6811"/>
      <c r="GN6811"/>
    </row>
    <row r="6812" spans="189:196" x14ac:dyDescent="0.25">
      <c r="GG6812"/>
      <c r="GH6812"/>
      <c r="GI6812"/>
      <c r="GK6812"/>
      <c r="GL6812"/>
      <c r="GM6812"/>
      <c r="GN6812"/>
    </row>
    <row r="6813" spans="189:196" x14ac:dyDescent="0.25">
      <c r="GG6813"/>
      <c r="GH6813"/>
      <c r="GI6813"/>
      <c r="GK6813"/>
      <c r="GL6813"/>
      <c r="GM6813"/>
      <c r="GN6813"/>
    </row>
    <row r="6814" spans="189:196" x14ac:dyDescent="0.25">
      <c r="GG6814"/>
      <c r="GH6814"/>
      <c r="GI6814"/>
      <c r="GK6814"/>
      <c r="GL6814"/>
      <c r="GM6814"/>
      <c r="GN6814"/>
    </row>
    <row r="6815" spans="189:196" x14ac:dyDescent="0.25">
      <c r="GG6815"/>
      <c r="GH6815"/>
      <c r="GI6815"/>
      <c r="GK6815"/>
      <c r="GL6815"/>
      <c r="GM6815"/>
      <c r="GN6815"/>
    </row>
    <row r="6816" spans="189:196" x14ac:dyDescent="0.25">
      <c r="GG6816"/>
      <c r="GH6816"/>
      <c r="GI6816"/>
      <c r="GK6816"/>
      <c r="GL6816"/>
      <c r="GM6816"/>
      <c r="GN6816"/>
    </row>
    <row r="6817" spans="189:196" x14ac:dyDescent="0.25">
      <c r="GG6817"/>
      <c r="GH6817"/>
      <c r="GI6817"/>
      <c r="GK6817"/>
      <c r="GL6817"/>
      <c r="GM6817"/>
      <c r="GN6817"/>
    </row>
    <row r="6818" spans="189:196" x14ac:dyDescent="0.25">
      <c r="GG6818"/>
      <c r="GH6818"/>
      <c r="GI6818"/>
      <c r="GK6818"/>
      <c r="GL6818"/>
      <c r="GM6818"/>
      <c r="GN6818"/>
    </row>
    <row r="6819" spans="189:196" x14ac:dyDescent="0.25">
      <c r="GG6819"/>
      <c r="GH6819"/>
      <c r="GI6819"/>
      <c r="GK6819"/>
      <c r="GL6819"/>
      <c r="GM6819"/>
      <c r="GN6819"/>
    </row>
    <row r="6820" spans="189:196" x14ac:dyDescent="0.25">
      <c r="GG6820"/>
      <c r="GH6820"/>
      <c r="GI6820"/>
      <c r="GK6820"/>
      <c r="GL6820"/>
      <c r="GM6820"/>
      <c r="GN6820"/>
    </row>
    <row r="6821" spans="189:196" x14ac:dyDescent="0.25">
      <c r="GG6821"/>
      <c r="GH6821"/>
      <c r="GI6821"/>
      <c r="GK6821"/>
      <c r="GL6821"/>
      <c r="GM6821"/>
      <c r="GN6821"/>
    </row>
    <row r="6822" spans="189:196" x14ac:dyDescent="0.25">
      <c r="GG6822"/>
      <c r="GH6822"/>
      <c r="GI6822"/>
      <c r="GK6822"/>
      <c r="GL6822"/>
      <c r="GM6822"/>
      <c r="GN6822"/>
    </row>
    <row r="6823" spans="189:196" x14ac:dyDescent="0.25">
      <c r="GG6823"/>
      <c r="GH6823"/>
      <c r="GI6823"/>
      <c r="GK6823"/>
      <c r="GL6823"/>
      <c r="GM6823"/>
      <c r="GN6823"/>
    </row>
    <row r="6824" spans="189:196" x14ac:dyDescent="0.25">
      <c r="GG6824"/>
      <c r="GH6824"/>
      <c r="GI6824"/>
      <c r="GK6824"/>
      <c r="GL6824"/>
      <c r="GM6824"/>
      <c r="GN6824"/>
    </row>
    <row r="6825" spans="189:196" x14ac:dyDescent="0.25">
      <c r="GG6825"/>
      <c r="GH6825"/>
      <c r="GI6825"/>
      <c r="GK6825"/>
      <c r="GL6825"/>
      <c r="GM6825"/>
      <c r="GN6825"/>
    </row>
    <row r="6826" spans="189:196" x14ac:dyDescent="0.25">
      <c r="GG6826"/>
      <c r="GH6826"/>
      <c r="GI6826"/>
      <c r="GK6826"/>
      <c r="GL6826"/>
      <c r="GM6826"/>
      <c r="GN6826"/>
    </row>
    <row r="6827" spans="189:196" x14ac:dyDescent="0.25">
      <c r="GG6827"/>
      <c r="GH6827"/>
      <c r="GI6827"/>
      <c r="GK6827"/>
      <c r="GL6827"/>
      <c r="GM6827"/>
      <c r="GN6827"/>
    </row>
    <row r="6828" spans="189:196" x14ac:dyDescent="0.25">
      <c r="GG6828"/>
      <c r="GH6828"/>
      <c r="GI6828"/>
      <c r="GK6828"/>
      <c r="GL6828"/>
      <c r="GM6828"/>
      <c r="GN6828"/>
    </row>
    <row r="6829" spans="189:196" x14ac:dyDescent="0.25">
      <c r="GG6829"/>
      <c r="GH6829"/>
      <c r="GI6829"/>
      <c r="GK6829"/>
      <c r="GL6829"/>
      <c r="GM6829"/>
      <c r="GN6829"/>
    </row>
    <row r="6830" spans="189:196" x14ac:dyDescent="0.25">
      <c r="GG6830"/>
      <c r="GH6830"/>
      <c r="GI6830"/>
      <c r="GK6830"/>
      <c r="GL6830"/>
      <c r="GM6830"/>
      <c r="GN6830"/>
    </row>
    <row r="6831" spans="189:196" x14ac:dyDescent="0.25">
      <c r="GG6831"/>
      <c r="GH6831"/>
      <c r="GI6831"/>
      <c r="GK6831"/>
      <c r="GL6831"/>
      <c r="GM6831"/>
      <c r="GN6831"/>
    </row>
    <row r="6832" spans="189:196" x14ac:dyDescent="0.25">
      <c r="GG6832"/>
      <c r="GH6832"/>
      <c r="GI6832"/>
      <c r="GK6832"/>
      <c r="GL6832"/>
      <c r="GM6832"/>
      <c r="GN6832"/>
    </row>
    <row r="6833" spans="189:196" x14ac:dyDescent="0.25">
      <c r="GG6833"/>
      <c r="GH6833"/>
      <c r="GI6833"/>
      <c r="GK6833"/>
      <c r="GL6833"/>
      <c r="GM6833"/>
      <c r="GN6833"/>
    </row>
    <row r="6834" spans="189:196" x14ac:dyDescent="0.25">
      <c r="GG6834"/>
      <c r="GH6834"/>
      <c r="GI6834"/>
      <c r="GK6834"/>
      <c r="GL6834"/>
      <c r="GM6834"/>
      <c r="GN6834"/>
    </row>
    <row r="6835" spans="189:196" x14ac:dyDescent="0.25">
      <c r="GG6835"/>
      <c r="GH6835"/>
      <c r="GI6835"/>
      <c r="GK6835"/>
      <c r="GL6835"/>
      <c r="GM6835"/>
      <c r="GN6835"/>
    </row>
    <row r="6836" spans="189:196" x14ac:dyDescent="0.25">
      <c r="GG6836"/>
      <c r="GH6836"/>
      <c r="GI6836"/>
      <c r="GK6836"/>
      <c r="GL6836"/>
      <c r="GM6836"/>
      <c r="GN6836"/>
    </row>
    <row r="6837" spans="189:196" x14ac:dyDescent="0.25">
      <c r="GG6837"/>
      <c r="GH6837"/>
      <c r="GI6837"/>
      <c r="GK6837"/>
      <c r="GL6837"/>
      <c r="GM6837"/>
      <c r="GN6837"/>
    </row>
    <row r="6838" spans="189:196" x14ac:dyDescent="0.25">
      <c r="GG6838"/>
      <c r="GH6838"/>
      <c r="GI6838"/>
      <c r="GK6838"/>
      <c r="GL6838"/>
      <c r="GM6838"/>
      <c r="GN6838"/>
    </row>
    <row r="6839" spans="189:196" x14ac:dyDescent="0.25">
      <c r="GG6839"/>
      <c r="GH6839"/>
      <c r="GI6839"/>
      <c r="GK6839"/>
      <c r="GL6839"/>
      <c r="GM6839"/>
      <c r="GN6839"/>
    </row>
    <row r="6840" spans="189:196" x14ac:dyDescent="0.25">
      <c r="GG6840"/>
      <c r="GH6840"/>
      <c r="GI6840"/>
      <c r="GK6840"/>
      <c r="GL6840"/>
      <c r="GM6840"/>
      <c r="GN6840"/>
    </row>
    <row r="6841" spans="189:196" x14ac:dyDescent="0.25">
      <c r="GG6841"/>
      <c r="GH6841"/>
      <c r="GI6841"/>
      <c r="GK6841"/>
      <c r="GL6841"/>
      <c r="GM6841"/>
      <c r="GN6841"/>
    </row>
    <row r="6842" spans="189:196" x14ac:dyDescent="0.25">
      <c r="GG6842"/>
      <c r="GH6842"/>
      <c r="GI6842"/>
      <c r="GK6842"/>
      <c r="GL6842"/>
      <c r="GM6842"/>
      <c r="GN6842"/>
    </row>
    <row r="6843" spans="189:196" x14ac:dyDescent="0.25">
      <c r="GG6843"/>
      <c r="GH6843"/>
      <c r="GI6843"/>
      <c r="GK6843"/>
      <c r="GL6843"/>
      <c r="GM6843"/>
      <c r="GN6843"/>
    </row>
    <row r="6844" spans="189:196" x14ac:dyDescent="0.25">
      <c r="GG6844"/>
      <c r="GH6844"/>
      <c r="GI6844"/>
      <c r="GK6844"/>
      <c r="GL6844"/>
      <c r="GM6844"/>
      <c r="GN6844"/>
    </row>
    <row r="6845" spans="189:196" x14ac:dyDescent="0.25">
      <c r="GG6845"/>
      <c r="GH6845"/>
      <c r="GI6845"/>
      <c r="GK6845"/>
      <c r="GL6845"/>
      <c r="GM6845"/>
      <c r="GN6845"/>
    </row>
    <row r="6846" spans="189:196" x14ac:dyDescent="0.25">
      <c r="GG6846"/>
      <c r="GH6846"/>
      <c r="GI6846"/>
      <c r="GK6846"/>
      <c r="GL6846"/>
      <c r="GM6846"/>
      <c r="GN6846"/>
    </row>
    <row r="6847" spans="189:196" x14ac:dyDescent="0.25">
      <c r="GG6847"/>
      <c r="GH6847"/>
      <c r="GI6847"/>
      <c r="GK6847"/>
      <c r="GL6847"/>
      <c r="GM6847"/>
      <c r="GN6847"/>
    </row>
    <row r="6848" spans="189:196" x14ac:dyDescent="0.25">
      <c r="GG6848"/>
      <c r="GH6848"/>
      <c r="GI6848"/>
      <c r="GK6848"/>
      <c r="GL6848"/>
      <c r="GM6848"/>
      <c r="GN6848"/>
    </row>
    <row r="6849" spans="189:196" x14ac:dyDescent="0.25">
      <c r="GG6849"/>
      <c r="GH6849"/>
      <c r="GI6849"/>
      <c r="GK6849"/>
      <c r="GL6849"/>
      <c r="GM6849"/>
      <c r="GN6849"/>
    </row>
    <row r="6850" spans="189:196" x14ac:dyDescent="0.25">
      <c r="GG6850"/>
      <c r="GH6850"/>
      <c r="GI6850"/>
      <c r="GK6850"/>
      <c r="GL6850"/>
      <c r="GM6850"/>
      <c r="GN6850"/>
    </row>
    <row r="6851" spans="189:196" x14ac:dyDescent="0.25">
      <c r="GG6851"/>
      <c r="GH6851"/>
      <c r="GI6851"/>
      <c r="GK6851"/>
      <c r="GL6851"/>
      <c r="GM6851"/>
      <c r="GN6851"/>
    </row>
    <row r="6852" spans="189:196" x14ac:dyDescent="0.25">
      <c r="GG6852"/>
      <c r="GH6852"/>
      <c r="GI6852"/>
      <c r="GK6852"/>
      <c r="GL6852"/>
      <c r="GM6852"/>
      <c r="GN6852"/>
    </row>
    <row r="6853" spans="189:196" x14ac:dyDescent="0.25">
      <c r="GG6853"/>
      <c r="GH6853"/>
      <c r="GI6853"/>
      <c r="GK6853"/>
      <c r="GL6853"/>
      <c r="GM6853"/>
      <c r="GN6853"/>
    </row>
    <row r="6854" spans="189:196" x14ac:dyDescent="0.25">
      <c r="GG6854"/>
      <c r="GH6854"/>
      <c r="GI6854"/>
      <c r="GK6854"/>
      <c r="GL6854"/>
      <c r="GM6854"/>
      <c r="GN6854"/>
    </row>
    <row r="6855" spans="189:196" x14ac:dyDescent="0.25">
      <c r="GG6855"/>
      <c r="GH6855"/>
      <c r="GI6855"/>
      <c r="GK6855"/>
      <c r="GL6855"/>
      <c r="GM6855"/>
      <c r="GN6855"/>
    </row>
    <row r="6856" spans="189:196" x14ac:dyDescent="0.25">
      <c r="GG6856"/>
      <c r="GH6856"/>
      <c r="GI6856"/>
      <c r="GK6856"/>
      <c r="GL6856"/>
      <c r="GM6856"/>
      <c r="GN6856"/>
    </row>
    <row r="6857" spans="189:196" x14ac:dyDescent="0.25">
      <c r="GG6857"/>
      <c r="GH6857"/>
      <c r="GI6857"/>
      <c r="GK6857"/>
      <c r="GL6857"/>
      <c r="GM6857"/>
      <c r="GN6857"/>
    </row>
    <row r="6858" spans="189:196" x14ac:dyDescent="0.25">
      <c r="GG6858"/>
      <c r="GH6858"/>
      <c r="GI6858"/>
      <c r="GK6858"/>
      <c r="GL6858"/>
      <c r="GM6858"/>
      <c r="GN6858"/>
    </row>
    <row r="6859" spans="189:196" x14ac:dyDescent="0.25">
      <c r="GG6859"/>
      <c r="GH6859"/>
      <c r="GI6859"/>
      <c r="GK6859"/>
      <c r="GL6859"/>
      <c r="GM6859"/>
      <c r="GN6859"/>
    </row>
    <row r="6860" spans="189:196" x14ac:dyDescent="0.25">
      <c r="GG6860"/>
      <c r="GH6860"/>
      <c r="GI6860"/>
      <c r="GK6860"/>
      <c r="GL6860"/>
      <c r="GM6860"/>
      <c r="GN6860"/>
    </row>
    <row r="6861" spans="189:196" x14ac:dyDescent="0.25">
      <c r="GG6861"/>
      <c r="GH6861"/>
      <c r="GI6861"/>
      <c r="GK6861"/>
      <c r="GL6861"/>
      <c r="GM6861"/>
      <c r="GN6861"/>
    </row>
    <row r="6862" spans="189:196" x14ac:dyDescent="0.25">
      <c r="GG6862"/>
      <c r="GH6862"/>
      <c r="GI6862"/>
      <c r="GK6862"/>
      <c r="GL6862"/>
      <c r="GM6862"/>
      <c r="GN6862"/>
    </row>
    <row r="6863" spans="189:196" x14ac:dyDescent="0.25">
      <c r="GG6863"/>
      <c r="GH6863"/>
      <c r="GI6863"/>
      <c r="GK6863"/>
      <c r="GL6863"/>
      <c r="GM6863"/>
      <c r="GN6863"/>
    </row>
    <row r="6864" spans="189:196" x14ac:dyDescent="0.25">
      <c r="GG6864"/>
      <c r="GH6864"/>
      <c r="GI6864"/>
      <c r="GK6864"/>
      <c r="GL6864"/>
      <c r="GM6864"/>
      <c r="GN6864"/>
    </row>
    <row r="6865" spans="189:196" x14ac:dyDescent="0.25">
      <c r="GG6865"/>
      <c r="GH6865"/>
      <c r="GI6865"/>
      <c r="GK6865"/>
      <c r="GL6865"/>
      <c r="GM6865"/>
      <c r="GN6865"/>
    </row>
    <row r="6866" spans="189:196" x14ac:dyDescent="0.25">
      <c r="GG6866"/>
      <c r="GH6866"/>
      <c r="GI6866"/>
      <c r="GK6866"/>
      <c r="GL6866"/>
      <c r="GM6866"/>
      <c r="GN6866"/>
    </row>
    <row r="6867" spans="189:196" x14ac:dyDescent="0.25">
      <c r="GG6867"/>
      <c r="GH6867"/>
      <c r="GI6867"/>
      <c r="GK6867"/>
      <c r="GL6867"/>
      <c r="GM6867"/>
      <c r="GN6867"/>
    </row>
    <row r="6868" spans="189:196" x14ac:dyDescent="0.25">
      <c r="GG6868"/>
      <c r="GH6868"/>
      <c r="GI6868"/>
      <c r="GK6868"/>
      <c r="GL6868"/>
      <c r="GM6868"/>
      <c r="GN6868"/>
    </row>
    <row r="6869" spans="189:196" x14ac:dyDescent="0.25">
      <c r="GG6869"/>
      <c r="GH6869"/>
      <c r="GI6869"/>
      <c r="GK6869"/>
      <c r="GL6869"/>
      <c r="GM6869"/>
      <c r="GN6869"/>
    </row>
    <row r="6870" spans="189:196" x14ac:dyDescent="0.25">
      <c r="GG6870"/>
      <c r="GH6870"/>
      <c r="GI6870"/>
      <c r="GK6870"/>
      <c r="GL6870"/>
      <c r="GM6870"/>
      <c r="GN6870"/>
    </row>
    <row r="6871" spans="189:196" x14ac:dyDescent="0.25">
      <c r="GG6871"/>
      <c r="GH6871"/>
      <c r="GI6871"/>
      <c r="GK6871"/>
      <c r="GL6871"/>
      <c r="GM6871"/>
      <c r="GN6871"/>
    </row>
    <row r="6872" spans="189:196" x14ac:dyDescent="0.25">
      <c r="GG6872"/>
      <c r="GH6872"/>
      <c r="GI6872"/>
      <c r="GK6872"/>
      <c r="GL6872"/>
      <c r="GM6872"/>
      <c r="GN6872"/>
    </row>
    <row r="6873" spans="189:196" x14ac:dyDescent="0.25">
      <c r="GG6873"/>
      <c r="GH6873"/>
      <c r="GI6873"/>
      <c r="GK6873"/>
      <c r="GL6873"/>
      <c r="GM6873"/>
      <c r="GN6873"/>
    </row>
    <row r="6874" spans="189:196" x14ac:dyDescent="0.25">
      <c r="GG6874"/>
      <c r="GH6874"/>
      <c r="GI6874"/>
      <c r="GK6874"/>
      <c r="GL6874"/>
      <c r="GM6874"/>
      <c r="GN6874"/>
    </row>
    <row r="6875" spans="189:196" x14ac:dyDescent="0.25">
      <c r="GG6875"/>
      <c r="GH6875"/>
      <c r="GI6875"/>
      <c r="GK6875"/>
      <c r="GL6875"/>
      <c r="GM6875"/>
      <c r="GN6875"/>
    </row>
    <row r="6876" spans="189:196" x14ac:dyDescent="0.25">
      <c r="GG6876"/>
      <c r="GH6876"/>
      <c r="GI6876"/>
      <c r="GK6876"/>
      <c r="GL6876"/>
      <c r="GM6876"/>
      <c r="GN6876"/>
    </row>
    <row r="6877" spans="189:196" x14ac:dyDescent="0.25">
      <c r="GG6877"/>
      <c r="GH6877"/>
      <c r="GI6877"/>
      <c r="GK6877"/>
      <c r="GL6877"/>
      <c r="GM6877"/>
      <c r="GN6877"/>
    </row>
    <row r="6878" spans="189:196" x14ac:dyDescent="0.25">
      <c r="GG6878"/>
      <c r="GH6878"/>
      <c r="GI6878"/>
      <c r="GK6878"/>
      <c r="GL6878"/>
      <c r="GM6878"/>
      <c r="GN6878"/>
    </row>
    <row r="6879" spans="189:196" x14ac:dyDescent="0.25">
      <c r="GG6879"/>
      <c r="GH6879"/>
      <c r="GI6879"/>
      <c r="GK6879"/>
      <c r="GL6879"/>
      <c r="GM6879"/>
      <c r="GN6879"/>
    </row>
    <row r="6880" spans="189:196" x14ac:dyDescent="0.25">
      <c r="GG6880"/>
      <c r="GH6880"/>
      <c r="GI6880"/>
      <c r="GK6880"/>
      <c r="GL6880"/>
      <c r="GM6880"/>
      <c r="GN6880"/>
    </row>
    <row r="6881" spans="189:196" x14ac:dyDescent="0.25">
      <c r="GG6881"/>
      <c r="GH6881"/>
      <c r="GI6881"/>
      <c r="GK6881"/>
      <c r="GL6881"/>
      <c r="GM6881"/>
      <c r="GN6881"/>
    </row>
    <row r="6882" spans="189:196" x14ac:dyDescent="0.25">
      <c r="GG6882"/>
      <c r="GH6882"/>
      <c r="GI6882"/>
      <c r="GK6882"/>
      <c r="GL6882"/>
      <c r="GM6882"/>
      <c r="GN6882"/>
    </row>
    <row r="6883" spans="189:196" x14ac:dyDescent="0.25">
      <c r="GG6883"/>
      <c r="GH6883"/>
      <c r="GI6883"/>
      <c r="GK6883"/>
      <c r="GL6883"/>
      <c r="GM6883"/>
      <c r="GN6883"/>
    </row>
    <row r="6884" spans="189:196" x14ac:dyDescent="0.25">
      <c r="GG6884"/>
      <c r="GH6884"/>
      <c r="GI6884"/>
      <c r="GK6884"/>
      <c r="GL6884"/>
      <c r="GM6884"/>
      <c r="GN6884"/>
    </row>
    <row r="6885" spans="189:196" x14ac:dyDescent="0.25">
      <c r="GG6885"/>
      <c r="GH6885"/>
      <c r="GI6885"/>
      <c r="GK6885"/>
      <c r="GL6885"/>
      <c r="GM6885"/>
      <c r="GN6885"/>
    </row>
    <row r="6886" spans="189:196" x14ac:dyDescent="0.25">
      <c r="GG6886"/>
      <c r="GH6886"/>
      <c r="GI6886"/>
      <c r="GK6886"/>
      <c r="GL6886"/>
      <c r="GM6886"/>
      <c r="GN6886"/>
    </row>
    <row r="6887" spans="189:196" x14ac:dyDescent="0.25">
      <c r="GG6887"/>
      <c r="GH6887"/>
      <c r="GI6887"/>
      <c r="GK6887"/>
      <c r="GL6887"/>
      <c r="GM6887"/>
      <c r="GN6887"/>
    </row>
    <row r="6888" spans="189:196" x14ac:dyDescent="0.25">
      <c r="GG6888"/>
      <c r="GH6888"/>
      <c r="GI6888"/>
      <c r="GK6888"/>
      <c r="GL6888"/>
      <c r="GM6888"/>
      <c r="GN6888"/>
    </row>
    <row r="6889" spans="189:196" x14ac:dyDescent="0.25">
      <c r="GG6889"/>
      <c r="GH6889"/>
      <c r="GI6889"/>
      <c r="GK6889"/>
      <c r="GL6889"/>
      <c r="GM6889"/>
      <c r="GN6889"/>
    </row>
    <row r="6890" spans="189:196" x14ac:dyDescent="0.25">
      <c r="GG6890"/>
      <c r="GH6890"/>
      <c r="GI6890"/>
      <c r="GK6890"/>
      <c r="GL6890"/>
      <c r="GM6890"/>
      <c r="GN6890"/>
    </row>
    <row r="6891" spans="189:196" x14ac:dyDescent="0.25">
      <c r="GG6891"/>
      <c r="GH6891"/>
      <c r="GI6891"/>
      <c r="GK6891"/>
      <c r="GL6891"/>
      <c r="GM6891"/>
      <c r="GN6891"/>
    </row>
    <row r="6892" spans="189:196" x14ac:dyDescent="0.25">
      <c r="GG6892"/>
      <c r="GH6892"/>
      <c r="GI6892"/>
      <c r="GK6892"/>
      <c r="GL6892"/>
      <c r="GM6892"/>
      <c r="GN6892"/>
    </row>
    <row r="6893" spans="189:196" x14ac:dyDescent="0.25">
      <c r="GG6893"/>
      <c r="GH6893"/>
      <c r="GI6893"/>
      <c r="GK6893"/>
      <c r="GL6893"/>
      <c r="GM6893"/>
      <c r="GN6893"/>
    </row>
    <row r="6894" spans="189:196" x14ac:dyDescent="0.25">
      <c r="GG6894"/>
      <c r="GH6894"/>
      <c r="GI6894"/>
      <c r="GK6894"/>
      <c r="GL6894"/>
      <c r="GM6894"/>
      <c r="GN6894"/>
    </row>
    <row r="6895" spans="189:196" x14ac:dyDescent="0.25">
      <c r="GG6895"/>
      <c r="GH6895"/>
      <c r="GI6895"/>
      <c r="GK6895"/>
      <c r="GL6895"/>
      <c r="GM6895"/>
      <c r="GN6895"/>
    </row>
    <row r="6896" spans="189:196" x14ac:dyDescent="0.25">
      <c r="GG6896"/>
      <c r="GH6896"/>
      <c r="GI6896"/>
      <c r="GK6896"/>
      <c r="GL6896"/>
      <c r="GM6896"/>
      <c r="GN6896"/>
    </row>
    <row r="6897" spans="189:196" x14ac:dyDescent="0.25">
      <c r="GG6897"/>
      <c r="GH6897"/>
      <c r="GI6897"/>
      <c r="GK6897"/>
      <c r="GL6897"/>
      <c r="GM6897"/>
      <c r="GN6897"/>
    </row>
    <row r="6898" spans="189:196" x14ac:dyDescent="0.25">
      <c r="GG6898"/>
      <c r="GH6898"/>
      <c r="GI6898"/>
      <c r="GK6898"/>
      <c r="GL6898"/>
      <c r="GM6898"/>
      <c r="GN6898"/>
    </row>
    <row r="6899" spans="189:196" x14ac:dyDescent="0.25">
      <c r="GG6899"/>
      <c r="GH6899"/>
      <c r="GI6899"/>
      <c r="GK6899"/>
      <c r="GL6899"/>
      <c r="GM6899"/>
      <c r="GN6899"/>
    </row>
    <row r="6900" spans="189:196" x14ac:dyDescent="0.25">
      <c r="GG6900"/>
      <c r="GH6900"/>
      <c r="GI6900"/>
      <c r="GK6900"/>
      <c r="GL6900"/>
      <c r="GM6900"/>
      <c r="GN6900"/>
    </row>
    <row r="6901" spans="189:196" x14ac:dyDescent="0.25">
      <c r="GG6901"/>
      <c r="GH6901"/>
      <c r="GI6901"/>
      <c r="GK6901"/>
      <c r="GL6901"/>
      <c r="GM6901"/>
      <c r="GN6901"/>
    </row>
    <row r="6902" spans="189:196" x14ac:dyDescent="0.25">
      <c r="GG6902"/>
      <c r="GH6902"/>
      <c r="GI6902"/>
      <c r="GK6902"/>
      <c r="GL6902"/>
      <c r="GM6902"/>
      <c r="GN6902"/>
    </row>
    <row r="6903" spans="189:196" x14ac:dyDescent="0.25">
      <c r="GG6903"/>
      <c r="GH6903"/>
      <c r="GI6903"/>
      <c r="GK6903"/>
      <c r="GL6903"/>
      <c r="GM6903"/>
      <c r="GN6903"/>
    </row>
    <row r="6904" spans="189:196" x14ac:dyDescent="0.25">
      <c r="GG6904"/>
      <c r="GH6904"/>
      <c r="GI6904"/>
      <c r="GK6904"/>
      <c r="GL6904"/>
      <c r="GM6904"/>
      <c r="GN6904"/>
    </row>
    <row r="6905" spans="189:196" x14ac:dyDescent="0.25">
      <c r="GG6905"/>
      <c r="GH6905"/>
      <c r="GI6905"/>
      <c r="GK6905"/>
      <c r="GL6905"/>
      <c r="GM6905"/>
      <c r="GN6905"/>
    </row>
    <row r="6906" spans="189:196" x14ac:dyDescent="0.25">
      <c r="GG6906"/>
      <c r="GH6906"/>
      <c r="GI6906"/>
      <c r="GK6906"/>
      <c r="GL6906"/>
      <c r="GM6906"/>
      <c r="GN6906"/>
    </row>
    <row r="6907" spans="189:196" x14ac:dyDescent="0.25">
      <c r="GG6907"/>
      <c r="GH6907"/>
      <c r="GI6907"/>
      <c r="GK6907"/>
      <c r="GL6907"/>
      <c r="GM6907"/>
      <c r="GN6907"/>
    </row>
    <row r="6908" spans="189:196" x14ac:dyDescent="0.25">
      <c r="GG6908"/>
      <c r="GH6908"/>
      <c r="GI6908"/>
      <c r="GK6908"/>
      <c r="GL6908"/>
      <c r="GM6908"/>
      <c r="GN6908"/>
    </row>
    <row r="6909" spans="189:196" x14ac:dyDescent="0.25">
      <c r="GG6909"/>
      <c r="GH6909"/>
      <c r="GI6909"/>
      <c r="GK6909"/>
      <c r="GL6909"/>
      <c r="GM6909"/>
      <c r="GN6909"/>
    </row>
    <row r="6910" spans="189:196" x14ac:dyDescent="0.25">
      <c r="GG6910"/>
      <c r="GH6910"/>
      <c r="GI6910"/>
      <c r="GK6910"/>
      <c r="GL6910"/>
      <c r="GM6910"/>
      <c r="GN6910"/>
    </row>
    <row r="6911" spans="189:196" x14ac:dyDescent="0.25">
      <c r="GG6911"/>
      <c r="GH6911"/>
      <c r="GI6911"/>
      <c r="GK6911"/>
      <c r="GL6911"/>
      <c r="GM6911"/>
      <c r="GN6911"/>
    </row>
    <row r="6912" spans="189:196" x14ac:dyDescent="0.25">
      <c r="GG6912"/>
      <c r="GH6912"/>
      <c r="GI6912"/>
      <c r="GK6912"/>
      <c r="GL6912"/>
      <c r="GM6912"/>
      <c r="GN6912"/>
    </row>
    <row r="6913" spans="189:196" x14ac:dyDescent="0.25">
      <c r="GG6913"/>
      <c r="GH6913"/>
      <c r="GI6913"/>
      <c r="GK6913"/>
      <c r="GL6913"/>
      <c r="GM6913"/>
      <c r="GN6913"/>
    </row>
    <row r="6914" spans="189:196" x14ac:dyDescent="0.25">
      <c r="GG6914"/>
      <c r="GH6914"/>
      <c r="GI6914"/>
      <c r="GK6914"/>
      <c r="GL6914"/>
      <c r="GM6914"/>
      <c r="GN6914"/>
    </row>
    <row r="6915" spans="189:196" x14ac:dyDescent="0.25">
      <c r="GG6915"/>
      <c r="GH6915"/>
      <c r="GI6915"/>
      <c r="GK6915"/>
      <c r="GL6915"/>
      <c r="GM6915"/>
      <c r="GN6915"/>
    </row>
    <row r="6916" spans="189:196" x14ac:dyDescent="0.25">
      <c r="GG6916"/>
      <c r="GH6916"/>
      <c r="GI6916"/>
      <c r="GK6916"/>
      <c r="GL6916"/>
      <c r="GM6916"/>
      <c r="GN6916"/>
    </row>
    <row r="6917" spans="189:196" x14ac:dyDescent="0.25">
      <c r="GG6917"/>
      <c r="GH6917"/>
      <c r="GI6917"/>
      <c r="GK6917"/>
      <c r="GL6917"/>
      <c r="GM6917"/>
      <c r="GN6917"/>
    </row>
    <row r="6918" spans="189:196" x14ac:dyDescent="0.25">
      <c r="GG6918"/>
      <c r="GH6918"/>
      <c r="GI6918"/>
      <c r="GK6918"/>
      <c r="GL6918"/>
      <c r="GM6918"/>
      <c r="GN6918"/>
    </row>
    <row r="6919" spans="189:196" x14ac:dyDescent="0.25">
      <c r="GG6919"/>
      <c r="GH6919"/>
      <c r="GI6919"/>
      <c r="GK6919"/>
      <c r="GL6919"/>
      <c r="GM6919"/>
      <c r="GN6919"/>
    </row>
    <row r="6920" spans="189:196" x14ac:dyDescent="0.25">
      <c r="GG6920"/>
      <c r="GH6920"/>
      <c r="GI6920"/>
      <c r="GK6920"/>
      <c r="GL6920"/>
      <c r="GM6920"/>
      <c r="GN6920"/>
    </row>
    <row r="6921" spans="189:196" x14ac:dyDescent="0.25">
      <c r="GG6921"/>
      <c r="GH6921"/>
      <c r="GI6921"/>
      <c r="GK6921"/>
      <c r="GL6921"/>
      <c r="GM6921"/>
      <c r="GN6921"/>
    </row>
    <row r="6922" spans="189:196" x14ac:dyDescent="0.25">
      <c r="GG6922"/>
      <c r="GH6922"/>
      <c r="GI6922"/>
      <c r="GK6922"/>
      <c r="GL6922"/>
      <c r="GM6922"/>
      <c r="GN6922"/>
    </row>
    <row r="6923" spans="189:196" x14ac:dyDescent="0.25">
      <c r="GG6923"/>
      <c r="GH6923"/>
      <c r="GI6923"/>
      <c r="GK6923"/>
      <c r="GL6923"/>
      <c r="GM6923"/>
      <c r="GN6923"/>
    </row>
    <row r="6924" spans="189:196" x14ac:dyDescent="0.25">
      <c r="GG6924"/>
      <c r="GH6924"/>
      <c r="GI6924"/>
      <c r="GK6924"/>
      <c r="GL6924"/>
      <c r="GM6924"/>
      <c r="GN6924"/>
    </row>
    <row r="6925" spans="189:196" x14ac:dyDescent="0.25">
      <c r="GG6925"/>
      <c r="GH6925"/>
      <c r="GI6925"/>
      <c r="GK6925"/>
      <c r="GL6925"/>
      <c r="GM6925"/>
      <c r="GN6925"/>
    </row>
    <row r="6926" spans="189:196" x14ac:dyDescent="0.25">
      <c r="GG6926"/>
      <c r="GH6926"/>
      <c r="GI6926"/>
      <c r="GK6926"/>
      <c r="GL6926"/>
      <c r="GM6926"/>
      <c r="GN6926"/>
    </row>
    <row r="6927" spans="189:196" x14ac:dyDescent="0.25">
      <c r="GG6927"/>
      <c r="GH6927"/>
      <c r="GI6927"/>
      <c r="GK6927"/>
      <c r="GL6927"/>
      <c r="GM6927"/>
      <c r="GN6927"/>
    </row>
    <row r="6928" spans="189:196" x14ac:dyDescent="0.25">
      <c r="GG6928"/>
      <c r="GH6928"/>
      <c r="GI6928"/>
      <c r="GK6928"/>
      <c r="GL6928"/>
      <c r="GM6928"/>
      <c r="GN6928"/>
    </row>
    <row r="6929" spans="189:196" x14ac:dyDescent="0.25">
      <c r="GG6929"/>
      <c r="GH6929"/>
      <c r="GI6929"/>
      <c r="GK6929"/>
      <c r="GL6929"/>
      <c r="GM6929"/>
      <c r="GN6929"/>
    </row>
    <row r="6930" spans="189:196" x14ac:dyDescent="0.25">
      <c r="GG6930"/>
      <c r="GH6930"/>
      <c r="GI6930"/>
      <c r="GK6930"/>
      <c r="GL6930"/>
      <c r="GM6930"/>
      <c r="GN6930"/>
    </row>
    <row r="6931" spans="189:196" x14ac:dyDescent="0.25">
      <c r="GG6931"/>
      <c r="GH6931"/>
      <c r="GI6931"/>
      <c r="GK6931"/>
      <c r="GL6931"/>
      <c r="GM6931"/>
      <c r="GN6931"/>
    </row>
    <row r="6932" spans="189:196" x14ac:dyDescent="0.25">
      <c r="GG6932"/>
      <c r="GH6932"/>
      <c r="GI6932"/>
      <c r="GK6932"/>
      <c r="GL6932"/>
      <c r="GM6932"/>
      <c r="GN6932"/>
    </row>
    <row r="6933" spans="189:196" x14ac:dyDescent="0.25">
      <c r="GG6933"/>
      <c r="GH6933"/>
      <c r="GI6933"/>
      <c r="GK6933"/>
      <c r="GL6933"/>
      <c r="GM6933"/>
      <c r="GN6933"/>
    </row>
    <row r="6934" spans="189:196" x14ac:dyDescent="0.25">
      <c r="GG6934"/>
      <c r="GH6934"/>
      <c r="GI6934"/>
      <c r="GK6934"/>
      <c r="GL6934"/>
      <c r="GM6934"/>
      <c r="GN6934"/>
    </row>
    <row r="6935" spans="189:196" x14ac:dyDescent="0.25">
      <c r="GG6935"/>
      <c r="GH6935"/>
      <c r="GI6935"/>
      <c r="GK6935"/>
      <c r="GL6935"/>
      <c r="GM6935"/>
      <c r="GN6935"/>
    </row>
    <row r="6936" spans="189:196" x14ac:dyDescent="0.25">
      <c r="GG6936"/>
      <c r="GH6936"/>
      <c r="GI6936"/>
      <c r="GK6936"/>
      <c r="GL6936"/>
      <c r="GM6936"/>
      <c r="GN6936"/>
    </row>
    <row r="6937" spans="189:196" x14ac:dyDescent="0.25">
      <c r="GG6937"/>
      <c r="GH6937"/>
      <c r="GI6937"/>
      <c r="GK6937"/>
      <c r="GL6937"/>
      <c r="GM6937"/>
      <c r="GN6937"/>
    </row>
    <row r="6938" spans="189:196" x14ac:dyDescent="0.25">
      <c r="GG6938"/>
      <c r="GH6938"/>
      <c r="GI6938"/>
      <c r="GK6938"/>
      <c r="GL6938"/>
      <c r="GM6938"/>
      <c r="GN6938"/>
    </row>
    <row r="6939" spans="189:196" x14ac:dyDescent="0.25">
      <c r="GG6939"/>
      <c r="GH6939"/>
      <c r="GI6939"/>
      <c r="GK6939"/>
      <c r="GL6939"/>
      <c r="GM6939"/>
      <c r="GN6939"/>
    </row>
    <row r="6940" spans="189:196" x14ac:dyDescent="0.25">
      <c r="GG6940"/>
      <c r="GH6940"/>
      <c r="GI6940"/>
      <c r="GK6940"/>
      <c r="GL6940"/>
      <c r="GM6940"/>
      <c r="GN6940"/>
    </row>
    <row r="6941" spans="189:196" x14ac:dyDescent="0.25">
      <c r="GG6941"/>
      <c r="GH6941"/>
      <c r="GI6941"/>
      <c r="GK6941"/>
      <c r="GL6941"/>
      <c r="GM6941"/>
      <c r="GN6941"/>
    </row>
    <row r="6942" spans="189:196" x14ac:dyDescent="0.25">
      <c r="GG6942"/>
      <c r="GH6942"/>
      <c r="GI6942"/>
      <c r="GK6942"/>
      <c r="GL6942"/>
      <c r="GM6942"/>
      <c r="GN6942"/>
    </row>
    <row r="6943" spans="189:196" x14ac:dyDescent="0.25">
      <c r="GG6943"/>
      <c r="GH6943"/>
      <c r="GI6943"/>
      <c r="GK6943"/>
      <c r="GL6943"/>
      <c r="GM6943"/>
      <c r="GN6943"/>
    </row>
    <row r="6944" spans="189:196" x14ac:dyDescent="0.25">
      <c r="GG6944"/>
      <c r="GH6944"/>
      <c r="GI6944"/>
      <c r="GK6944"/>
      <c r="GL6944"/>
      <c r="GM6944"/>
      <c r="GN6944"/>
    </row>
    <row r="6945" spans="189:196" x14ac:dyDescent="0.25">
      <c r="GG6945"/>
      <c r="GH6945"/>
      <c r="GI6945"/>
      <c r="GK6945"/>
      <c r="GL6945"/>
      <c r="GM6945"/>
      <c r="GN6945"/>
    </row>
    <row r="6946" spans="189:196" x14ac:dyDescent="0.25">
      <c r="GG6946"/>
      <c r="GH6946"/>
      <c r="GI6946"/>
      <c r="GK6946"/>
      <c r="GL6946"/>
      <c r="GM6946"/>
      <c r="GN6946"/>
    </row>
    <row r="6947" spans="189:196" x14ac:dyDescent="0.25">
      <c r="GG6947"/>
      <c r="GH6947"/>
      <c r="GI6947"/>
      <c r="GK6947"/>
      <c r="GL6947"/>
      <c r="GM6947"/>
      <c r="GN6947"/>
    </row>
    <row r="6948" spans="189:196" x14ac:dyDescent="0.25">
      <c r="GG6948"/>
      <c r="GH6948"/>
      <c r="GI6948"/>
      <c r="GK6948"/>
      <c r="GL6948"/>
      <c r="GM6948"/>
      <c r="GN6948"/>
    </row>
    <row r="6949" spans="189:196" x14ac:dyDescent="0.25">
      <c r="GG6949"/>
      <c r="GH6949"/>
      <c r="GI6949"/>
      <c r="GK6949"/>
      <c r="GL6949"/>
      <c r="GM6949"/>
      <c r="GN6949"/>
    </row>
    <row r="6950" spans="189:196" x14ac:dyDescent="0.25">
      <c r="GG6950"/>
      <c r="GH6950"/>
      <c r="GI6950"/>
      <c r="GK6950"/>
      <c r="GL6950"/>
      <c r="GM6950"/>
      <c r="GN6950"/>
    </row>
    <row r="6951" spans="189:196" x14ac:dyDescent="0.25">
      <c r="GG6951"/>
      <c r="GH6951"/>
      <c r="GI6951"/>
      <c r="GK6951"/>
      <c r="GL6951"/>
      <c r="GM6951"/>
      <c r="GN6951"/>
    </row>
    <row r="6952" spans="189:196" x14ac:dyDescent="0.25">
      <c r="GG6952"/>
      <c r="GH6952"/>
      <c r="GI6952"/>
      <c r="GK6952"/>
      <c r="GL6952"/>
      <c r="GM6952"/>
      <c r="GN6952"/>
    </row>
    <row r="6953" spans="189:196" x14ac:dyDescent="0.25">
      <c r="GG6953"/>
      <c r="GH6953"/>
      <c r="GI6953"/>
      <c r="GK6953"/>
      <c r="GL6953"/>
      <c r="GM6953"/>
      <c r="GN6953"/>
    </row>
    <row r="6954" spans="189:196" x14ac:dyDescent="0.25">
      <c r="GG6954"/>
      <c r="GH6954"/>
      <c r="GI6954"/>
      <c r="GK6954"/>
      <c r="GL6954"/>
      <c r="GM6954"/>
      <c r="GN6954"/>
    </row>
    <row r="6955" spans="189:196" x14ac:dyDescent="0.25">
      <c r="GG6955"/>
      <c r="GH6955"/>
      <c r="GI6955"/>
      <c r="GK6955"/>
      <c r="GL6955"/>
      <c r="GM6955"/>
      <c r="GN6955"/>
    </row>
    <row r="6956" spans="189:196" x14ac:dyDescent="0.25">
      <c r="GG6956"/>
      <c r="GH6956"/>
      <c r="GI6956"/>
      <c r="GK6956"/>
      <c r="GL6956"/>
      <c r="GM6956"/>
      <c r="GN6956"/>
    </row>
    <row r="6957" spans="189:196" x14ac:dyDescent="0.25">
      <c r="GG6957"/>
      <c r="GH6957"/>
      <c r="GI6957"/>
      <c r="GK6957"/>
      <c r="GL6957"/>
      <c r="GM6957"/>
      <c r="GN6957"/>
    </row>
    <row r="6958" spans="189:196" x14ac:dyDescent="0.25">
      <c r="GG6958"/>
      <c r="GH6958"/>
      <c r="GI6958"/>
      <c r="GK6958"/>
      <c r="GL6958"/>
      <c r="GM6958"/>
      <c r="GN6958"/>
    </row>
    <row r="6959" spans="189:196" x14ac:dyDescent="0.25">
      <c r="GG6959"/>
      <c r="GH6959"/>
      <c r="GI6959"/>
      <c r="GK6959"/>
      <c r="GL6959"/>
      <c r="GM6959"/>
      <c r="GN6959"/>
    </row>
    <row r="6960" spans="189:196" x14ac:dyDescent="0.25">
      <c r="GG6960"/>
      <c r="GH6960"/>
      <c r="GI6960"/>
      <c r="GK6960"/>
      <c r="GL6960"/>
      <c r="GM6960"/>
      <c r="GN6960"/>
    </row>
    <row r="6961" spans="189:196" x14ac:dyDescent="0.25">
      <c r="GG6961"/>
      <c r="GH6961"/>
      <c r="GI6961"/>
      <c r="GK6961"/>
      <c r="GL6961"/>
      <c r="GM6961"/>
      <c r="GN6961"/>
    </row>
    <row r="6962" spans="189:196" x14ac:dyDescent="0.25">
      <c r="GG6962"/>
      <c r="GH6962"/>
      <c r="GI6962"/>
      <c r="GK6962"/>
      <c r="GL6962"/>
      <c r="GM6962"/>
      <c r="GN6962"/>
    </row>
    <row r="6963" spans="189:196" x14ac:dyDescent="0.25">
      <c r="GG6963"/>
      <c r="GH6963"/>
      <c r="GI6963"/>
      <c r="GK6963"/>
      <c r="GL6963"/>
      <c r="GM6963"/>
      <c r="GN6963"/>
    </row>
    <row r="6964" spans="189:196" x14ac:dyDescent="0.25">
      <c r="GG6964"/>
      <c r="GH6964"/>
      <c r="GI6964"/>
      <c r="GK6964"/>
      <c r="GL6964"/>
      <c r="GM6964"/>
      <c r="GN6964"/>
    </row>
    <row r="6965" spans="189:196" x14ac:dyDescent="0.25">
      <c r="GG6965"/>
      <c r="GH6965"/>
      <c r="GI6965"/>
      <c r="GK6965"/>
      <c r="GL6965"/>
      <c r="GM6965"/>
      <c r="GN6965"/>
    </row>
    <row r="6966" spans="189:196" x14ac:dyDescent="0.25">
      <c r="GG6966"/>
      <c r="GH6966"/>
      <c r="GI6966"/>
      <c r="GK6966"/>
      <c r="GL6966"/>
      <c r="GM6966"/>
      <c r="GN6966"/>
    </row>
    <row r="6967" spans="189:196" x14ac:dyDescent="0.25">
      <c r="GG6967"/>
      <c r="GH6967"/>
      <c r="GI6967"/>
      <c r="GK6967"/>
      <c r="GL6967"/>
      <c r="GM6967"/>
      <c r="GN6967"/>
    </row>
    <row r="6968" spans="189:196" x14ac:dyDescent="0.25">
      <c r="GG6968"/>
      <c r="GH6968"/>
      <c r="GI6968"/>
      <c r="GK6968"/>
      <c r="GL6968"/>
      <c r="GM6968"/>
      <c r="GN6968"/>
    </row>
    <row r="6969" spans="189:196" x14ac:dyDescent="0.25">
      <c r="GG6969"/>
      <c r="GH6969"/>
      <c r="GI6969"/>
      <c r="GK6969"/>
      <c r="GL6969"/>
      <c r="GM6969"/>
      <c r="GN6969"/>
    </row>
    <row r="6970" spans="189:196" x14ac:dyDescent="0.25">
      <c r="GG6970"/>
      <c r="GH6970"/>
      <c r="GI6970"/>
      <c r="GK6970"/>
      <c r="GL6970"/>
      <c r="GM6970"/>
      <c r="GN6970"/>
    </row>
    <row r="6971" spans="189:196" x14ac:dyDescent="0.25">
      <c r="GG6971"/>
      <c r="GH6971"/>
      <c r="GI6971"/>
      <c r="GK6971"/>
      <c r="GL6971"/>
      <c r="GM6971"/>
      <c r="GN6971"/>
    </row>
    <row r="6972" spans="189:196" x14ac:dyDescent="0.25">
      <c r="GG6972"/>
      <c r="GH6972"/>
      <c r="GI6972"/>
      <c r="GK6972"/>
      <c r="GL6972"/>
      <c r="GM6972"/>
      <c r="GN6972"/>
    </row>
    <row r="6973" spans="189:196" x14ac:dyDescent="0.25">
      <c r="GG6973"/>
      <c r="GH6973"/>
      <c r="GI6973"/>
      <c r="GK6973"/>
      <c r="GL6973"/>
      <c r="GM6973"/>
      <c r="GN6973"/>
    </row>
    <row r="6974" spans="189:196" x14ac:dyDescent="0.25">
      <c r="GG6974"/>
      <c r="GH6974"/>
      <c r="GI6974"/>
      <c r="GK6974"/>
      <c r="GL6974"/>
      <c r="GM6974"/>
      <c r="GN6974"/>
    </row>
    <row r="6975" spans="189:196" x14ac:dyDescent="0.25">
      <c r="GG6975"/>
      <c r="GH6975"/>
      <c r="GI6975"/>
      <c r="GK6975"/>
      <c r="GL6975"/>
      <c r="GM6975"/>
      <c r="GN6975"/>
    </row>
    <row r="6976" spans="189:196" x14ac:dyDescent="0.25">
      <c r="GG6976"/>
      <c r="GH6976"/>
      <c r="GI6976"/>
      <c r="GK6976"/>
      <c r="GL6976"/>
      <c r="GM6976"/>
      <c r="GN6976"/>
    </row>
    <row r="6977" spans="189:196" x14ac:dyDescent="0.25">
      <c r="GG6977"/>
      <c r="GH6977"/>
      <c r="GI6977"/>
      <c r="GK6977"/>
      <c r="GL6977"/>
      <c r="GM6977"/>
      <c r="GN6977"/>
    </row>
    <row r="6978" spans="189:196" x14ac:dyDescent="0.25">
      <c r="GG6978"/>
      <c r="GH6978"/>
      <c r="GI6978"/>
      <c r="GK6978"/>
      <c r="GL6978"/>
      <c r="GM6978"/>
      <c r="GN6978"/>
    </row>
    <row r="6979" spans="189:196" x14ac:dyDescent="0.25">
      <c r="GG6979"/>
      <c r="GH6979"/>
      <c r="GI6979"/>
      <c r="GK6979"/>
      <c r="GL6979"/>
      <c r="GM6979"/>
      <c r="GN6979"/>
    </row>
    <row r="6980" spans="189:196" x14ac:dyDescent="0.25">
      <c r="GG6980"/>
      <c r="GH6980"/>
      <c r="GI6980"/>
      <c r="GK6980"/>
      <c r="GL6980"/>
      <c r="GM6980"/>
      <c r="GN6980"/>
    </row>
    <row r="6981" spans="189:196" x14ac:dyDescent="0.25">
      <c r="GG6981"/>
      <c r="GH6981"/>
      <c r="GI6981"/>
      <c r="GK6981"/>
      <c r="GL6981"/>
      <c r="GM6981"/>
      <c r="GN6981"/>
    </row>
    <row r="6982" spans="189:196" x14ac:dyDescent="0.25">
      <c r="GG6982"/>
      <c r="GH6982"/>
      <c r="GI6982"/>
      <c r="GK6982"/>
      <c r="GL6982"/>
      <c r="GM6982"/>
      <c r="GN6982"/>
    </row>
    <row r="6983" spans="189:196" x14ac:dyDescent="0.25">
      <c r="GG6983"/>
      <c r="GH6983"/>
      <c r="GI6983"/>
      <c r="GK6983"/>
      <c r="GL6983"/>
      <c r="GM6983"/>
      <c r="GN6983"/>
    </row>
    <row r="6984" spans="189:196" x14ac:dyDescent="0.25">
      <c r="GG6984"/>
      <c r="GH6984"/>
      <c r="GI6984"/>
      <c r="GK6984"/>
      <c r="GL6984"/>
      <c r="GM6984"/>
      <c r="GN6984"/>
    </row>
    <row r="6985" spans="189:196" x14ac:dyDescent="0.25">
      <c r="GG6985"/>
      <c r="GH6985"/>
      <c r="GI6985"/>
      <c r="GK6985"/>
      <c r="GL6985"/>
      <c r="GM6985"/>
      <c r="GN6985"/>
    </row>
    <row r="6986" spans="189:196" x14ac:dyDescent="0.25">
      <c r="GG6986"/>
      <c r="GH6986"/>
      <c r="GI6986"/>
      <c r="GK6986"/>
      <c r="GL6986"/>
      <c r="GM6986"/>
      <c r="GN6986"/>
    </row>
    <row r="6987" spans="189:196" x14ac:dyDescent="0.25">
      <c r="GG6987"/>
      <c r="GH6987"/>
      <c r="GI6987"/>
      <c r="GK6987"/>
      <c r="GL6987"/>
      <c r="GM6987"/>
      <c r="GN6987"/>
    </row>
    <row r="6988" spans="189:196" x14ac:dyDescent="0.25">
      <c r="GG6988"/>
      <c r="GH6988"/>
      <c r="GI6988"/>
      <c r="GK6988"/>
      <c r="GL6988"/>
      <c r="GM6988"/>
      <c r="GN6988"/>
    </row>
    <row r="6989" spans="189:196" x14ac:dyDescent="0.25">
      <c r="GG6989"/>
      <c r="GH6989"/>
      <c r="GI6989"/>
      <c r="GK6989"/>
      <c r="GL6989"/>
      <c r="GM6989"/>
      <c r="GN6989"/>
    </row>
    <row r="6990" spans="189:196" x14ac:dyDescent="0.25">
      <c r="GG6990"/>
      <c r="GH6990"/>
      <c r="GI6990"/>
      <c r="GK6990"/>
      <c r="GL6990"/>
      <c r="GM6990"/>
      <c r="GN6990"/>
    </row>
    <row r="6991" spans="189:196" x14ac:dyDescent="0.25">
      <c r="GG6991"/>
      <c r="GH6991"/>
      <c r="GI6991"/>
      <c r="GK6991"/>
      <c r="GL6991"/>
      <c r="GM6991"/>
      <c r="GN6991"/>
    </row>
    <row r="6992" spans="189:196" x14ac:dyDescent="0.25">
      <c r="GG6992"/>
      <c r="GH6992"/>
      <c r="GI6992"/>
      <c r="GK6992"/>
      <c r="GL6992"/>
      <c r="GM6992"/>
      <c r="GN6992"/>
    </row>
    <row r="6993" spans="189:196" x14ac:dyDescent="0.25">
      <c r="GG6993"/>
      <c r="GH6993"/>
      <c r="GI6993"/>
      <c r="GK6993"/>
      <c r="GL6993"/>
      <c r="GM6993"/>
      <c r="GN6993"/>
    </row>
    <row r="6994" spans="189:196" x14ac:dyDescent="0.25">
      <c r="GG6994"/>
      <c r="GH6994"/>
      <c r="GI6994"/>
      <c r="GK6994"/>
      <c r="GL6994"/>
      <c r="GM6994"/>
      <c r="GN6994"/>
    </row>
    <row r="6995" spans="189:196" x14ac:dyDescent="0.25">
      <c r="GG6995"/>
      <c r="GH6995"/>
      <c r="GI6995"/>
      <c r="GK6995"/>
      <c r="GL6995"/>
      <c r="GM6995"/>
      <c r="GN6995"/>
    </row>
    <row r="6996" spans="189:196" x14ac:dyDescent="0.25">
      <c r="GG6996"/>
      <c r="GH6996"/>
      <c r="GI6996"/>
      <c r="GK6996"/>
      <c r="GL6996"/>
      <c r="GM6996"/>
      <c r="GN6996"/>
    </row>
    <row r="6997" spans="189:196" x14ac:dyDescent="0.25">
      <c r="GG6997"/>
      <c r="GH6997"/>
      <c r="GI6997"/>
      <c r="GK6997"/>
      <c r="GL6997"/>
      <c r="GM6997"/>
      <c r="GN6997"/>
    </row>
    <row r="6998" spans="189:196" x14ac:dyDescent="0.25">
      <c r="GG6998"/>
      <c r="GH6998"/>
      <c r="GI6998"/>
      <c r="GK6998"/>
      <c r="GL6998"/>
      <c r="GM6998"/>
      <c r="GN6998"/>
    </row>
    <row r="6999" spans="189:196" x14ac:dyDescent="0.25">
      <c r="GG6999"/>
      <c r="GH6999"/>
      <c r="GI6999"/>
      <c r="GK6999"/>
      <c r="GL6999"/>
      <c r="GM6999"/>
      <c r="GN6999"/>
    </row>
    <row r="7000" spans="189:196" x14ac:dyDescent="0.25">
      <c r="GG7000"/>
      <c r="GH7000"/>
      <c r="GI7000"/>
      <c r="GK7000"/>
      <c r="GL7000"/>
      <c r="GM7000"/>
      <c r="GN7000"/>
    </row>
    <row r="7001" spans="189:196" x14ac:dyDescent="0.25">
      <c r="GG7001"/>
      <c r="GH7001"/>
      <c r="GI7001"/>
      <c r="GK7001"/>
      <c r="GL7001"/>
      <c r="GM7001"/>
      <c r="GN7001"/>
    </row>
    <row r="7002" spans="189:196" x14ac:dyDescent="0.25">
      <c r="GG7002"/>
      <c r="GH7002"/>
      <c r="GI7002"/>
      <c r="GK7002"/>
      <c r="GL7002"/>
      <c r="GM7002"/>
      <c r="GN7002"/>
    </row>
    <row r="7003" spans="189:196" x14ac:dyDescent="0.25">
      <c r="GG7003"/>
      <c r="GH7003"/>
      <c r="GI7003"/>
      <c r="GK7003"/>
      <c r="GL7003"/>
      <c r="GM7003"/>
      <c r="GN7003"/>
    </row>
    <row r="7004" spans="189:196" x14ac:dyDescent="0.25">
      <c r="GG7004"/>
      <c r="GH7004"/>
      <c r="GI7004"/>
      <c r="GK7004"/>
      <c r="GL7004"/>
      <c r="GM7004"/>
      <c r="GN7004"/>
    </row>
    <row r="7005" spans="189:196" x14ac:dyDescent="0.25">
      <c r="GG7005"/>
      <c r="GH7005"/>
      <c r="GI7005"/>
      <c r="GK7005"/>
      <c r="GL7005"/>
      <c r="GM7005"/>
      <c r="GN7005"/>
    </row>
    <row r="7006" spans="189:196" x14ac:dyDescent="0.25">
      <c r="GG7006"/>
      <c r="GH7006"/>
      <c r="GI7006"/>
      <c r="GK7006"/>
      <c r="GL7006"/>
      <c r="GM7006"/>
      <c r="GN7006"/>
    </row>
    <row r="7007" spans="189:196" x14ac:dyDescent="0.25">
      <c r="GG7007"/>
      <c r="GH7007"/>
      <c r="GI7007"/>
      <c r="GK7007"/>
      <c r="GL7007"/>
      <c r="GM7007"/>
      <c r="GN7007"/>
    </row>
    <row r="7008" spans="189:196" x14ac:dyDescent="0.25">
      <c r="GG7008"/>
      <c r="GH7008"/>
      <c r="GI7008"/>
      <c r="GK7008"/>
      <c r="GL7008"/>
      <c r="GM7008"/>
      <c r="GN7008"/>
    </row>
    <row r="7009" spans="189:196" x14ac:dyDescent="0.25">
      <c r="GG7009"/>
      <c r="GH7009"/>
      <c r="GI7009"/>
      <c r="GK7009"/>
      <c r="GL7009"/>
      <c r="GM7009"/>
      <c r="GN7009"/>
    </row>
    <row r="7010" spans="189:196" x14ac:dyDescent="0.25">
      <c r="GG7010"/>
      <c r="GH7010"/>
      <c r="GI7010"/>
      <c r="GK7010"/>
      <c r="GL7010"/>
      <c r="GM7010"/>
      <c r="GN7010"/>
    </row>
    <row r="7011" spans="189:196" x14ac:dyDescent="0.25">
      <c r="GG7011"/>
      <c r="GH7011"/>
      <c r="GI7011"/>
      <c r="GK7011"/>
      <c r="GL7011"/>
      <c r="GM7011"/>
      <c r="GN7011"/>
    </row>
    <row r="7012" spans="189:196" x14ac:dyDescent="0.25">
      <c r="GG7012"/>
      <c r="GH7012"/>
      <c r="GI7012"/>
      <c r="GK7012"/>
      <c r="GL7012"/>
      <c r="GM7012"/>
      <c r="GN7012"/>
    </row>
    <row r="7013" spans="189:196" x14ac:dyDescent="0.25">
      <c r="GG7013"/>
      <c r="GH7013"/>
      <c r="GI7013"/>
      <c r="GK7013"/>
      <c r="GL7013"/>
      <c r="GM7013"/>
      <c r="GN7013"/>
    </row>
    <row r="7014" spans="189:196" x14ac:dyDescent="0.25">
      <c r="GG7014"/>
      <c r="GH7014"/>
      <c r="GI7014"/>
      <c r="GK7014"/>
      <c r="GL7014"/>
      <c r="GM7014"/>
      <c r="GN7014"/>
    </row>
    <row r="7015" spans="189:196" x14ac:dyDescent="0.25">
      <c r="GG7015"/>
      <c r="GH7015"/>
      <c r="GI7015"/>
      <c r="GK7015"/>
      <c r="GL7015"/>
      <c r="GM7015"/>
      <c r="GN7015"/>
    </row>
    <row r="7016" spans="189:196" x14ac:dyDescent="0.25">
      <c r="GG7016"/>
      <c r="GH7016"/>
      <c r="GI7016"/>
      <c r="GK7016"/>
      <c r="GL7016"/>
      <c r="GM7016"/>
      <c r="GN7016"/>
    </row>
    <row r="7017" spans="189:196" x14ac:dyDescent="0.25">
      <c r="GG7017"/>
      <c r="GH7017"/>
      <c r="GI7017"/>
      <c r="GK7017"/>
      <c r="GL7017"/>
      <c r="GM7017"/>
      <c r="GN7017"/>
    </row>
    <row r="7018" spans="189:196" x14ac:dyDescent="0.25">
      <c r="GG7018"/>
      <c r="GH7018"/>
      <c r="GI7018"/>
      <c r="GK7018"/>
      <c r="GL7018"/>
      <c r="GM7018"/>
      <c r="GN7018"/>
    </row>
    <row r="7019" spans="189:196" x14ac:dyDescent="0.25">
      <c r="GG7019"/>
      <c r="GH7019"/>
      <c r="GI7019"/>
      <c r="GK7019"/>
      <c r="GL7019"/>
      <c r="GM7019"/>
      <c r="GN7019"/>
    </row>
    <row r="7020" spans="189:196" x14ac:dyDescent="0.25">
      <c r="GG7020"/>
      <c r="GH7020"/>
      <c r="GI7020"/>
      <c r="GK7020"/>
      <c r="GL7020"/>
      <c r="GM7020"/>
      <c r="GN7020"/>
    </row>
    <row r="7021" spans="189:196" x14ac:dyDescent="0.25">
      <c r="GG7021"/>
      <c r="GH7021"/>
      <c r="GI7021"/>
      <c r="GK7021"/>
      <c r="GL7021"/>
      <c r="GM7021"/>
      <c r="GN7021"/>
    </row>
    <row r="7022" spans="189:196" x14ac:dyDescent="0.25">
      <c r="GG7022"/>
      <c r="GH7022"/>
      <c r="GI7022"/>
      <c r="GK7022"/>
      <c r="GL7022"/>
      <c r="GM7022"/>
      <c r="GN7022"/>
    </row>
    <row r="7023" spans="189:196" x14ac:dyDescent="0.25">
      <c r="GG7023"/>
      <c r="GH7023"/>
      <c r="GI7023"/>
      <c r="GK7023"/>
      <c r="GL7023"/>
      <c r="GM7023"/>
      <c r="GN7023"/>
    </row>
    <row r="7024" spans="189:196" x14ac:dyDescent="0.25">
      <c r="GG7024"/>
      <c r="GH7024"/>
      <c r="GI7024"/>
      <c r="GK7024"/>
      <c r="GL7024"/>
      <c r="GM7024"/>
      <c r="GN7024"/>
    </row>
    <row r="7025" spans="189:196" x14ac:dyDescent="0.25">
      <c r="GG7025"/>
      <c r="GH7025"/>
      <c r="GI7025"/>
      <c r="GK7025"/>
      <c r="GL7025"/>
      <c r="GM7025"/>
      <c r="GN7025"/>
    </row>
    <row r="7026" spans="189:196" x14ac:dyDescent="0.25">
      <c r="GG7026"/>
      <c r="GH7026"/>
      <c r="GI7026"/>
      <c r="GK7026"/>
      <c r="GL7026"/>
      <c r="GM7026"/>
      <c r="GN7026"/>
    </row>
    <row r="7027" spans="189:196" x14ac:dyDescent="0.25">
      <c r="GG7027"/>
      <c r="GH7027"/>
      <c r="GI7027"/>
      <c r="GK7027"/>
      <c r="GL7027"/>
      <c r="GM7027"/>
      <c r="GN7027"/>
    </row>
    <row r="7028" spans="189:196" x14ac:dyDescent="0.25">
      <c r="GG7028"/>
      <c r="GH7028"/>
      <c r="GI7028"/>
      <c r="GK7028"/>
      <c r="GL7028"/>
      <c r="GM7028"/>
      <c r="GN7028"/>
    </row>
    <row r="7029" spans="189:196" x14ac:dyDescent="0.25">
      <c r="GG7029"/>
      <c r="GH7029"/>
      <c r="GI7029"/>
      <c r="GK7029"/>
      <c r="GL7029"/>
      <c r="GM7029"/>
      <c r="GN7029"/>
    </row>
    <row r="7030" spans="189:196" x14ac:dyDescent="0.25">
      <c r="GG7030"/>
      <c r="GH7030"/>
      <c r="GI7030"/>
      <c r="GK7030"/>
      <c r="GL7030"/>
      <c r="GM7030"/>
      <c r="GN7030"/>
    </row>
    <row r="7031" spans="189:196" x14ac:dyDescent="0.25">
      <c r="GG7031"/>
      <c r="GH7031"/>
      <c r="GI7031"/>
      <c r="GK7031"/>
      <c r="GL7031"/>
      <c r="GM7031"/>
      <c r="GN7031"/>
    </row>
    <row r="7032" spans="189:196" x14ac:dyDescent="0.25">
      <c r="GG7032"/>
      <c r="GH7032"/>
      <c r="GI7032"/>
      <c r="GK7032"/>
      <c r="GL7032"/>
      <c r="GM7032"/>
      <c r="GN7032"/>
    </row>
    <row r="7033" spans="189:196" x14ac:dyDescent="0.25">
      <c r="GG7033"/>
      <c r="GH7033"/>
      <c r="GI7033"/>
      <c r="GK7033"/>
      <c r="GL7033"/>
      <c r="GM7033"/>
      <c r="GN7033"/>
    </row>
    <row r="7034" spans="189:196" x14ac:dyDescent="0.25">
      <c r="GG7034"/>
      <c r="GH7034"/>
      <c r="GI7034"/>
      <c r="GK7034"/>
      <c r="GL7034"/>
      <c r="GM7034"/>
      <c r="GN7034"/>
    </row>
    <row r="7035" spans="189:196" x14ac:dyDescent="0.25">
      <c r="GG7035"/>
      <c r="GH7035"/>
      <c r="GI7035"/>
      <c r="GK7035"/>
      <c r="GL7035"/>
      <c r="GM7035"/>
      <c r="GN7035"/>
    </row>
    <row r="7036" spans="189:196" x14ac:dyDescent="0.25">
      <c r="GG7036"/>
      <c r="GH7036"/>
      <c r="GI7036"/>
      <c r="GK7036"/>
      <c r="GL7036"/>
      <c r="GM7036"/>
      <c r="GN7036"/>
    </row>
    <row r="7037" spans="189:196" x14ac:dyDescent="0.25">
      <c r="GG7037"/>
      <c r="GH7037"/>
      <c r="GI7037"/>
      <c r="GK7037"/>
      <c r="GL7037"/>
      <c r="GM7037"/>
      <c r="GN7037"/>
    </row>
    <row r="7038" spans="189:196" x14ac:dyDescent="0.25">
      <c r="GG7038"/>
      <c r="GH7038"/>
      <c r="GI7038"/>
      <c r="GK7038"/>
      <c r="GL7038"/>
      <c r="GM7038"/>
      <c r="GN7038"/>
    </row>
    <row r="7039" spans="189:196" x14ac:dyDescent="0.25">
      <c r="GG7039"/>
      <c r="GH7039"/>
      <c r="GI7039"/>
      <c r="GK7039"/>
      <c r="GL7039"/>
      <c r="GM7039"/>
      <c r="GN7039"/>
    </row>
    <row r="7040" spans="189:196" x14ac:dyDescent="0.25">
      <c r="GG7040"/>
      <c r="GH7040"/>
      <c r="GI7040"/>
      <c r="GK7040"/>
      <c r="GL7040"/>
      <c r="GM7040"/>
      <c r="GN7040"/>
    </row>
    <row r="7041" spans="189:196" x14ac:dyDescent="0.25">
      <c r="GG7041"/>
      <c r="GH7041"/>
      <c r="GI7041"/>
      <c r="GK7041"/>
      <c r="GL7041"/>
      <c r="GM7041"/>
      <c r="GN7041"/>
    </row>
    <row r="7042" spans="189:196" x14ac:dyDescent="0.25">
      <c r="GG7042"/>
      <c r="GH7042"/>
      <c r="GI7042"/>
      <c r="GK7042"/>
      <c r="GL7042"/>
      <c r="GM7042"/>
      <c r="GN7042"/>
    </row>
    <row r="7043" spans="189:196" x14ac:dyDescent="0.25">
      <c r="GG7043"/>
      <c r="GH7043"/>
      <c r="GI7043"/>
      <c r="GK7043"/>
      <c r="GL7043"/>
      <c r="GM7043"/>
      <c r="GN7043"/>
    </row>
    <row r="7044" spans="189:196" x14ac:dyDescent="0.25">
      <c r="GG7044"/>
      <c r="GH7044"/>
      <c r="GI7044"/>
      <c r="GK7044"/>
      <c r="GL7044"/>
      <c r="GM7044"/>
      <c r="GN7044"/>
    </row>
    <row r="7045" spans="189:196" x14ac:dyDescent="0.25">
      <c r="GG7045"/>
      <c r="GH7045"/>
      <c r="GI7045"/>
      <c r="GK7045"/>
      <c r="GL7045"/>
      <c r="GM7045"/>
      <c r="GN7045"/>
    </row>
    <row r="7046" spans="189:196" x14ac:dyDescent="0.25">
      <c r="GG7046"/>
      <c r="GH7046"/>
      <c r="GI7046"/>
      <c r="GK7046"/>
      <c r="GL7046"/>
      <c r="GM7046"/>
      <c r="GN7046"/>
    </row>
    <row r="7047" spans="189:196" x14ac:dyDescent="0.25">
      <c r="GG7047"/>
      <c r="GH7047"/>
      <c r="GI7047"/>
      <c r="GK7047"/>
      <c r="GL7047"/>
      <c r="GM7047"/>
      <c r="GN7047"/>
    </row>
    <row r="7048" spans="189:196" x14ac:dyDescent="0.25">
      <c r="GG7048"/>
      <c r="GH7048"/>
      <c r="GI7048"/>
      <c r="GK7048"/>
      <c r="GL7048"/>
      <c r="GM7048"/>
      <c r="GN7048"/>
    </row>
    <row r="7049" spans="189:196" x14ac:dyDescent="0.25">
      <c r="GG7049"/>
      <c r="GH7049"/>
      <c r="GI7049"/>
      <c r="GK7049"/>
      <c r="GL7049"/>
      <c r="GM7049"/>
      <c r="GN7049"/>
    </row>
    <row r="7050" spans="189:196" x14ac:dyDescent="0.25">
      <c r="GG7050"/>
      <c r="GH7050"/>
      <c r="GI7050"/>
      <c r="GK7050"/>
      <c r="GL7050"/>
      <c r="GM7050"/>
      <c r="GN7050"/>
    </row>
    <row r="7051" spans="189:196" x14ac:dyDescent="0.25">
      <c r="GG7051"/>
      <c r="GH7051"/>
      <c r="GI7051"/>
      <c r="GK7051"/>
      <c r="GL7051"/>
      <c r="GM7051"/>
      <c r="GN7051"/>
    </row>
    <row r="7052" spans="189:196" x14ac:dyDescent="0.25">
      <c r="GG7052"/>
      <c r="GH7052"/>
      <c r="GI7052"/>
      <c r="GK7052"/>
      <c r="GL7052"/>
      <c r="GM7052"/>
      <c r="GN7052"/>
    </row>
    <row r="7053" spans="189:196" x14ac:dyDescent="0.25">
      <c r="GG7053"/>
      <c r="GH7053"/>
      <c r="GI7053"/>
      <c r="GK7053"/>
      <c r="GL7053"/>
      <c r="GM7053"/>
      <c r="GN7053"/>
    </row>
    <row r="7054" spans="189:196" x14ac:dyDescent="0.25">
      <c r="GG7054"/>
      <c r="GH7054"/>
      <c r="GI7054"/>
      <c r="GK7054"/>
      <c r="GL7054"/>
      <c r="GM7054"/>
      <c r="GN7054"/>
    </row>
    <row r="7055" spans="189:196" x14ac:dyDescent="0.25">
      <c r="GG7055"/>
      <c r="GH7055"/>
      <c r="GI7055"/>
      <c r="GK7055"/>
      <c r="GL7055"/>
      <c r="GM7055"/>
      <c r="GN7055"/>
    </row>
    <row r="7056" spans="189:196" x14ac:dyDescent="0.25">
      <c r="GG7056"/>
      <c r="GH7056"/>
      <c r="GI7056"/>
      <c r="GK7056"/>
      <c r="GL7056"/>
      <c r="GM7056"/>
      <c r="GN7056"/>
    </row>
    <row r="7057" spans="189:196" x14ac:dyDescent="0.25">
      <c r="GG7057"/>
      <c r="GH7057"/>
      <c r="GI7057"/>
      <c r="GK7057"/>
      <c r="GL7057"/>
      <c r="GM7057"/>
      <c r="GN7057"/>
    </row>
    <row r="7058" spans="189:196" x14ac:dyDescent="0.25">
      <c r="GG7058"/>
      <c r="GH7058"/>
      <c r="GI7058"/>
      <c r="GK7058"/>
      <c r="GL7058"/>
      <c r="GM7058"/>
      <c r="GN7058"/>
    </row>
    <row r="7059" spans="189:196" x14ac:dyDescent="0.25">
      <c r="GG7059"/>
      <c r="GH7059"/>
      <c r="GI7059"/>
      <c r="GK7059"/>
      <c r="GL7059"/>
      <c r="GM7059"/>
      <c r="GN7059"/>
    </row>
    <row r="7060" spans="189:196" x14ac:dyDescent="0.25">
      <c r="GG7060"/>
      <c r="GH7060"/>
      <c r="GI7060"/>
      <c r="GK7060"/>
      <c r="GL7060"/>
      <c r="GM7060"/>
      <c r="GN7060"/>
    </row>
    <row r="7061" spans="189:196" x14ac:dyDescent="0.25">
      <c r="GG7061"/>
      <c r="GH7061"/>
      <c r="GI7061"/>
      <c r="GK7061"/>
      <c r="GL7061"/>
      <c r="GM7061"/>
      <c r="GN7061"/>
    </row>
    <row r="7062" spans="189:196" x14ac:dyDescent="0.25">
      <c r="GG7062"/>
      <c r="GH7062"/>
      <c r="GI7062"/>
      <c r="GK7062"/>
      <c r="GL7062"/>
      <c r="GM7062"/>
      <c r="GN7062"/>
    </row>
    <row r="7063" spans="189:196" x14ac:dyDescent="0.25">
      <c r="GG7063"/>
      <c r="GH7063"/>
      <c r="GI7063"/>
      <c r="GK7063"/>
      <c r="GL7063"/>
      <c r="GM7063"/>
      <c r="GN7063"/>
    </row>
    <row r="7064" spans="189:196" x14ac:dyDescent="0.25">
      <c r="GG7064"/>
      <c r="GH7064"/>
      <c r="GI7064"/>
      <c r="GK7064"/>
      <c r="GL7064"/>
      <c r="GM7064"/>
      <c r="GN7064"/>
    </row>
    <row r="7065" spans="189:196" x14ac:dyDescent="0.25">
      <c r="GG7065"/>
      <c r="GH7065"/>
      <c r="GI7065"/>
      <c r="GK7065"/>
      <c r="GL7065"/>
      <c r="GM7065"/>
      <c r="GN7065"/>
    </row>
    <row r="7066" spans="189:196" x14ac:dyDescent="0.25">
      <c r="GG7066"/>
      <c r="GH7066"/>
      <c r="GI7066"/>
      <c r="GK7066"/>
      <c r="GL7066"/>
      <c r="GM7066"/>
      <c r="GN7066"/>
    </row>
    <row r="7067" spans="189:196" x14ac:dyDescent="0.25">
      <c r="GG7067"/>
      <c r="GH7067"/>
      <c r="GI7067"/>
      <c r="GK7067"/>
      <c r="GL7067"/>
      <c r="GM7067"/>
      <c r="GN7067"/>
    </row>
    <row r="7068" spans="189:196" x14ac:dyDescent="0.25">
      <c r="GG7068"/>
      <c r="GH7068"/>
      <c r="GI7068"/>
      <c r="GK7068"/>
      <c r="GL7068"/>
      <c r="GM7068"/>
      <c r="GN7068"/>
    </row>
    <row r="7069" spans="189:196" x14ac:dyDescent="0.25">
      <c r="GG7069"/>
      <c r="GH7069"/>
      <c r="GI7069"/>
      <c r="GK7069"/>
      <c r="GL7069"/>
      <c r="GM7069"/>
      <c r="GN7069"/>
    </row>
    <row r="7070" spans="189:196" x14ac:dyDescent="0.25">
      <c r="GG7070"/>
      <c r="GH7070"/>
      <c r="GI7070"/>
      <c r="GK7070"/>
      <c r="GL7070"/>
      <c r="GM7070"/>
      <c r="GN7070"/>
    </row>
    <row r="7071" spans="189:196" x14ac:dyDescent="0.25">
      <c r="GG7071"/>
      <c r="GH7071"/>
      <c r="GI7071"/>
      <c r="GK7071"/>
      <c r="GL7071"/>
      <c r="GM7071"/>
      <c r="GN7071"/>
    </row>
    <row r="7072" spans="189:196" x14ac:dyDescent="0.25">
      <c r="GG7072"/>
      <c r="GH7072"/>
      <c r="GI7072"/>
      <c r="GK7072"/>
      <c r="GL7072"/>
      <c r="GM7072"/>
      <c r="GN7072"/>
    </row>
    <row r="7073" spans="189:196" x14ac:dyDescent="0.25">
      <c r="GG7073"/>
      <c r="GH7073"/>
      <c r="GI7073"/>
      <c r="GK7073"/>
      <c r="GL7073"/>
      <c r="GM7073"/>
      <c r="GN7073"/>
    </row>
    <row r="7074" spans="189:196" x14ac:dyDescent="0.25">
      <c r="GG7074"/>
      <c r="GH7074"/>
      <c r="GI7074"/>
      <c r="GK7074"/>
      <c r="GL7074"/>
      <c r="GM7074"/>
      <c r="GN7074"/>
    </row>
    <row r="7075" spans="189:196" x14ac:dyDescent="0.25">
      <c r="GG7075"/>
      <c r="GH7075"/>
      <c r="GI7075"/>
      <c r="GK7075"/>
      <c r="GL7075"/>
      <c r="GM7075"/>
      <c r="GN7075"/>
    </row>
    <row r="7076" spans="189:196" x14ac:dyDescent="0.25">
      <c r="GG7076"/>
      <c r="GH7076"/>
      <c r="GI7076"/>
      <c r="GK7076"/>
      <c r="GL7076"/>
      <c r="GM7076"/>
      <c r="GN7076"/>
    </row>
    <row r="7077" spans="189:196" x14ac:dyDescent="0.25">
      <c r="GG7077"/>
      <c r="GH7077"/>
      <c r="GI7077"/>
      <c r="GK7077"/>
      <c r="GL7077"/>
      <c r="GM7077"/>
      <c r="GN7077"/>
    </row>
    <row r="7078" spans="189:196" x14ac:dyDescent="0.25">
      <c r="GG7078"/>
      <c r="GH7078"/>
      <c r="GI7078"/>
      <c r="GK7078"/>
      <c r="GL7078"/>
      <c r="GM7078"/>
      <c r="GN7078"/>
    </row>
    <row r="7079" spans="189:196" x14ac:dyDescent="0.25">
      <c r="GG7079"/>
      <c r="GH7079"/>
      <c r="GI7079"/>
      <c r="GK7079"/>
      <c r="GL7079"/>
      <c r="GM7079"/>
      <c r="GN7079"/>
    </row>
    <row r="7080" spans="189:196" x14ac:dyDescent="0.25">
      <c r="GG7080"/>
      <c r="GH7080"/>
      <c r="GI7080"/>
      <c r="GK7080"/>
      <c r="GL7080"/>
      <c r="GM7080"/>
      <c r="GN7080"/>
    </row>
    <row r="7081" spans="189:196" x14ac:dyDescent="0.25">
      <c r="GG7081"/>
      <c r="GH7081"/>
      <c r="GI7081"/>
      <c r="GK7081"/>
      <c r="GL7081"/>
      <c r="GM7081"/>
      <c r="GN7081"/>
    </row>
    <row r="7082" spans="189:196" x14ac:dyDescent="0.25">
      <c r="GG7082"/>
      <c r="GH7082"/>
      <c r="GI7082"/>
      <c r="GK7082"/>
      <c r="GL7082"/>
      <c r="GM7082"/>
      <c r="GN7082"/>
    </row>
    <row r="7083" spans="189:196" x14ac:dyDescent="0.25">
      <c r="GG7083"/>
      <c r="GH7083"/>
      <c r="GI7083"/>
      <c r="GK7083"/>
      <c r="GL7083"/>
      <c r="GM7083"/>
      <c r="GN7083"/>
    </row>
    <row r="7084" spans="189:196" x14ac:dyDescent="0.25">
      <c r="GG7084"/>
      <c r="GH7084"/>
      <c r="GI7084"/>
      <c r="GK7084"/>
      <c r="GL7084"/>
      <c r="GM7084"/>
      <c r="GN7084"/>
    </row>
    <row r="7085" spans="189:196" x14ac:dyDescent="0.25">
      <c r="GG7085"/>
      <c r="GH7085"/>
      <c r="GI7085"/>
      <c r="GK7085"/>
      <c r="GL7085"/>
      <c r="GM7085"/>
      <c r="GN7085"/>
    </row>
    <row r="7086" spans="189:196" x14ac:dyDescent="0.25">
      <c r="GG7086"/>
      <c r="GH7086"/>
      <c r="GI7086"/>
      <c r="GK7086"/>
      <c r="GL7086"/>
      <c r="GM7086"/>
      <c r="GN7086"/>
    </row>
    <row r="7087" spans="189:196" x14ac:dyDescent="0.25">
      <c r="GG7087"/>
      <c r="GH7087"/>
      <c r="GI7087"/>
      <c r="GK7087"/>
      <c r="GL7087"/>
      <c r="GM7087"/>
      <c r="GN7087"/>
    </row>
    <row r="7088" spans="189:196" x14ac:dyDescent="0.25">
      <c r="GG7088"/>
      <c r="GH7088"/>
      <c r="GI7088"/>
      <c r="GK7088"/>
      <c r="GL7088"/>
      <c r="GM7088"/>
      <c r="GN7088"/>
    </row>
    <row r="7089" spans="189:196" x14ac:dyDescent="0.25">
      <c r="GG7089"/>
      <c r="GH7089"/>
      <c r="GI7089"/>
      <c r="GK7089"/>
      <c r="GL7089"/>
      <c r="GM7089"/>
      <c r="GN7089"/>
    </row>
    <row r="7090" spans="189:196" x14ac:dyDescent="0.25">
      <c r="GG7090"/>
      <c r="GH7090"/>
      <c r="GI7090"/>
      <c r="GK7090"/>
      <c r="GL7090"/>
      <c r="GM7090"/>
      <c r="GN7090"/>
    </row>
    <row r="7091" spans="189:196" x14ac:dyDescent="0.25">
      <c r="GG7091"/>
      <c r="GH7091"/>
      <c r="GI7091"/>
      <c r="GK7091"/>
      <c r="GL7091"/>
      <c r="GM7091"/>
      <c r="GN7091"/>
    </row>
    <row r="7092" spans="189:196" x14ac:dyDescent="0.25">
      <c r="GG7092"/>
      <c r="GH7092"/>
      <c r="GI7092"/>
      <c r="GK7092"/>
      <c r="GL7092"/>
      <c r="GM7092"/>
      <c r="GN7092"/>
    </row>
    <row r="7093" spans="189:196" x14ac:dyDescent="0.25">
      <c r="GG7093"/>
      <c r="GH7093"/>
      <c r="GI7093"/>
      <c r="GK7093"/>
      <c r="GL7093"/>
      <c r="GM7093"/>
      <c r="GN7093"/>
    </row>
    <row r="7094" spans="189:196" x14ac:dyDescent="0.25">
      <c r="GG7094"/>
      <c r="GH7094"/>
      <c r="GI7094"/>
      <c r="GK7094"/>
      <c r="GL7094"/>
      <c r="GM7094"/>
      <c r="GN7094"/>
    </row>
    <row r="7095" spans="189:196" x14ac:dyDescent="0.25">
      <c r="GG7095"/>
      <c r="GH7095"/>
      <c r="GI7095"/>
      <c r="GK7095"/>
      <c r="GL7095"/>
      <c r="GM7095"/>
      <c r="GN7095"/>
    </row>
    <row r="7096" spans="189:196" x14ac:dyDescent="0.25">
      <c r="GG7096"/>
      <c r="GH7096"/>
      <c r="GI7096"/>
      <c r="GK7096"/>
      <c r="GL7096"/>
      <c r="GM7096"/>
      <c r="GN7096"/>
    </row>
    <row r="7097" spans="189:196" x14ac:dyDescent="0.25">
      <c r="GG7097"/>
      <c r="GH7097"/>
      <c r="GI7097"/>
      <c r="GK7097"/>
      <c r="GL7097"/>
      <c r="GM7097"/>
      <c r="GN7097"/>
    </row>
    <row r="7098" spans="189:196" x14ac:dyDescent="0.25">
      <c r="GG7098"/>
      <c r="GH7098"/>
      <c r="GI7098"/>
      <c r="GK7098"/>
      <c r="GL7098"/>
      <c r="GM7098"/>
      <c r="GN7098"/>
    </row>
    <row r="7099" spans="189:196" x14ac:dyDescent="0.25">
      <c r="GG7099"/>
      <c r="GH7099"/>
      <c r="GI7099"/>
      <c r="GK7099"/>
      <c r="GL7099"/>
      <c r="GM7099"/>
      <c r="GN7099"/>
    </row>
    <row r="7100" spans="189:196" x14ac:dyDescent="0.25">
      <c r="GG7100"/>
      <c r="GH7100"/>
      <c r="GI7100"/>
      <c r="GK7100"/>
      <c r="GL7100"/>
      <c r="GM7100"/>
      <c r="GN7100"/>
    </row>
    <row r="7101" spans="189:196" x14ac:dyDescent="0.25">
      <c r="GG7101"/>
      <c r="GH7101"/>
      <c r="GI7101"/>
      <c r="GK7101"/>
      <c r="GL7101"/>
      <c r="GM7101"/>
      <c r="GN7101"/>
    </row>
    <row r="7102" spans="189:196" x14ac:dyDescent="0.25">
      <c r="GG7102"/>
      <c r="GH7102"/>
      <c r="GI7102"/>
      <c r="GK7102"/>
      <c r="GL7102"/>
      <c r="GM7102"/>
      <c r="GN7102"/>
    </row>
    <row r="7103" spans="189:196" x14ac:dyDescent="0.25">
      <c r="GG7103"/>
      <c r="GH7103"/>
      <c r="GI7103"/>
      <c r="GK7103"/>
      <c r="GL7103"/>
      <c r="GM7103"/>
      <c r="GN7103"/>
    </row>
    <row r="7104" spans="189:196" x14ac:dyDescent="0.25">
      <c r="GG7104"/>
      <c r="GH7104"/>
      <c r="GI7104"/>
      <c r="GK7104"/>
      <c r="GL7104"/>
      <c r="GM7104"/>
      <c r="GN7104"/>
    </row>
    <row r="7105" spans="189:196" x14ac:dyDescent="0.25">
      <c r="GG7105"/>
      <c r="GH7105"/>
      <c r="GI7105"/>
      <c r="GK7105"/>
      <c r="GL7105"/>
      <c r="GM7105"/>
      <c r="GN7105"/>
    </row>
    <row r="7106" spans="189:196" x14ac:dyDescent="0.25">
      <c r="GG7106"/>
      <c r="GH7106"/>
      <c r="GI7106"/>
      <c r="GK7106"/>
      <c r="GL7106"/>
      <c r="GM7106"/>
      <c r="GN7106"/>
    </row>
    <row r="7107" spans="189:196" x14ac:dyDescent="0.25">
      <c r="GG7107"/>
      <c r="GH7107"/>
      <c r="GI7107"/>
      <c r="GK7107"/>
      <c r="GL7107"/>
      <c r="GM7107"/>
      <c r="GN7107"/>
    </row>
    <row r="7108" spans="189:196" x14ac:dyDescent="0.25">
      <c r="GG7108"/>
      <c r="GH7108"/>
      <c r="GI7108"/>
      <c r="GK7108"/>
      <c r="GL7108"/>
      <c r="GM7108"/>
      <c r="GN7108"/>
    </row>
    <row r="7109" spans="189:196" x14ac:dyDescent="0.25">
      <c r="GG7109"/>
      <c r="GH7109"/>
      <c r="GI7109"/>
      <c r="GK7109"/>
      <c r="GL7109"/>
      <c r="GM7109"/>
      <c r="GN7109"/>
    </row>
    <row r="7110" spans="189:196" x14ac:dyDescent="0.25">
      <c r="GG7110"/>
      <c r="GH7110"/>
      <c r="GI7110"/>
      <c r="GK7110"/>
      <c r="GL7110"/>
      <c r="GM7110"/>
      <c r="GN7110"/>
    </row>
    <row r="7111" spans="189:196" x14ac:dyDescent="0.25">
      <c r="GG7111"/>
      <c r="GH7111"/>
      <c r="GI7111"/>
      <c r="GK7111"/>
      <c r="GL7111"/>
      <c r="GM7111"/>
      <c r="GN7111"/>
    </row>
    <row r="7112" spans="189:196" x14ac:dyDescent="0.25">
      <c r="GG7112"/>
      <c r="GH7112"/>
      <c r="GI7112"/>
      <c r="GK7112"/>
      <c r="GL7112"/>
      <c r="GM7112"/>
      <c r="GN7112"/>
    </row>
    <row r="7113" spans="189:196" x14ac:dyDescent="0.25">
      <c r="GG7113"/>
      <c r="GH7113"/>
      <c r="GI7113"/>
      <c r="GK7113"/>
      <c r="GL7113"/>
      <c r="GM7113"/>
      <c r="GN7113"/>
    </row>
    <row r="7114" spans="189:196" x14ac:dyDescent="0.25">
      <c r="GG7114"/>
      <c r="GH7114"/>
      <c r="GI7114"/>
      <c r="GK7114"/>
      <c r="GL7114"/>
      <c r="GM7114"/>
      <c r="GN7114"/>
    </row>
    <row r="7115" spans="189:196" x14ac:dyDescent="0.25">
      <c r="GG7115"/>
      <c r="GH7115"/>
      <c r="GI7115"/>
      <c r="GK7115"/>
      <c r="GL7115"/>
      <c r="GM7115"/>
      <c r="GN7115"/>
    </row>
    <row r="7116" spans="189:196" x14ac:dyDescent="0.25">
      <c r="GG7116"/>
      <c r="GH7116"/>
      <c r="GI7116"/>
      <c r="GK7116"/>
      <c r="GL7116"/>
      <c r="GM7116"/>
      <c r="GN7116"/>
    </row>
    <row r="7117" spans="189:196" x14ac:dyDescent="0.25">
      <c r="GG7117"/>
      <c r="GH7117"/>
      <c r="GI7117"/>
      <c r="GK7117"/>
      <c r="GL7117"/>
      <c r="GM7117"/>
      <c r="GN7117"/>
    </row>
    <row r="7118" spans="189:196" x14ac:dyDescent="0.25">
      <c r="GG7118"/>
      <c r="GH7118"/>
      <c r="GI7118"/>
      <c r="GK7118"/>
      <c r="GL7118"/>
      <c r="GM7118"/>
      <c r="GN7118"/>
    </row>
    <row r="7119" spans="189:196" x14ac:dyDescent="0.25">
      <c r="GG7119"/>
      <c r="GH7119"/>
      <c r="GI7119"/>
      <c r="GK7119"/>
      <c r="GL7119"/>
      <c r="GM7119"/>
      <c r="GN7119"/>
    </row>
    <row r="7120" spans="189:196" x14ac:dyDescent="0.25">
      <c r="GG7120"/>
      <c r="GH7120"/>
      <c r="GI7120"/>
      <c r="GK7120"/>
      <c r="GL7120"/>
      <c r="GM7120"/>
      <c r="GN7120"/>
    </row>
    <row r="7121" spans="189:196" x14ac:dyDescent="0.25">
      <c r="GG7121"/>
      <c r="GH7121"/>
      <c r="GI7121"/>
      <c r="GK7121"/>
      <c r="GL7121"/>
      <c r="GM7121"/>
      <c r="GN7121"/>
    </row>
    <row r="7122" spans="189:196" x14ac:dyDescent="0.25">
      <c r="GG7122"/>
      <c r="GH7122"/>
      <c r="GI7122"/>
      <c r="GK7122"/>
      <c r="GL7122"/>
      <c r="GM7122"/>
      <c r="GN7122"/>
    </row>
    <row r="7123" spans="189:196" x14ac:dyDescent="0.25">
      <c r="GG7123"/>
      <c r="GH7123"/>
      <c r="GI7123"/>
      <c r="GK7123"/>
      <c r="GL7123"/>
      <c r="GM7123"/>
      <c r="GN7123"/>
    </row>
    <row r="7124" spans="189:196" x14ac:dyDescent="0.25">
      <c r="GG7124"/>
      <c r="GH7124"/>
      <c r="GI7124"/>
      <c r="GK7124"/>
      <c r="GL7124"/>
      <c r="GM7124"/>
      <c r="GN7124"/>
    </row>
    <row r="7125" spans="189:196" x14ac:dyDescent="0.25">
      <c r="GG7125"/>
      <c r="GH7125"/>
      <c r="GI7125"/>
      <c r="GK7125"/>
      <c r="GL7125"/>
      <c r="GM7125"/>
      <c r="GN7125"/>
    </row>
    <row r="7126" spans="189:196" x14ac:dyDescent="0.25">
      <c r="GG7126"/>
      <c r="GH7126"/>
      <c r="GI7126"/>
      <c r="GK7126"/>
      <c r="GL7126"/>
      <c r="GM7126"/>
      <c r="GN7126"/>
    </row>
    <row r="7127" spans="189:196" x14ac:dyDescent="0.25">
      <c r="GG7127"/>
      <c r="GH7127"/>
      <c r="GI7127"/>
      <c r="GK7127"/>
      <c r="GL7127"/>
      <c r="GM7127"/>
      <c r="GN7127"/>
    </row>
    <row r="7128" spans="189:196" x14ac:dyDescent="0.25">
      <c r="GG7128"/>
      <c r="GH7128"/>
      <c r="GI7128"/>
      <c r="GK7128"/>
      <c r="GL7128"/>
      <c r="GM7128"/>
      <c r="GN7128"/>
    </row>
    <row r="7129" spans="189:196" x14ac:dyDescent="0.25">
      <c r="GG7129"/>
      <c r="GH7129"/>
      <c r="GI7129"/>
      <c r="GK7129"/>
      <c r="GL7129"/>
      <c r="GM7129"/>
      <c r="GN7129"/>
    </row>
    <row r="7130" spans="189:196" x14ac:dyDescent="0.25">
      <c r="GG7130"/>
      <c r="GH7130"/>
      <c r="GI7130"/>
      <c r="GK7130"/>
      <c r="GL7130"/>
      <c r="GM7130"/>
      <c r="GN7130"/>
    </row>
    <row r="7131" spans="189:196" x14ac:dyDescent="0.25">
      <c r="GG7131"/>
      <c r="GH7131"/>
      <c r="GI7131"/>
      <c r="GK7131"/>
      <c r="GL7131"/>
      <c r="GM7131"/>
      <c r="GN7131"/>
    </row>
    <row r="7132" spans="189:196" x14ac:dyDescent="0.25">
      <c r="GG7132"/>
      <c r="GH7132"/>
      <c r="GI7132"/>
      <c r="GK7132"/>
      <c r="GL7132"/>
      <c r="GM7132"/>
      <c r="GN7132"/>
    </row>
    <row r="7133" spans="189:196" x14ac:dyDescent="0.25">
      <c r="GG7133"/>
      <c r="GH7133"/>
      <c r="GI7133"/>
      <c r="GK7133"/>
      <c r="GL7133"/>
      <c r="GM7133"/>
      <c r="GN7133"/>
    </row>
    <row r="7134" spans="189:196" x14ac:dyDescent="0.25">
      <c r="GG7134"/>
      <c r="GH7134"/>
      <c r="GI7134"/>
      <c r="GK7134"/>
      <c r="GL7134"/>
      <c r="GM7134"/>
      <c r="GN7134"/>
    </row>
    <row r="7135" spans="189:196" x14ac:dyDescent="0.25">
      <c r="GG7135"/>
      <c r="GH7135"/>
      <c r="GI7135"/>
      <c r="GK7135"/>
      <c r="GL7135"/>
      <c r="GM7135"/>
      <c r="GN7135"/>
    </row>
    <row r="7136" spans="189:196" x14ac:dyDescent="0.25">
      <c r="GG7136"/>
      <c r="GH7136"/>
      <c r="GI7136"/>
      <c r="GK7136"/>
      <c r="GL7136"/>
      <c r="GM7136"/>
      <c r="GN7136"/>
    </row>
    <row r="7137" spans="189:196" x14ac:dyDescent="0.25">
      <c r="GG7137"/>
      <c r="GH7137"/>
      <c r="GI7137"/>
      <c r="GK7137"/>
      <c r="GL7137"/>
      <c r="GM7137"/>
      <c r="GN7137"/>
    </row>
    <row r="7138" spans="189:196" x14ac:dyDescent="0.25">
      <c r="GG7138"/>
      <c r="GH7138"/>
      <c r="GI7138"/>
      <c r="GK7138"/>
      <c r="GL7138"/>
      <c r="GM7138"/>
      <c r="GN7138"/>
    </row>
    <row r="7139" spans="189:196" x14ac:dyDescent="0.25">
      <c r="GG7139"/>
      <c r="GH7139"/>
      <c r="GI7139"/>
      <c r="GK7139"/>
      <c r="GL7139"/>
      <c r="GM7139"/>
      <c r="GN7139"/>
    </row>
    <row r="7140" spans="189:196" x14ac:dyDescent="0.25">
      <c r="GG7140"/>
      <c r="GH7140"/>
      <c r="GI7140"/>
      <c r="GK7140"/>
      <c r="GL7140"/>
      <c r="GM7140"/>
      <c r="GN7140"/>
    </row>
    <row r="7141" spans="189:196" x14ac:dyDescent="0.25">
      <c r="GG7141"/>
      <c r="GH7141"/>
      <c r="GI7141"/>
      <c r="GK7141"/>
      <c r="GL7141"/>
      <c r="GM7141"/>
      <c r="GN7141"/>
    </row>
    <row r="7142" spans="189:196" x14ac:dyDescent="0.25">
      <c r="GG7142"/>
      <c r="GH7142"/>
      <c r="GI7142"/>
      <c r="GK7142"/>
      <c r="GL7142"/>
      <c r="GM7142"/>
      <c r="GN7142"/>
    </row>
    <row r="7143" spans="189:196" x14ac:dyDescent="0.25">
      <c r="GG7143"/>
      <c r="GH7143"/>
      <c r="GI7143"/>
      <c r="GK7143"/>
      <c r="GL7143"/>
      <c r="GM7143"/>
      <c r="GN7143"/>
    </row>
    <row r="7144" spans="189:196" x14ac:dyDescent="0.25">
      <c r="GG7144"/>
      <c r="GH7144"/>
      <c r="GI7144"/>
      <c r="GK7144"/>
      <c r="GL7144"/>
      <c r="GM7144"/>
      <c r="GN7144"/>
    </row>
    <row r="7145" spans="189:196" x14ac:dyDescent="0.25">
      <c r="GG7145"/>
      <c r="GH7145"/>
      <c r="GI7145"/>
      <c r="GK7145"/>
      <c r="GL7145"/>
      <c r="GM7145"/>
      <c r="GN7145"/>
    </row>
    <row r="7146" spans="189:196" x14ac:dyDescent="0.25">
      <c r="GG7146"/>
      <c r="GH7146"/>
      <c r="GI7146"/>
      <c r="GK7146"/>
      <c r="GL7146"/>
      <c r="GM7146"/>
      <c r="GN7146"/>
    </row>
    <row r="7147" spans="189:196" x14ac:dyDescent="0.25">
      <c r="GG7147"/>
      <c r="GH7147"/>
      <c r="GI7147"/>
      <c r="GK7147"/>
      <c r="GL7147"/>
      <c r="GM7147"/>
      <c r="GN7147"/>
    </row>
    <row r="7148" spans="189:196" x14ac:dyDescent="0.25">
      <c r="GG7148"/>
      <c r="GH7148"/>
      <c r="GI7148"/>
      <c r="GK7148"/>
      <c r="GL7148"/>
      <c r="GM7148"/>
      <c r="GN7148"/>
    </row>
    <row r="7149" spans="189:196" x14ac:dyDescent="0.25">
      <c r="GG7149"/>
      <c r="GH7149"/>
      <c r="GI7149"/>
      <c r="GK7149"/>
      <c r="GL7149"/>
      <c r="GM7149"/>
      <c r="GN7149"/>
    </row>
    <row r="7150" spans="189:196" x14ac:dyDescent="0.25">
      <c r="GG7150"/>
      <c r="GH7150"/>
      <c r="GI7150"/>
      <c r="GK7150"/>
      <c r="GL7150"/>
      <c r="GM7150"/>
      <c r="GN7150"/>
    </row>
    <row r="7151" spans="189:196" x14ac:dyDescent="0.25">
      <c r="GG7151"/>
      <c r="GH7151"/>
      <c r="GI7151"/>
      <c r="GK7151"/>
      <c r="GL7151"/>
      <c r="GM7151"/>
      <c r="GN7151"/>
    </row>
    <row r="7152" spans="189:196" x14ac:dyDescent="0.25">
      <c r="GG7152"/>
      <c r="GH7152"/>
      <c r="GI7152"/>
      <c r="GK7152"/>
      <c r="GL7152"/>
      <c r="GM7152"/>
      <c r="GN7152"/>
    </row>
    <row r="7153" spans="189:196" x14ac:dyDescent="0.25">
      <c r="GG7153"/>
      <c r="GH7153"/>
      <c r="GI7153"/>
      <c r="GK7153"/>
      <c r="GL7153"/>
      <c r="GM7153"/>
      <c r="GN7153"/>
    </row>
    <row r="7154" spans="189:196" x14ac:dyDescent="0.25">
      <c r="GG7154"/>
      <c r="GH7154"/>
      <c r="GI7154"/>
      <c r="GK7154"/>
      <c r="GL7154"/>
      <c r="GM7154"/>
      <c r="GN7154"/>
    </row>
    <row r="7155" spans="189:196" x14ac:dyDescent="0.25">
      <c r="GG7155"/>
      <c r="GH7155"/>
      <c r="GI7155"/>
      <c r="GK7155"/>
      <c r="GL7155"/>
      <c r="GM7155"/>
      <c r="GN7155"/>
    </row>
    <row r="7156" spans="189:196" x14ac:dyDescent="0.25">
      <c r="GG7156"/>
      <c r="GH7156"/>
      <c r="GI7156"/>
      <c r="GK7156"/>
      <c r="GL7156"/>
      <c r="GM7156"/>
      <c r="GN7156"/>
    </row>
    <row r="7157" spans="189:196" x14ac:dyDescent="0.25">
      <c r="GG7157"/>
      <c r="GH7157"/>
      <c r="GI7157"/>
      <c r="GK7157"/>
      <c r="GL7157"/>
      <c r="GM7157"/>
      <c r="GN7157"/>
    </row>
    <row r="7158" spans="189:196" x14ac:dyDescent="0.25">
      <c r="GG7158"/>
      <c r="GH7158"/>
      <c r="GI7158"/>
      <c r="GK7158"/>
      <c r="GL7158"/>
      <c r="GM7158"/>
      <c r="GN7158"/>
    </row>
    <row r="7159" spans="189:196" x14ac:dyDescent="0.25">
      <c r="GG7159"/>
      <c r="GH7159"/>
      <c r="GI7159"/>
      <c r="GK7159"/>
      <c r="GL7159"/>
      <c r="GM7159"/>
      <c r="GN7159"/>
    </row>
    <row r="7160" spans="189:196" x14ac:dyDescent="0.25">
      <c r="GG7160"/>
      <c r="GH7160"/>
      <c r="GI7160"/>
      <c r="GK7160"/>
      <c r="GL7160"/>
      <c r="GM7160"/>
      <c r="GN7160"/>
    </row>
    <row r="7161" spans="189:196" x14ac:dyDescent="0.25">
      <c r="GG7161"/>
      <c r="GH7161"/>
      <c r="GI7161"/>
      <c r="GK7161"/>
      <c r="GL7161"/>
      <c r="GM7161"/>
      <c r="GN7161"/>
    </row>
    <row r="7162" spans="189:196" x14ac:dyDescent="0.25">
      <c r="GG7162"/>
      <c r="GH7162"/>
      <c r="GI7162"/>
      <c r="GK7162"/>
      <c r="GL7162"/>
      <c r="GM7162"/>
      <c r="GN7162"/>
    </row>
    <row r="7163" spans="189:196" x14ac:dyDescent="0.25">
      <c r="GG7163"/>
      <c r="GH7163"/>
      <c r="GI7163"/>
      <c r="GK7163"/>
      <c r="GL7163"/>
      <c r="GM7163"/>
      <c r="GN7163"/>
    </row>
    <row r="7164" spans="189:196" x14ac:dyDescent="0.25">
      <c r="GG7164"/>
      <c r="GH7164"/>
      <c r="GI7164"/>
      <c r="GK7164"/>
      <c r="GL7164"/>
      <c r="GM7164"/>
      <c r="GN7164"/>
    </row>
    <row r="7165" spans="189:196" x14ac:dyDescent="0.25">
      <c r="GG7165"/>
      <c r="GH7165"/>
      <c r="GI7165"/>
      <c r="GK7165"/>
      <c r="GL7165"/>
      <c r="GM7165"/>
      <c r="GN7165"/>
    </row>
    <row r="7166" spans="189:196" x14ac:dyDescent="0.25">
      <c r="GG7166"/>
      <c r="GH7166"/>
      <c r="GI7166"/>
      <c r="GK7166"/>
      <c r="GL7166"/>
      <c r="GM7166"/>
      <c r="GN7166"/>
    </row>
    <row r="7167" spans="189:196" x14ac:dyDescent="0.25">
      <c r="GG7167"/>
      <c r="GH7167"/>
      <c r="GI7167"/>
      <c r="GK7167"/>
      <c r="GL7167"/>
      <c r="GM7167"/>
      <c r="GN7167"/>
    </row>
    <row r="7168" spans="189:196" x14ac:dyDescent="0.25">
      <c r="GG7168"/>
      <c r="GH7168"/>
      <c r="GI7168"/>
      <c r="GK7168"/>
      <c r="GL7168"/>
      <c r="GM7168"/>
      <c r="GN7168"/>
    </row>
    <row r="7169" spans="189:196" x14ac:dyDescent="0.25">
      <c r="GG7169"/>
      <c r="GH7169"/>
      <c r="GI7169"/>
      <c r="GK7169"/>
      <c r="GL7169"/>
      <c r="GM7169"/>
      <c r="GN7169"/>
    </row>
    <row r="7170" spans="189:196" x14ac:dyDescent="0.25">
      <c r="GG7170"/>
      <c r="GH7170"/>
      <c r="GI7170"/>
      <c r="GK7170"/>
      <c r="GL7170"/>
      <c r="GM7170"/>
      <c r="GN7170"/>
    </row>
    <row r="7171" spans="189:196" x14ac:dyDescent="0.25">
      <c r="GG7171"/>
      <c r="GH7171"/>
      <c r="GI7171"/>
      <c r="GK7171"/>
      <c r="GL7171"/>
      <c r="GM7171"/>
      <c r="GN7171"/>
    </row>
    <row r="7172" spans="189:196" x14ac:dyDescent="0.25">
      <c r="GG7172"/>
      <c r="GH7172"/>
      <c r="GI7172"/>
      <c r="GK7172"/>
      <c r="GL7172"/>
      <c r="GM7172"/>
      <c r="GN7172"/>
    </row>
    <row r="7173" spans="189:196" x14ac:dyDescent="0.25">
      <c r="GG7173"/>
      <c r="GH7173"/>
      <c r="GI7173"/>
      <c r="GK7173"/>
      <c r="GL7173"/>
      <c r="GM7173"/>
      <c r="GN7173"/>
    </row>
    <row r="7174" spans="189:196" x14ac:dyDescent="0.25">
      <c r="GG7174"/>
      <c r="GH7174"/>
      <c r="GI7174"/>
      <c r="GK7174"/>
      <c r="GL7174"/>
      <c r="GM7174"/>
      <c r="GN7174"/>
    </row>
    <row r="7175" spans="189:196" x14ac:dyDescent="0.25">
      <c r="GG7175"/>
      <c r="GH7175"/>
      <c r="GI7175"/>
      <c r="GK7175"/>
      <c r="GL7175"/>
      <c r="GM7175"/>
      <c r="GN7175"/>
    </row>
    <row r="7176" spans="189:196" x14ac:dyDescent="0.25">
      <c r="GG7176"/>
      <c r="GH7176"/>
      <c r="GI7176"/>
      <c r="GK7176"/>
      <c r="GL7176"/>
      <c r="GM7176"/>
      <c r="GN7176"/>
    </row>
    <row r="7177" spans="189:196" x14ac:dyDescent="0.25">
      <c r="GG7177"/>
      <c r="GH7177"/>
      <c r="GI7177"/>
      <c r="GK7177"/>
      <c r="GL7177"/>
      <c r="GM7177"/>
      <c r="GN7177"/>
    </row>
    <row r="7178" spans="189:196" x14ac:dyDescent="0.25">
      <c r="GG7178"/>
      <c r="GH7178"/>
      <c r="GI7178"/>
      <c r="GK7178"/>
      <c r="GL7178"/>
      <c r="GM7178"/>
      <c r="GN7178"/>
    </row>
    <row r="7179" spans="189:196" x14ac:dyDescent="0.25">
      <c r="GG7179"/>
      <c r="GH7179"/>
      <c r="GI7179"/>
      <c r="GK7179"/>
      <c r="GL7179"/>
      <c r="GM7179"/>
      <c r="GN7179"/>
    </row>
    <row r="7180" spans="189:196" x14ac:dyDescent="0.25">
      <c r="GG7180"/>
      <c r="GH7180"/>
      <c r="GI7180"/>
      <c r="GK7180"/>
      <c r="GL7180"/>
      <c r="GM7180"/>
      <c r="GN7180"/>
    </row>
    <row r="7181" spans="189:196" x14ac:dyDescent="0.25">
      <c r="GG7181"/>
      <c r="GH7181"/>
      <c r="GI7181"/>
      <c r="GK7181"/>
      <c r="GL7181"/>
      <c r="GM7181"/>
      <c r="GN7181"/>
    </row>
    <row r="7182" spans="189:196" x14ac:dyDescent="0.25">
      <c r="GG7182"/>
      <c r="GH7182"/>
      <c r="GI7182"/>
      <c r="GK7182"/>
      <c r="GL7182"/>
      <c r="GM7182"/>
      <c r="GN7182"/>
    </row>
    <row r="7183" spans="189:196" x14ac:dyDescent="0.25">
      <c r="GG7183"/>
      <c r="GH7183"/>
      <c r="GI7183"/>
      <c r="GK7183"/>
      <c r="GL7183"/>
      <c r="GM7183"/>
      <c r="GN7183"/>
    </row>
    <row r="7184" spans="189:196" x14ac:dyDescent="0.25">
      <c r="GG7184"/>
      <c r="GH7184"/>
      <c r="GI7184"/>
      <c r="GK7184"/>
      <c r="GL7184"/>
      <c r="GM7184"/>
      <c r="GN7184"/>
    </row>
    <row r="7185" spans="189:196" x14ac:dyDescent="0.25">
      <c r="GG7185"/>
      <c r="GH7185"/>
      <c r="GI7185"/>
      <c r="GK7185"/>
      <c r="GL7185"/>
      <c r="GM7185"/>
      <c r="GN7185"/>
    </row>
    <row r="7186" spans="189:196" x14ac:dyDescent="0.25">
      <c r="GG7186"/>
      <c r="GH7186"/>
      <c r="GI7186"/>
      <c r="GK7186"/>
      <c r="GL7186"/>
      <c r="GM7186"/>
      <c r="GN7186"/>
    </row>
    <row r="7187" spans="189:196" x14ac:dyDescent="0.25">
      <c r="GG7187"/>
      <c r="GH7187"/>
      <c r="GI7187"/>
      <c r="GK7187"/>
      <c r="GL7187"/>
      <c r="GM7187"/>
      <c r="GN7187"/>
    </row>
    <row r="7188" spans="189:196" x14ac:dyDescent="0.25">
      <c r="GG7188"/>
      <c r="GH7188"/>
      <c r="GI7188"/>
      <c r="GK7188"/>
      <c r="GL7188"/>
      <c r="GM7188"/>
      <c r="GN7188"/>
    </row>
    <row r="7189" spans="189:196" x14ac:dyDescent="0.25">
      <c r="GG7189"/>
      <c r="GH7189"/>
      <c r="GI7189"/>
      <c r="GK7189"/>
      <c r="GL7189"/>
      <c r="GM7189"/>
      <c r="GN7189"/>
    </row>
    <row r="7190" spans="189:196" x14ac:dyDescent="0.25">
      <c r="GG7190"/>
      <c r="GH7190"/>
      <c r="GI7190"/>
      <c r="GK7190"/>
      <c r="GL7190"/>
      <c r="GM7190"/>
      <c r="GN7190"/>
    </row>
    <row r="7191" spans="189:196" x14ac:dyDescent="0.25">
      <c r="GG7191"/>
      <c r="GH7191"/>
      <c r="GI7191"/>
      <c r="GK7191"/>
      <c r="GL7191"/>
      <c r="GM7191"/>
      <c r="GN7191"/>
    </row>
    <row r="7192" spans="189:196" x14ac:dyDescent="0.25">
      <c r="GG7192"/>
      <c r="GH7192"/>
      <c r="GI7192"/>
      <c r="GK7192"/>
      <c r="GL7192"/>
      <c r="GM7192"/>
      <c r="GN7192"/>
    </row>
    <row r="7193" spans="189:196" x14ac:dyDescent="0.25">
      <c r="GG7193"/>
      <c r="GH7193"/>
      <c r="GI7193"/>
      <c r="GK7193"/>
      <c r="GL7193"/>
      <c r="GM7193"/>
      <c r="GN7193"/>
    </row>
    <row r="7194" spans="189:196" x14ac:dyDescent="0.25">
      <c r="GG7194"/>
      <c r="GH7194"/>
      <c r="GI7194"/>
      <c r="GK7194"/>
      <c r="GL7194"/>
      <c r="GM7194"/>
      <c r="GN7194"/>
    </row>
    <row r="7195" spans="189:196" x14ac:dyDescent="0.25">
      <c r="GG7195"/>
      <c r="GH7195"/>
      <c r="GI7195"/>
      <c r="GK7195"/>
      <c r="GL7195"/>
      <c r="GM7195"/>
      <c r="GN7195"/>
    </row>
    <row r="7196" spans="189:196" x14ac:dyDescent="0.25">
      <c r="GG7196"/>
      <c r="GH7196"/>
      <c r="GI7196"/>
      <c r="GK7196"/>
      <c r="GL7196"/>
      <c r="GM7196"/>
      <c r="GN7196"/>
    </row>
    <row r="7197" spans="189:196" x14ac:dyDescent="0.25">
      <c r="GG7197"/>
      <c r="GH7197"/>
      <c r="GI7197"/>
      <c r="GK7197"/>
      <c r="GL7197"/>
      <c r="GM7197"/>
      <c r="GN7197"/>
    </row>
    <row r="7198" spans="189:196" x14ac:dyDescent="0.25">
      <c r="GG7198"/>
      <c r="GH7198"/>
      <c r="GI7198"/>
      <c r="GK7198"/>
      <c r="GL7198"/>
      <c r="GM7198"/>
      <c r="GN7198"/>
    </row>
    <row r="7199" spans="189:196" x14ac:dyDescent="0.25">
      <c r="GG7199"/>
      <c r="GH7199"/>
      <c r="GI7199"/>
      <c r="GK7199"/>
      <c r="GL7199"/>
      <c r="GM7199"/>
      <c r="GN7199"/>
    </row>
    <row r="7200" spans="189:196" x14ac:dyDescent="0.25">
      <c r="GG7200"/>
      <c r="GH7200"/>
      <c r="GI7200"/>
      <c r="GK7200"/>
      <c r="GL7200"/>
      <c r="GM7200"/>
      <c r="GN7200"/>
    </row>
    <row r="7201" spans="189:196" x14ac:dyDescent="0.25">
      <c r="GG7201"/>
      <c r="GH7201"/>
      <c r="GI7201"/>
      <c r="GK7201"/>
      <c r="GL7201"/>
      <c r="GM7201"/>
      <c r="GN7201"/>
    </row>
    <row r="7202" spans="189:196" x14ac:dyDescent="0.25">
      <c r="GG7202"/>
      <c r="GH7202"/>
      <c r="GI7202"/>
      <c r="GK7202"/>
      <c r="GL7202"/>
      <c r="GM7202"/>
      <c r="GN7202"/>
    </row>
    <row r="7203" spans="189:196" x14ac:dyDescent="0.25">
      <c r="GG7203"/>
      <c r="GH7203"/>
      <c r="GI7203"/>
      <c r="GK7203"/>
      <c r="GL7203"/>
      <c r="GM7203"/>
      <c r="GN7203"/>
    </row>
    <row r="7204" spans="189:196" x14ac:dyDescent="0.25">
      <c r="GG7204"/>
      <c r="GH7204"/>
      <c r="GI7204"/>
      <c r="GK7204"/>
      <c r="GL7204"/>
      <c r="GM7204"/>
      <c r="GN7204"/>
    </row>
    <row r="7205" spans="189:196" x14ac:dyDescent="0.25">
      <c r="GG7205"/>
      <c r="GH7205"/>
      <c r="GI7205"/>
      <c r="GK7205"/>
      <c r="GL7205"/>
      <c r="GM7205"/>
      <c r="GN7205"/>
    </row>
    <row r="7206" spans="189:196" x14ac:dyDescent="0.25">
      <c r="GG7206"/>
      <c r="GH7206"/>
      <c r="GI7206"/>
      <c r="GK7206"/>
      <c r="GL7206"/>
      <c r="GM7206"/>
      <c r="GN7206"/>
    </row>
    <row r="7207" spans="189:196" x14ac:dyDescent="0.25">
      <c r="GG7207"/>
      <c r="GH7207"/>
      <c r="GI7207"/>
      <c r="GK7207"/>
      <c r="GL7207"/>
      <c r="GM7207"/>
      <c r="GN7207"/>
    </row>
    <row r="7208" spans="189:196" x14ac:dyDescent="0.25">
      <c r="GG7208"/>
      <c r="GH7208"/>
      <c r="GI7208"/>
      <c r="GK7208"/>
      <c r="GL7208"/>
      <c r="GM7208"/>
      <c r="GN7208"/>
    </row>
    <row r="7209" spans="189:196" x14ac:dyDescent="0.25">
      <c r="GG7209"/>
      <c r="GH7209"/>
      <c r="GI7209"/>
      <c r="GK7209"/>
      <c r="GL7209"/>
      <c r="GM7209"/>
      <c r="GN7209"/>
    </row>
    <row r="7210" spans="189:196" x14ac:dyDescent="0.25">
      <c r="GG7210"/>
      <c r="GH7210"/>
      <c r="GI7210"/>
      <c r="GK7210"/>
      <c r="GL7210"/>
      <c r="GM7210"/>
      <c r="GN7210"/>
    </row>
    <row r="7211" spans="189:196" x14ac:dyDescent="0.25">
      <c r="GG7211"/>
      <c r="GH7211"/>
      <c r="GI7211"/>
      <c r="GK7211"/>
      <c r="GL7211"/>
      <c r="GM7211"/>
      <c r="GN7211"/>
    </row>
    <row r="7212" spans="189:196" x14ac:dyDescent="0.25">
      <c r="GG7212"/>
      <c r="GH7212"/>
      <c r="GI7212"/>
      <c r="GK7212"/>
      <c r="GL7212"/>
      <c r="GM7212"/>
      <c r="GN7212"/>
    </row>
    <row r="7213" spans="189:196" x14ac:dyDescent="0.25">
      <c r="GG7213"/>
      <c r="GH7213"/>
      <c r="GI7213"/>
      <c r="GK7213"/>
      <c r="GL7213"/>
      <c r="GM7213"/>
      <c r="GN7213"/>
    </row>
    <row r="7214" spans="189:196" x14ac:dyDescent="0.25">
      <c r="GG7214"/>
      <c r="GH7214"/>
      <c r="GI7214"/>
      <c r="GK7214"/>
      <c r="GL7214"/>
      <c r="GM7214"/>
      <c r="GN7214"/>
    </row>
    <row r="7215" spans="189:196" x14ac:dyDescent="0.25">
      <c r="GG7215"/>
      <c r="GH7215"/>
      <c r="GI7215"/>
      <c r="GK7215"/>
      <c r="GL7215"/>
      <c r="GM7215"/>
      <c r="GN7215"/>
    </row>
    <row r="7216" spans="189:196" x14ac:dyDescent="0.25">
      <c r="GG7216"/>
      <c r="GH7216"/>
      <c r="GI7216"/>
      <c r="GK7216"/>
      <c r="GL7216"/>
      <c r="GM7216"/>
      <c r="GN7216"/>
    </row>
    <row r="7217" spans="189:196" x14ac:dyDescent="0.25">
      <c r="GG7217"/>
      <c r="GH7217"/>
      <c r="GI7217"/>
      <c r="GK7217"/>
      <c r="GL7217"/>
      <c r="GM7217"/>
      <c r="GN7217"/>
    </row>
    <row r="7218" spans="189:196" x14ac:dyDescent="0.25">
      <c r="GG7218"/>
      <c r="GH7218"/>
      <c r="GI7218"/>
      <c r="GK7218"/>
      <c r="GL7218"/>
      <c r="GM7218"/>
      <c r="GN7218"/>
    </row>
    <row r="7219" spans="189:196" x14ac:dyDescent="0.25">
      <c r="GG7219"/>
      <c r="GH7219"/>
      <c r="GI7219"/>
      <c r="GK7219"/>
      <c r="GL7219"/>
      <c r="GM7219"/>
      <c r="GN7219"/>
    </row>
    <row r="7220" spans="189:196" x14ac:dyDescent="0.25">
      <c r="GG7220"/>
      <c r="GH7220"/>
      <c r="GI7220"/>
      <c r="GK7220"/>
      <c r="GL7220"/>
      <c r="GM7220"/>
      <c r="GN7220"/>
    </row>
    <row r="7221" spans="189:196" x14ac:dyDescent="0.25">
      <c r="GG7221"/>
      <c r="GH7221"/>
      <c r="GI7221"/>
      <c r="GK7221"/>
      <c r="GL7221"/>
      <c r="GM7221"/>
      <c r="GN7221"/>
    </row>
    <row r="7222" spans="189:196" x14ac:dyDescent="0.25">
      <c r="GG7222"/>
      <c r="GH7222"/>
      <c r="GI7222"/>
      <c r="GK7222"/>
      <c r="GL7222"/>
      <c r="GM7222"/>
      <c r="GN7222"/>
    </row>
    <row r="7223" spans="189:196" x14ac:dyDescent="0.25">
      <c r="GG7223"/>
      <c r="GH7223"/>
      <c r="GI7223"/>
      <c r="GK7223"/>
      <c r="GL7223"/>
      <c r="GM7223"/>
      <c r="GN7223"/>
    </row>
    <row r="7224" spans="189:196" x14ac:dyDescent="0.25">
      <c r="GG7224"/>
      <c r="GH7224"/>
      <c r="GI7224"/>
      <c r="GK7224"/>
      <c r="GL7224"/>
      <c r="GM7224"/>
      <c r="GN7224"/>
    </row>
    <row r="7225" spans="189:196" x14ac:dyDescent="0.25">
      <c r="GG7225"/>
      <c r="GH7225"/>
      <c r="GI7225"/>
      <c r="GK7225"/>
      <c r="GL7225"/>
      <c r="GM7225"/>
      <c r="GN7225"/>
    </row>
    <row r="7226" spans="189:196" x14ac:dyDescent="0.25">
      <c r="GG7226"/>
      <c r="GH7226"/>
      <c r="GI7226"/>
      <c r="GK7226"/>
      <c r="GL7226"/>
      <c r="GM7226"/>
      <c r="GN7226"/>
    </row>
    <row r="7227" spans="189:196" x14ac:dyDescent="0.25">
      <c r="GG7227"/>
      <c r="GH7227"/>
      <c r="GI7227"/>
      <c r="GK7227"/>
      <c r="GL7227"/>
      <c r="GM7227"/>
      <c r="GN7227"/>
    </row>
    <row r="7228" spans="189:196" x14ac:dyDescent="0.25">
      <c r="GG7228"/>
      <c r="GH7228"/>
      <c r="GI7228"/>
      <c r="GK7228"/>
      <c r="GL7228"/>
      <c r="GM7228"/>
      <c r="GN7228"/>
    </row>
    <row r="7229" spans="189:196" x14ac:dyDescent="0.25">
      <c r="GG7229"/>
      <c r="GH7229"/>
      <c r="GI7229"/>
      <c r="GK7229"/>
      <c r="GL7229"/>
      <c r="GM7229"/>
      <c r="GN7229"/>
    </row>
    <row r="7230" spans="189:196" x14ac:dyDescent="0.25">
      <c r="GG7230"/>
      <c r="GH7230"/>
      <c r="GI7230"/>
      <c r="GK7230"/>
      <c r="GL7230"/>
      <c r="GM7230"/>
      <c r="GN7230"/>
    </row>
    <row r="7231" spans="189:196" x14ac:dyDescent="0.25">
      <c r="GG7231"/>
      <c r="GH7231"/>
      <c r="GI7231"/>
      <c r="GK7231"/>
      <c r="GL7231"/>
      <c r="GM7231"/>
      <c r="GN7231"/>
    </row>
    <row r="7232" spans="189:196" x14ac:dyDescent="0.25">
      <c r="GG7232"/>
      <c r="GH7232"/>
      <c r="GI7232"/>
      <c r="GK7232"/>
      <c r="GL7232"/>
      <c r="GM7232"/>
      <c r="GN7232"/>
    </row>
    <row r="7233" spans="189:196" x14ac:dyDescent="0.25">
      <c r="GG7233"/>
      <c r="GH7233"/>
      <c r="GI7233"/>
      <c r="GK7233"/>
      <c r="GL7233"/>
      <c r="GM7233"/>
      <c r="GN7233"/>
    </row>
    <row r="7234" spans="189:196" x14ac:dyDescent="0.25">
      <c r="GG7234"/>
      <c r="GH7234"/>
      <c r="GI7234"/>
      <c r="GK7234"/>
      <c r="GL7234"/>
      <c r="GM7234"/>
      <c r="GN7234"/>
    </row>
    <row r="7235" spans="189:196" x14ac:dyDescent="0.25">
      <c r="GG7235"/>
      <c r="GH7235"/>
      <c r="GI7235"/>
      <c r="GK7235"/>
      <c r="GL7235"/>
      <c r="GM7235"/>
      <c r="GN7235"/>
    </row>
    <row r="7236" spans="189:196" x14ac:dyDescent="0.25">
      <c r="GG7236"/>
      <c r="GH7236"/>
      <c r="GI7236"/>
      <c r="GK7236"/>
      <c r="GL7236"/>
      <c r="GM7236"/>
      <c r="GN7236"/>
    </row>
    <row r="7237" spans="189:196" x14ac:dyDescent="0.25">
      <c r="GG7237"/>
      <c r="GH7237"/>
      <c r="GI7237"/>
      <c r="GK7237"/>
      <c r="GL7237"/>
      <c r="GM7237"/>
      <c r="GN7237"/>
    </row>
    <row r="7238" spans="189:196" x14ac:dyDescent="0.25">
      <c r="GG7238"/>
      <c r="GH7238"/>
      <c r="GI7238"/>
      <c r="GK7238"/>
      <c r="GL7238"/>
      <c r="GM7238"/>
      <c r="GN7238"/>
    </row>
    <row r="7239" spans="189:196" x14ac:dyDescent="0.25">
      <c r="GG7239"/>
      <c r="GH7239"/>
      <c r="GI7239"/>
      <c r="GK7239"/>
      <c r="GL7239"/>
      <c r="GM7239"/>
      <c r="GN7239"/>
    </row>
    <row r="7240" spans="189:196" x14ac:dyDescent="0.25">
      <c r="GG7240"/>
      <c r="GH7240"/>
      <c r="GI7240"/>
      <c r="GK7240"/>
      <c r="GL7240"/>
      <c r="GM7240"/>
      <c r="GN7240"/>
    </row>
    <row r="7241" spans="189:196" x14ac:dyDescent="0.25">
      <c r="GG7241"/>
      <c r="GH7241"/>
      <c r="GI7241"/>
      <c r="GK7241"/>
      <c r="GL7241"/>
      <c r="GM7241"/>
      <c r="GN7241"/>
    </row>
    <row r="7242" spans="189:196" x14ac:dyDescent="0.25">
      <c r="GG7242"/>
      <c r="GH7242"/>
      <c r="GI7242"/>
      <c r="GK7242"/>
      <c r="GL7242"/>
      <c r="GM7242"/>
      <c r="GN7242"/>
    </row>
    <row r="7243" spans="189:196" x14ac:dyDescent="0.25">
      <c r="GG7243"/>
      <c r="GH7243"/>
      <c r="GI7243"/>
      <c r="GK7243"/>
      <c r="GL7243"/>
      <c r="GM7243"/>
      <c r="GN7243"/>
    </row>
    <row r="7244" spans="189:196" x14ac:dyDescent="0.25">
      <c r="GG7244"/>
      <c r="GH7244"/>
      <c r="GI7244"/>
      <c r="GK7244"/>
      <c r="GL7244"/>
      <c r="GM7244"/>
      <c r="GN7244"/>
    </row>
    <row r="7245" spans="189:196" x14ac:dyDescent="0.25">
      <c r="GG7245"/>
      <c r="GH7245"/>
      <c r="GI7245"/>
      <c r="GK7245"/>
      <c r="GL7245"/>
      <c r="GM7245"/>
      <c r="GN7245"/>
    </row>
    <row r="7246" spans="189:196" x14ac:dyDescent="0.25">
      <c r="GG7246"/>
      <c r="GH7246"/>
      <c r="GI7246"/>
      <c r="GK7246"/>
      <c r="GL7246"/>
      <c r="GM7246"/>
      <c r="GN7246"/>
    </row>
    <row r="7247" spans="189:196" x14ac:dyDescent="0.25">
      <c r="GG7247"/>
      <c r="GH7247"/>
      <c r="GI7247"/>
      <c r="GK7247"/>
      <c r="GL7247"/>
      <c r="GM7247"/>
      <c r="GN7247"/>
    </row>
    <row r="7248" spans="189:196" x14ac:dyDescent="0.25">
      <c r="GG7248"/>
      <c r="GH7248"/>
      <c r="GI7248"/>
      <c r="GK7248"/>
      <c r="GL7248"/>
      <c r="GM7248"/>
      <c r="GN7248"/>
    </row>
    <row r="7249" spans="189:196" x14ac:dyDescent="0.25">
      <c r="GG7249"/>
      <c r="GH7249"/>
      <c r="GI7249"/>
      <c r="GK7249"/>
      <c r="GL7249"/>
      <c r="GM7249"/>
      <c r="GN7249"/>
    </row>
    <row r="7250" spans="189:196" x14ac:dyDescent="0.25">
      <c r="GG7250"/>
      <c r="GH7250"/>
      <c r="GI7250"/>
      <c r="GK7250"/>
      <c r="GL7250"/>
      <c r="GM7250"/>
      <c r="GN7250"/>
    </row>
    <row r="7251" spans="189:196" x14ac:dyDescent="0.25">
      <c r="GG7251"/>
      <c r="GH7251"/>
      <c r="GI7251"/>
      <c r="GK7251"/>
      <c r="GL7251"/>
      <c r="GM7251"/>
      <c r="GN7251"/>
    </row>
    <row r="7252" spans="189:196" x14ac:dyDescent="0.25">
      <c r="GG7252"/>
      <c r="GH7252"/>
      <c r="GI7252"/>
      <c r="GK7252"/>
      <c r="GL7252"/>
      <c r="GM7252"/>
      <c r="GN7252"/>
    </row>
    <row r="7253" spans="189:196" x14ac:dyDescent="0.25">
      <c r="GG7253"/>
      <c r="GH7253"/>
      <c r="GI7253"/>
      <c r="GK7253"/>
      <c r="GL7253"/>
      <c r="GM7253"/>
      <c r="GN7253"/>
    </row>
    <row r="7254" spans="189:196" x14ac:dyDescent="0.25">
      <c r="GG7254"/>
      <c r="GH7254"/>
      <c r="GI7254"/>
      <c r="GK7254"/>
      <c r="GL7254"/>
      <c r="GM7254"/>
      <c r="GN7254"/>
    </row>
    <row r="7255" spans="189:196" x14ac:dyDescent="0.25">
      <c r="GG7255"/>
      <c r="GH7255"/>
      <c r="GI7255"/>
      <c r="GK7255"/>
      <c r="GL7255"/>
      <c r="GM7255"/>
      <c r="GN7255"/>
    </row>
    <row r="7256" spans="189:196" x14ac:dyDescent="0.25">
      <c r="GG7256"/>
      <c r="GH7256"/>
      <c r="GI7256"/>
      <c r="GK7256"/>
      <c r="GL7256"/>
      <c r="GM7256"/>
      <c r="GN7256"/>
    </row>
    <row r="7257" spans="189:196" x14ac:dyDescent="0.25">
      <c r="GG7257"/>
      <c r="GH7257"/>
      <c r="GI7257"/>
      <c r="GK7257"/>
      <c r="GL7257"/>
      <c r="GM7257"/>
      <c r="GN7257"/>
    </row>
    <row r="7258" spans="189:196" x14ac:dyDescent="0.25">
      <c r="GG7258"/>
      <c r="GH7258"/>
      <c r="GI7258"/>
      <c r="GK7258"/>
      <c r="GL7258"/>
      <c r="GM7258"/>
      <c r="GN7258"/>
    </row>
    <row r="7259" spans="189:196" x14ac:dyDescent="0.25">
      <c r="GG7259"/>
      <c r="GH7259"/>
      <c r="GI7259"/>
      <c r="GK7259"/>
      <c r="GL7259"/>
      <c r="GM7259"/>
      <c r="GN7259"/>
    </row>
    <row r="7260" spans="189:196" x14ac:dyDescent="0.25">
      <c r="GG7260"/>
      <c r="GH7260"/>
      <c r="GI7260"/>
      <c r="GK7260"/>
      <c r="GL7260"/>
      <c r="GM7260"/>
      <c r="GN7260"/>
    </row>
    <row r="7261" spans="189:196" x14ac:dyDescent="0.25">
      <c r="GG7261"/>
      <c r="GH7261"/>
      <c r="GI7261"/>
      <c r="GK7261"/>
      <c r="GL7261"/>
      <c r="GM7261"/>
      <c r="GN7261"/>
    </row>
    <row r="7262" spans="189:196" x14ac:dyDescent="0.25">
      <c r="GG7262"/>
      <c r="GH7262"/>
      <c r="GI7262"/>
      <c r="GK7262"/>
      <c r="GL7262"/>
      <c r="GM7262"/>
      <c r="GN7262"/>
    </row>
    <row r="7263" spans="189:196" x14ac:dyDescent="0.25">
      <c r="GG7263"/>
      <c r="GH7263"/>
      <c r="GI7263"/>
      <c r="GK7263"/>
      <c r="GL7263"/>
      <c r="GM7263"/>
      <c r="GN7263"/>
    </row>
    <row r="7264" spans="189:196" x14ac:dyDescent="0.25">
      <c r="GG7264"/>
      <c r="GH7264"/>
      <c r="GI7264"/>
      <c r="GK7264"/>
      <c r="GL7264"/>
      <c r="GM7264"/>
      <c r="GN7264"/>
    </row>
    <row r="7265" spans="189:196" x14ac:dyDescent="0.25">
      <c r="GG7265"/>
      <c r="GH7265"/>
      <c r="GI7265"/>
      <c r="GK7265"/>
      <c r="GL7265"/>
      <c r="GM7265"/>
      <c r="GN7265"/>
    </row>
    <row r="7266" spans="189:196" x14ac:dyDescent="0.25">
      <c r="GG7266"/>
      <c r="GH7266"/>
      <c r="GI7266"/>
      <c r="GK7266"/>
      <c r="GL7266"/>
      <c r="GM7266"/>
      <c r="GN7266"/>
    </row>
    <row r="7267" spans="189:196" x14ac:dyDescent="0.25">
      <c r="GG7267"/>
      <c r="GH7267"/>
      <c r="GI7267"/>
      <c r="GK7267"/>
      <c r="GL7267"/>
      <c r="GM7267"/>
      <c r="GN7267"/>
    </row>
    <row r="7268" spans="189:196" x14ac:dyDescent="0.25">
      <c r="GG7268"/>
      <c r="GH7268"/>
      <c r="GI7268"/>
      <c r="GK7268"/>
      <c r="GL7268"/>
      <c r="GM7268"/>
      <c r="GN7268"/>
    </row>
    <row r="7269" spans="189:196" x14ac:dyDescent="0.25">
      <c r="GG7269"/>
      <c r="GH7269"/>
      <c r="GI7269"/>
      <c r="GK7269"/>
      <c r="GL7269"/>
      <c r="GM7269"/>
      <c r="GN7269"/>
    </row>
    <row r="7270" spans="189:196" x14ac:dyDescent="0.25">
      <c r="GG7270"/>
      <c r="GH7270"/>
      <c r="GI7270"/>
      <c r="GK7270"/>
      <c r="GL7270"/>
      <c r="GM7270"/>
      <c r="GN7270"/>
    </row>
    <row r="7271" spans="189:196" x14ac:dyDescent="0.25">
      <c r="GG7271"/>
      <c r="GH7271"/>
      <c r="GI7271"/>
      <c r="GK7271"/>
      <c r="GL7271"/>
      <c r="GM7271"/>
      <c r="GN7271"/>
    </row>
    <row r="7272" spans="189:196" x14ac:dyDescent="0.25">
      <c r="GG7272"/>
      <c r="GH7272"/>
      <c r="GI7272"/>
      <c r="GK7272"/>
      <c r="GL7272"/>
      <c r="GM7272"/>
      <c r="GN7272"/>
    </row>
    <row r="7273" spans="189:196" x14ac:dyDescent="0.25">
      <c r="GG7273"/>
      <c r="GH7273"/>
      <c r="GI7273"/>
      <c r="GK7273"/>
      <c r="GL7273"/>
      <c r="GM7273"/>
      <c r="GN7273"/>
    </row>
    <row r="7274" spans="189:196" x14ac:dyDescent="0.25">
      <c r="GG7274"/>
      <c r="GH7274"/>
      <c r="GI7274"/>
      <c r="GK7274"/>
      <c r="GL7274"/>
      <c r="GM7274"/>
      <c r="GN7274"/>
    </row>
    <row r="7275" spans="189:196" x14ac:dyDescent="0.25">
      <c r="GG7275"/>
      <c r="GH7275"/>
      <c r="GI7275"/>
      <c r="GK7275"/>
      <c r="GL7275"/>
      <c r="GM7275"/>
      <c r="GN7275"/>
    </row>
    <row r="7276" spans="189:196" x14ac:dyDescent="0.25">
      <c r="GG7276"/>
      <c r="GH7276"/>
      <c r="GI7276"/>
      <c r="GK7276"/>
      <c r="GL7276"/>
      <c r="GM7276"/>
      <c r="GN7276"/>
    </row>
    <row r="7277" spans="189:196" x14ac:dyDescent="0.25">
      <c r="GG7277"/>
      <c r="GH7277"/>
      <c r="GI7277"/>
      <c r="GK7277"/>
      <c r="GL7277"/>
      <c r="GM7277"/>
      <c r="GN7277"/>
    </row>
    <row r="7278" spans="189:196" x14ac:dyDescent="0.25">
      <c r="GG7278"/>
      <c r="GH7278"/>
      <c r="GI7278"/>
      <c r="GK7278"/>
      <c r="GL7278"/>
      <c r="GM7278"/>
      <c r="GN7278"/>
    </row>
    <row r="7279" spans="189:196" x14ac:dyDescent="0.25">
      <c r="GG7279"/>
      <c r="GH7279"/>
      <c r="GI7279"/>
      <c r="GK7279"/>
      <c r="GL7279"/>
      <c r="GM7279"/>
      <c r="GN7279"/>
    </row>
    <row r="7280" spans="189:196" x14ac:dyDescent="0.25">
      <c r="GG7280"/>
      <c r="GH7280"/>
      <c r="GI7280"/>
      <c r="GK7280"/>
      <c r="GL7280"/>
      <c r="GM7280"/>
      <c r="GN7280"/>
    </row>
    <row r="7281" spans="189:196" x14ac:dyDescent="0.25">
      <c r="GG7281"/>
      <c r="GH7281"/>
      <c r="GI7281"/>
      <c r="GK7281"/>
      <c r="GL7281"/>
      <c r="GM7281"/>
      <c r="GN7281"/>
    </row>
    <row r="7282" spans="189:196" x14ac:dyDescent="0.25">
      <c r="GG7282"/>
      <c r="GH7282"/>
      <c r="GI7282"/>
      <c r="GK7282"/>
      <c r="GL7282"/>
      <c r="GM7282"/>
      <c r="GN7282"/>
    </row>
    <row r="7283" spans="189:196" x14ac:dyDescent="0.25">
      <c r="GG7283"/>
      <c r="GH7283"/>
      <c r="GI7283"/>
      <c r="GK7283"/>
      <c r="GL7283"/>
      <c r="GM7283"/>
      <c r="GN7283"/>
    </row>
    <row r="7284" spans="189:196" x14ac:dyDescent="0.25">
      <c r="GG7284"/>
      <c r="GH7284"/>
      <c r="GI7284"/>
      <c r="GK7284"/>
      <c r="GL7284"/>
      <c r="GM7284"/>
      <c r="GN7284"/>
    </row>
    <row r="7285" spans="189:196" x14ac:dyDescent="0.25">
      <c r="GG7285"/>
      <c r="GH7285"/>
      <c r="GI7285"/>
      <c r="GK7285"/>
      <c r="GL7285"/>
      <c r="GM7285"/>
      <c r="GN7285"/>
    </row>
    <row r="7286" spans="189:196" x14ac:dyDescent="0.25">
      <c r="GG7286"/>
      <c r="GH7286"/>
      <c r="GI7286"/>
      <c r="GK7286"/>
      <c r="GL7286"/>
      <c r="GM7286"/>
      <c r="GN7286"/>
    </row>
    <row r="7287" spans="189:196" x14ac:dyDescent="0.25">
      <c r="GG7287"/>
      <c r="GH7287"/>
      <c r="GI7287"/>
      <c r="GK7287"/>
      <c r="GL7287"/>
      <c r="GM7287"/>
      <c r="GN7287"/>
    </row>
    <row r="7288" spans="189:196" x14ac:dyDescent="0.25">
      <c r="GG7288"/>
      <c r="GH7288"/>
      <c r="GI7288"/>
      <c r="GK7288"/>
      <c r="GL7288"/>
      <c r="GM7288"/>
      <c r="GN7288"/>
    </row>
    <row r="7289" spans="189:196" x14ac:dyDescent="0.25">
      <c r="GG7289"/>
      <c r="GH7289"/>
      <c r="GI7289"/>
      <c r="GK7289"/>
      <c r="GL7289"/>
      <c r="GM7289"/>
      <c r="GN7289"/>
    </row>
    <row r="7290" spans="189:196" x14ac:dyDescent="0.25">
      <c r="GG7290"/>
      <c r="GH7290"/>
      <c r="GI7290"/>
      <c r="GK7290"/>
      <c r="GL7290"/>
      <c r="GM7290"/>
      <c r="GN7290"/>
    </row>
    <row r="7291" spans="189:196" x14ac:dyDescent="0.25">
      <c r="GG7291"/>
      <c r="GH7291"/>
      <c r="GI7291"/>
      <c r="GK7291"/>
      <c r="GL7291"/>
      <c r="GM7291"/>
      <c r="GN7291"/>
    </row>
    <row r="7292" spans="189:196" x14ac:dyDescent="0.25">
      <c r="GG7292"/>
      <c r="GH7292"/>
      <c r="GI7292"/>
      <c r="GK7292"/>
      <c r="GL7292"/>
      <c r="GM7292"/>
      <c r="GN7292"/>
    </row>
    <row r="7293" spans="189:196" x14ac:dyDescent="0.25">
      <c r="GG7293"/>
      <c r="GH7293"/>
      <c r="GI7293"/>
      <c r="GK7293"/>
      <c r="GL7293"/>
      <c r="GM7293"/>
      <c r="GN7293"/>
    </row>
    <row r="7294" spans="189:196" x14ac:dyDescent="0.25">
      <c r="GG7294"/>
      <c r="GH7294"/>
      <c r="GI7294"/>
      <c r="GK7294"/>
      <c r="GL7294"/>
      <c r="GM7294"/>
      <c r="GN7294"/>
    </row>
    <row r="7295" spans="189:196" x14ac:dyDescent="0.25">
      <c r="GG7295"/>
      <c r="GH7295"/>
      <c r="GI7295"/>
      <c r="GK7295"/>
      <c r="GL7295"/>
      <c r="GM7295"/>
      <c r="GN7295"/>
    </row>
    <row r="7296" spans="189:196" x14ac:dyDescent="0.25">
      <c r="GG7296"/>
      <c r="GH7296"/>
      <c r="GI7296"/>
      <c r="GK7296"/>
      <c r="GL7296"/>
      <c r="GM7296"/>
      <c r="GN7296"/>
    </row>
    <row r="7297" spans="189:196" x14ac:dyDescent="0.25">
      <c r="GG7297"/>
      <c r="GH7297"/>
      <c r="GI7297"/>
      <c r="GK7297"/>
      <c r="GL7297"/>
      <c r="GM7297"/>
      <c r="GN7297"/>
    </row>
    <row r="7298" spans="189:196" x14ac:dyDescent="0.25">
      <c r="GG7298"/>
      <c r="GH7298"/>
      <c r="GI7298"/>
      <c r="GK7298"/>
      <c r="GL7298"/>
      <c r="GM7298"/>
      <c r="GN7298"/>
    </row>
    <row r="7299" spans="189:196" x14ac:dyDescent="0.25">
      <c r="GG7299"/>
      <c r="GH7299"/>
      <c r="GI7299"/>
      <c r="GK7299"/>
      <c r="GL7299"/>
      <c r="GM7299"/>
      <c r="GN7299"/>
    </row>
    <row r="7300" spans="189:196" x14ac:dyDescent="0.25">
      <c r="GG7300"/>
      <c r="GH7300"/>
      <c r="GI7300"/>
      <c r="GK7300"/>
      <c r="GL7300"/>
      <c r="GM7300"/>
      <c r="GN7300"/>
    </row>
    <row r="7301" spans="189:196" x14ac:dyDescent="0.25">
      <c r="GG7301"/>
      <c r="GH7301"/>
      <c r="GI7301"/>
      <c r="GK7301"/>
      <c r="GL7301"/>
      <c r="GM7301"/>
      <c r="GN7301"/>
    </row>
    <row r="7302" spans="189:196" x14ac:dyDescent="0.25">
      <c r="GG7302"/>
      <c r="GH7302"/>
      <c r="GI7302"/>
      <c r="GK7302"/>
      <c r="GL7302"/>
      <c r="GM7302"/>
      <c r="GN7302"/>
    </row>
    <row r="7303" spans="189:196" x14ac:dyDescent="0.25">
      <c r="GG7303"/>
      <c r="GH7303"/>
      <c r="GI7303"/>
      <c r="GK7303"/>
      <c r="GL7303"/>
      <c r="GM7303"/>
      <c r="GN7303"/>
    </row>
    <row r="7304" spans="189:196" x14ac:dyDescent="0.25">
      <c r="GG7304"/>
      <c r="GH7304"/>
      <c r="GI7304"/>
      <c r="GK7304"/>
      <c r="GL7304"/>
      <c r="GM7304"/>
      <c r="GN7304"/>
    </row>
    <row r="7305" spans="189:196" x14ac:dyDescent="0.25">
      <c r="GG7305"/>
      <c r="GH7305"/>
      <c r="GI7305"/>
      <c r="GK7305"/>
      <c r="GL7305"/>
      <c r="GM7305"/>
      <c r="GN7305"/>
    </row>
    <row r="7306" spans="189:196" x14ac:dyDescent="0.25">
      <c r="GG7306"/>
      <c r="GH7306"/>
      <c r="GI7306"/>
      <c r="GK7306"/>
      <c r="GL7306"/>
      <c r="GM7306"/>
      <c r="GN7306"/>
    </row>
    <row r="7307" spans="189:196" x14ac:dyDescent="0.25">
      <c r="GG7307"/>
      <c r="GH7307"/>
      <c r="GI7307"/>
      <c r="GK7307"/>
      <c r="GL7307"/>
      <c r="GM7307"/>
      <c r="GN7307"/>
    </row>
    <row r="7308" spans="189:196" x14ac:dyDescent="0.25">
      <c r="GG7308"/>
      <c r="GH7308"/>
      <c r="GI7308"/>
      <c r="GK7308"/>
      <c r="GL7308"/>
      <c r="GM7308"/>
      <c r="GN7308"/>
    </row>
    <row r="7309" spans="189:196" x14ac:dyDescent="0.25">
      <c r="GG7309"/>
      <c r="GH7309"/>
      <c r="GI7309"/>
      <c r="GK7309"/>
      <c r="GL7309"/>
      <c r="GM7309"/>
      <c r="GN7309"/>
    </row>
    <row r="7310" spans="189:196" x14ac:dyDescent="0.25">
      <c r="GG7310"/>
      <c r="GH7310"/>
      <c r="GI7310"/>
      <c r="GK7310"/>
      <c r="GL7310"/>
      <c r="GM7310"/>
      <c r="GN7310"/>
    </row>
    <row r="7311" spans="189:196" x14ac:dyDescent="0.25">
      <c r="GG7311"/>
      <c r="GH7311"/>
      <c r="GI7311"/>
      <c r="GK7311"/>
      <c r="GL7311"/>
      <c r="GM7311"/>
      <c r="GN7311"/>
    </row>
    <row r="7312" spans="189:196" x14ac:dyDescent="0.25">
      <c r="GG7312"/>
      <c r="GH7312"/>
      <c r="GI7312"/>
      <c r="GK7312"/>
      <c r="GL7312"/>
      <c r="GM7312"/>
      <c r="GN7312"/>
    </row>
    <row r="7313" spans="189:196" x14ac:dyDescent="0.25">
      <c r="GG7313"/>
      <c r="GH7313"/>
      <c r="GI7313"/>
      <c r="GK7313"/>
      <c r="GL7313"/>
      <c r="GM7313"/>
      <c r="GN7313"/>
    </row>
    <row r="7314" spans="189:196" x14ac:dyDescent="0.25">
      <c r="GG7314"/>
      <c r="GH7314"/>
      <c r="GI7314"/>
      <c r="GK7314"/>
      <c r="GL7314"/>
      <c r="GM7314"/>
      <c r="GN7314"/>
    </row>
    <row r="7315" spans="189:196" x14ac:dyDescent="0.25">
      <c r="GG7315"/>
      <c r="GH7315"/>
      <c r="GI7315"/>
      <c r="GK7315"/>
      <c r="GL7315"/>
      <c r="GM7315"/>
      <c r="GN7315"/>
    </row>
    <row r="7316" spans="189:196" x14ac:dyDescent="0.25">
      <c r="GG7316"/>
      <c r="GH7316"/>
      <c r="GI7316"/>
      <c r="GK7316"/>
      <c r="GL7316"/>
      <c r="GM7316"/>
      <c r="GN7316"/>
    </row>
    <row r="7317" spans="189:196" x14ac:dyDescent="0.25">
      <c r="GG7317"/>
      <c r="GH7317"/>
      <c r="GI7317"/>
      <c r="GK7317"/>
      <c r="GL7317"/>
      <c r="GM7317"/>
      <c r="GN7317"/>
    </row>
    <row r="7318" spans="189:196" x14ac:dyDescent="0.25">
      <c r="GG7318"/>
      <c r="GH7318"/>
      <c r="GI7318"/>
      <c r="GK7318"/>
      <c r="GL7318"/>
      <c r="GM7318"/>
      <c r="GN7318"/>
    </row>
    <row r="7319" spans="189:196" x14ac:dyDescent="0.25">
      <c r="GG7319"/>
      <c r="GH7319"/>
      <c r="GI7319"/>
      <c r="GK7319"/>
      <c r="GL7319"/>
      <c r="GM7319"/>
      <c r="GN7319"/>
    </row>
    <row r="7320" spans="189:196" x14ac:dyDescent="0.25">
      <c r="GG7320"/>
      <c r="GH7320"/>
      <c r="GI7320"/>
      <c r="GK7320"/>
      <c r="GL7320"/>
      <c r="GM7320"/>
      <c r="GN7320"/>
    </row>
    <row r="7321" spans="189:196" x14ac:dyDescent="0.25">
      <c r="GG7321"/>
      <c r="GH7321"/>
      <c r="GI7321"/>
      <c r="GK7321"/>
      <c r="GL7321"/>
      <c r="GM7321"/>
      <c r="GN7321"/>
    </row>
    <row r="7322" spans="189:196" x14ac:dyDescent="0.25">
      <c r="GG7322"/>
      <c r="GH7322"/>
      <c r="GI7322"/>
      <c r="GK7322"/>
      <c r="GL7322"/>
      <c r="GM7322"/>
      <c r="GN7322"/>
    </row>
    <row r="7323" spans="189:196" x14ac:dyDescent="0.25">
      <c r="GG7323"/>
      <c r="GH7323"/>
      <c r="GI7323"/>
      <c r="GK7323"/>
      <c r="GL7323"/>
      <c r="GM7323"/>
      <c r="GN7323"/>
    </row>
    <row r="7324" spans="189:196" x14ac:dyDescent="0.25">
      <c r="GG7324"/>
      <c r="GH7324"/>
      <c r="GI7324"/>
      <c r="GK7324"/>
      <c r="GL7324"/>
      <c r="GM7324"/>
      <c r="GN7324"/>
    </row>
    <row r="7325" spans="189:196" x14ac:dyDescent="0.25">
      <c r="GG7325"/>
      <c r="GH7325"/>
      <c r="GI7325"/>
      <c r="GK7325"/>
      <c r="GL7325"/>
      <c r="GM7325"/>
      <c r="GN7325"/>
    </row>
    <row r="7326" spans="189:196" x14ac:dyDescent="0.25">
      <c r="GG7326"/>
      <c r="GH7326"/>
      <c r="GI7326"/>
      <c r="GK7326"/>
      <c r="GL7326"/>
      <c r="GM7326"/>
      <c r="GN7326"/>
    </row>
    <row r="7327" spans="189:196" x14ac:dyDescent="0.25">
      <c r="GG7327"/>
      <c r="GH7327"/>
      <c r="GI7327"/>
      <c r="GK7327"/>
      <c r="GL7327"/>
      <c r="GM7327"/>
      <c r="GN7327"/>
    </row>
    <row r="7328" spans="189:196" x14ac:dyDescent="0.25">
      <c r="GG7328"/>
      <c r="GH7328"/>
      <c r="GI7328"/>
      <c r="GK7328"/>
      <c r="GL7328"/>
      <c r="GM7328"/>
      <c r="GN7328"/>
    </row>
    <row r="7329" spans="189:196" x14ac:dyDescent="0.25">
      <c r="GG7329"/>
      <c r="GH7329"/>
      <c r="GI7329"/>
      <c r="GK7329"/>
      <c r="GL7329"/>
      <c r="GM7329"/>
      <c r="GN7329"/>
    </row>
    <row r="7330" spans="189:196" x14ac:dyDescent="0.25">
      <c r="GG7330"/>
      <c r="GH7330"/>
      <c r="GI7330"/>
      <c r="GK7330"/>
      <c r="GL7330"/>
      <c r="GM7330"/>
      <c r="GN7330"/>
    </row>
    <row r="7331" spans="189:196" x14ac:dyDescent="0.25">
      <c r="GG7331"/>
      <c r="GH7331"/>
      <c r="GI7331"/>
      <c r="GK7331"/>
      <c r="GL7331"/>
      <c r="GM7331"/>
      <c r="GN7331"/>
    </row>
    <row r="7332" spans="189:196" x14ac:dyDescent="0.25">
      <c r="GG7332"/>
      <c r="GH7332"/>
      <c r="GI7332"/>
      <c r="GK7332"/>
      <c r="GL7332"/>
      <c r="GM7332"/>
      <c r="GN7332"/>
    </row>
    <row r="7333" spans="189:196" x14ac:dyDescent="0.25">
      <c r="GG7333"/>
      <c r="GH7333"/>
      <c r="GI7333"/>
      <c r="GK7333"/>
      <c r="GL7333"/>
      <c r="GM7333"/>
      <c r="GN7333"/>
    </row>
    <row r="7334" spans="189:196" x14ac:dyDescent="0.25">
      <c r="GG7334"/>
      <c r="GH7334"/>
      <c r="GI7334"/>
      <c r="GK7334"/>
      <c r="GL7334"/>
      <c r="GM7334"/>
      <c r="GN7334"/>
    </row>
    <row r="7335" spans="189:196" x14ac:dyDescent="0.25">
      <c r="GG7335"/>
      <c r="GH7335"/>
      <c r="GI7335"/>
      <c r="GK7335"/>
      <c r="GL7335"/>
      <c r="GM7335"/>
      <c r="GN7335"/>
    </row>
    <row r="7336" spans="189:196" x14ac:dyDescent="0.25">
      <c r="GG7336"/>
      <c r="GH7336"/>
      <c r="GI7336"/>
      <c r="GK7336"/>
      <c r="GL7336"/>
      <c r="GM7336"/>
      <c r="GN7336"/>
    </row>
    <row r="7337" spans="189:196" x14ac:dyDescent="0.25">
      <c r="GG7337"/>
      <c r="GH7337"/>
      <c r="GI7337"/>
      <c r="GK7337"/>
      <c r="GL7337"/>
      <c r="GM7337"/>
      <c r="GN7337"/>
    </row>
    <row r="7338" spans="189:196" x14ac:dyDescent="0.25">
      <c r="GG7338"/>
      <c r="GH7338"/>
      <c r="GI7338"/>
      <c r="GK7338"/>
      <c r="GL7338"/>
      <c r="GM7338"/>
      <c r="GN7338"/>
    </row>
    <row r="7339" spans="189:196" x14ac:dyDescent="0.25">
      <c r="GG7339"/>
      <c r="GH7339"/>
      <c r="GI7339"/>
      <c r="GK7339"/>
      <c r="GL7339"/>
      <c r="GM7339"/>
      <c r="GN7339"/>
    </row>
    <row r="7340" spans="189:196" x14ac:dyDescent="0.25">
      <c r="GG7340"/>
      <c r="GH7340"/>
      <c r="GI7340"/>
      <c r="GK7340"/>
      <c r="GL7340"/>
      <c r="GM7340"/>
      <c r="GN7340"/>
    </row>
    <row r="7341" spans="189:196" x14ac:dyDescent="0.25">
      <c r="GG7341"/>
      <c r="GH7341"/>
      <c r="GI7341"/>
      <c r="GK7341"/>
      <c r="GL7341"/>
      <c r="GM7341"/>
      <c r="GN7341"/>
    </row>
    <row r="7342" spans="189:196" x14ac:dyDescent="0.25">
      <c r="GG7342"/>
      <c r="GH7342"/>
      <c r="GI7342"/>
      <c r="GK7342"/>
      <c r="GL7342"/>
      <c r="GM7342"/>
      <c r="GN7342"/>
    </row>
    <row r="7343" spans="189:196" x14ac:dyDescent="0.25">
      <c r="GG7343"/>
      <c r="GH7343"/>
      <c r="GI7343"/>
      <c r="GK7343"/>
      <c r="GL7343"/>
      <c r="GM7343"/>
      <c r="GN7343"/>
    </row>
    <row r="7344" spans="189:196" x14ac:dyDescent="0.25">
      <c r="GG7344"/>
      <c r="GH7344"/>
      <c r="GI7344"/>
      <c r="GK7344"/>
      <c r="GL7344"/>
      <c r="GM7344"/>
      <c r="GN7344"/>
    </row>
    <row r="7345" spans="189:196" x14ac:dyDescent="0.25">
      <c r="GG7345"/>
      <c r="GH7345"/>
      <c r="GI7345"/>
      <c r="GK7345"/>
      <c r="GL7345"/>
      <c r="GM7345"/>
      <c r="GN7345"/>
    </row>
    <row r="7346" spans="189:196" x14ac:dyDescent="0.25">
      <c r="GG7346"/>
      <c r="GH7346"/>
      <c r="GI7346"/>
      <c r="GK7346"/>
      <c r="GL7346"/>
      <c r="GM7346"/>
      <c r="GN7346"/>
    </row>
    <row r="7347" spans="189:196" x14ac:dyDescent="0.25">
      <c r="GG7347"/>
      <c r="GH7347"/>
      <c r="GI7347"/>
      <c r="GK7347"/>
      <c r="GL7347"/>
      <c r="GM7347"/>
      <c r="GN7347"/>
    </row>
    <row r="7348" spans="189:196" x14ac:dyDescent="0.25">
      <c r="GG7348"/>
      <c r="GH7348"/>
      <c r="GI7348"/>
      <c r="GK7348"/>
      <c r="GL7348"/>
      <c r="GM7348"/>
      <c r="GN7348"/>
    </row>
    <row r="7349" spans="189:196" x14ac:dyDescent="0.25">
      <c r="GG7349"/>
      <c r="GH7349"/>
      <c r="GI7349"/>
      <c r="GK7349"/>
      <c r="GL7349"/>
      <c r="GM7349"/>
      <c r="GN7349"/>
    </row>
    <row r="7350" spans="189:196" x14ac:dyDescent="0.25">
      <c r="GG7350"/>
      <c r="GH7350"/>
      <c r="GI7350"/>
      <c r="GK7350"/>
      <c r="GL7350"/>
      <c r="GM7350"/>
      <c r="GN7350"/>
    </row>
    <row r="7351" spans="189:196" x14ac:dyDescent="0.25">
      <c r="GG7351"/>
      <c r="GH7351"/>
      <c r="GI7351"/>
      <c r="GK7351"/>
      <c r="GL7351"/>
      <c r="GM7351"/>
      <c r="GN7351"/>
    </row>
    <row r="7352" spans="189:196" x14ac:dyDescent="0.25">
      <c r="GG7352"/>
      <c r="GH7352"/>
      <c r="GI7352"/>
      <c r="GK7352"/>
      <c r="GL7352"/>
      <c r="GM7352"/>
      <c r="GN7352"/>
    </row>
    <row r="7353" spans="189:196" x14ac:dyDescent="0.25">
      <c r="GG7353"/>
      <c r="GH7353"/>
      <c r="GI7353"/>
      <c r="GK7353"/>
      <c r="GL7353"/>
      <c r="GM7353"/>
      <c r="GN7353"/>
    </row>
    <row r="7354" spans="189:196" x14ac:dyDescent="0.25">
      <c r="GG7354"/>
      <c r="GH7354"/>
      <c r="GI7354"/>
      <c r="GK7354"/>
      <c r="GL7354"/>
      <c r="GM7354"/>
      <c r="GN7354"/>
    </row>
    <row r="7355" spans="189:196" x14ac:dyDescent="0.25">
      <c r="GG7355"/>
      <c r="GH7355"/>
      <c r="GI7355"/>
      <c r="GK7355"/>
      <c r="GL7355"/>
      <c r="GM7355"/>
      <c r="GN7355"/>
    </row>
    <row r="7356" spans="189:196" x14ac:dyDescent="0.25">
      <c r="GG7356"/>
      <c r="GH7356"/>
      <c r="GI7356"/>
      <c r="GK7356"/>
      <c r="GL7356"/>
      <c r="GM7356"/>
      <c r="GN7356"/>
    </row>
    <row r="7357" spans="189:196" x14ac:dyDescent="0.25">
      <c r="GG7357"/>
      <c r="GH7357"/>
      <c r="GI7357"/>
      <c r="GK7357"/>
      <c r="GL7357"/>
      <c r="GM7357"/>
      <c r="GN7357"/>
    </row>
    <row r="7358" spans="189:196" x14ac:dyDescent="0.25">
      <c r="GG7358"/>
      <c r="GH7358"/>
      <c r="GI7358"/>
      <c r="GK7358"/>
      <c r="GL7358"/>
      <c r="GM7358"/>
      <c r="GN7358"/>
    </row>
    <row r="7359" spans="189:196" x14ac:dyDescent="0.25">
      <c r="GG7359"/>
      <c r="GH7359"/>
      <c r="GI7359"/>
      <c r="GK7359"/>
      <c r="GL7359"/>
      <c r="GM7359"/>
      <c r="GN7359"/>
    </row>
    <row r="7360" spans="189:196" x14ac:dyDescent="0.25">
      <c r="GG7360"/>
      <c r="GH7360"/>
      <c r="GI7360"/>
      <c r="GK7360"/>
      <c r="GL7360"/>
      <c r="GM7360"/>
      <c r="GN7360"/>
    </row>
    <row r="7361" spans="189:196" x14ac:dyDescent="0.25">
      <c r="GG7361"/>
      <c r="GH7361"/>
      <c r="GI7361"/>
      <c r="GK7361"/>
      <c r="GL7361"/>
      <c r="GM7361"/>
      <c r="GN7361"/>
    </row>
    <row r="7362" spans="189:196" x14ac:dyDescent="0.25">
      <c r="GG7362"/>
      <c r="GH7362"/>
      <c r="GI7362"/>
      <c r="GK7362"/>
      <c r="GL7362"/>
      <c r="GM7362"/>
      <c r="GN7362"/>
    </row>
    <row r="7363" spans="189:196" x14ac:dyDescent="0.25">
      <c r="GG7363"/>
      <c r="GH7363"/>
      <c r="GI7363"/>
      <c r="GK7363"/>
      <c r="GL7363"/>
      <c r="GM7363"/>
      <c r="GN7363"/>
    </row>
    <row r="7364" spans="189:196" x14ac:dyDescent="0.25">
      <c r="GG7364"/>
      <c r="GH7364"/>
      <c r="GI7364"/>
      <c r="GK7364"/>
      <c r="GL7364"/>
      <c r="GM7364"/>
      <c r="GN7364"/>
    </row>
    <row r="7365" spans="189:196" x14ac:dyDescent="0.25">
      <c r="GG7365"/>
      <c r="GH7365"/>
      <c r="GI7365"/>
      <c r="GK7365"/>
      <c r="GL7365"/>
      <c r="GM7365"/>
      <c r="GN7365"/>
    </row>
    <row r="7366" spans="189:196" x14ac:dyDescent="0.25">
      <c r="GG7366"/>
      <c r="GH7366"/>
      <c r="GI7366"/>
      <c r="GK7366"/>
      <c r="GL7366"/>
      <c r="GM7366"/>
      <c r="GN7366"/>
    </row>
    <row r="7367" spans="189:196" x14ac:dyDescent="0.25">
      <c r="GG7367"/>
      <c r="GH7367"/>
      <c r="GI7367"/>
      <c r="GK7367"/>
      <c r="GL7367"/>
      <c r="GM7367"/>
      <c r="GN7367"/>
    </row>
    <row r="7368" spans="189:196" x14ac:dyDescent="0.25">
      <c r="GG7368"/>
      <c r="GH7368"/>
      <c r="GI7368"/>
      <c r="GK7368"/>
      <c r="GL7368"/>
      <c r="GM7368"/>
      <c r="GN7368"/>
    </row>
    <row r="7369" spans="189:196" x14ac:dyDescent="0.25">
      <c r="GG7369"/>
      <c r="GH7369"/>
      <c r="GI7369"/>
      <c r="GK7369"/>
      <c r="GL7369"/>
      <c r="GM7369"/>
      <c r="GN7369"/>
    </row>
    <row r="7370" spans="189:196" x14ac:dyDescent="0.25">
      <c r="GG7370"/>
      <c r="GH7370"/>
      <c r="GI7370"/>
      <c r="GK7370"/>
      <c r="GL7370"/>
      <c r="GM7370"/>
      <c r="GN7370"/>
    </row>
    <row r="7371" spans="189:196" x14ac:dyDescent="0.25">
      <c r="GG7371"/>
      <c r="GH7371"/>
      <c r="GI7371"/>
      <c r="GK7371"/>
      <c r="GL7371"/>
      <c r="GM7371"/>
      <c r="GN7371"/>
    </row>
    <row r="7372" spans="189:196" x14ac:dyDescent="0.25">
      <c r="GG7372"/>
      <c r="GH7372"/>
      <c r="GI7372"/>
      <c r="GK7372"/>
      <c r="GL7372"/>
      <c r="GM7372"/>
      <c r="GN7372"/>
    </row>
    <row r="7373" spans="189:196" x14ac:dyDescent="0.25">
      <c r="GG7373"/>
      <c r="GH7373"/>
      <c r="GI7373"/>
      <c r="GK7373"/>
      <c r="GL7373"/>
      <c r="GM7373"/>
      <c r="GN7373"/>
    </row>
    <row r="7374" spans="189:196" x14ac:dyDescent="0.25">
      <c r="GG7374"/>
      <c r="GH7374"/>
      <c r="GI7374"/>
      <c r="GK7374"/>
      <c r="GL7374"/>
      <c r="GM7374"/>
      <c r="GN7374"/>
    </row>
    <row r="7375" spans="189:196" x14ac:dyDescent="0.25">
      <c r="GG7375"/>
      <c r="GH7375"/>
      <c r="GI7375"/>
      <c r="GK7375"/>
      <c r="GL7375"/>
      <c r="GM7375"/>
      <c r="GN7375"/>
    </row>
    <row r="7376" spans="189:196" x14ac:dyDescent="0.25">
      <c r="GG7376"/>
      <c r="GH7376"/>
      <c r="GI7376"/>
      <c r="GK7376"/>
      <c r="GL7376"/>
      <c r="GM7376"/>
      <c r="GN7376"/>
    </row>
    <row r="7377" spans="189:196" x14ac:dyDescent="0.25">
      <c r="GG7377"/>
      <c r="GH7377"/>
      <c r="GI7377"/>
      <c r="GK7377"/>
      <c r="GL7377"/>
      <c r="GM7377"/>
      <c r="GN7377"/>
    </row>
    <row r="7378" spans="189:196" x14ac:dyDescent="0.25">
      <c r="GG7378"/>
      <c r="GH7378"/>
      <c r="GI7378"/>
      <c r="GK7378"/>
      <c r="GL7378"/>
      <c r="GM7378"/>
      <c r="GN7378"/>
    </row>
    <row r="7379" spans="189:196" x14ac:dyDescent="0.25">
      <c r="GG7379"/>
      <c r="GH7379"/>
      <c r="GI7379"/>
      <c r="GK7379"/>
      <c r="GL7379"/>
      <c r="GM7379"/>
      <c r="GN7379"/>
    </row>
    <row r="7380" spans="189:196" x14ac:dyDescent="0.25">
      <c r="GG7380"/>
      <c r="GH7380"/>
      <c r="GI7380"/>
      <c r="GK7380"/>
      <c r="GL7380"/>
      <c r="GM7380"/>
      <c r="GN7380"/>
    </row>
    <row r="7381" spans="189:196" x14ac:dyDescent="0.25">
      <c r="GG7381"/>
      <c r="GH7381"/>
      <c r="GI7381"/>
      <c r="GK7381"/>
      <c r="GL7381"/>
      <c r="GM7381"/>
      <c r="GN7381"/>
    </row>
    <row r="7382" spans="189:196" x14ac:dyDescent="0.25">
      <c r="GG7382"/>
      <c r="GH7382"/>
      <c r="GI7382"/>
      <c r="GK7382"/>
      <c r="GL7382"/>
      <c r="GM7382"/>
      <c r="GN7382"/>
    </row>
    <row r="7383" spans="189:196" x14ac:dyDescent="0.25">
      <c r="GG7383"/>
      <c r="GH7383"/>
      <c r="GI7383"/>
      <c r="GK7383"/>
      <c r="GL7383"/>
      <c r="GM7383"/>
      <c r="GN7383"/>
    </row>
    <row r="7384" spans="189:196" x14ac:dyDescent="0.25">
      <c r="GG7384"/>
      <c r="GH7384"/>
      <c r="GI7384"/>
      <c r="GK7384"/>
      <c r="GL7384"/>
      <c r="GM7384"/>
      <c r="GN7384"/>
    </row>
    <row r="7385" spans="189:196" x14ac:dyDescent="0.25">
      <c r="GG7385"/>
      <c r="GH7385"/>
      <c r="GI7385"/>
      <c r="GK7385"/>
      <c r="GL7385"/>
      <c r="GM7385"/>
      <c r="GN7385"/>
    </row>
    <row r="7386" spans="189:196" x14ac:dyDescent="0.25">
      <c r="GG7386"/>
      <c r="GH7386"/>
      <c r="GI7386"/>
      <c r="GK7386"/>
      <c r="GL7386"/>
      <c r="GM7386"/>
      <c r="GN7386"/>
    </row>
    <row r="7387" spans="189:196" x14ac:dyDescent="0.25">
      <c r="GG7387"/>
      <c r="GH7387"/>
      <c r="GI7387"/>
      <c r="GK7387"/>
      <c r="GL7387"/>
      <c r="GM7387"/>
      <c r="GN7387"/>
    </row>
    <row r="7388" spans="189:196" x14ac:dyDescent="0.25">
      <c r="GG7388"/>
      <c r="GH7388"/>
      <c r="GI7388"/>
      <c r="GK7388"/>
      <c r="GL7388"/>
      <c r="GM7388"/>
      <c r="GN7388"/>
    </row>
    <row r="7389" spans="189:196" x14ac:dyDescent="0.25">
      <c r="GG7389"/>
      <c r="GH7389"/>
      <c r="GI7389"/>
      <c r="GK7389"/>
      <c r="GL7389"/>
      <c r="GM7389"/>
      <c r="GN7389"/>
    </row>
    <row r="7390" spans="189:196" x14ac:dyDescent="0.25">
      <c r="GG7390"/>
      <c r="GH7390"/>
      <c r="GI7390"/>
      <c r="GK7390"/>
      <c r="GL7390"/>
      <c r="GM7390"/>
      <c r="GN7390"/>
    </row>
    <row r="7391" spans="189:196" x14ac:dyDescent="0.25">
      <c r="GG7391"/>
      <c r="GH7391"/>
      <c r="GI7391"/>
      <c r="GK7391"/>
      <c r="GL7391"/>
      <c r="GM7391"/>
      <c r="GN7391"/>
    </row>
    <row r="7392" spans="189:196" x14ac:dyDescent="0.25">
      <c r="GG7392"/>
      <c r="GH7392"/>
      <c r="GI7392"/>
      <c r="GK7392"/>
      <c r="GL7392"/>
      <c r="GM7392"/>
      <c r="GN7392"/>
    </row>
    <row r="7393" spans="189:196" x14ac:dyDescent="0.25">
      <c r="GG7393"/>
      <c r="GH7393"/>
      <c r="GI7393"/>
      <c r="GK7393"/>
      <c r="GL7393"/>
      <c r="GM7393"/>
      <c r="GN7393"/>
    </row>
    <row r="7394" spans="189:196" x14ac:dyDescent="0.25">
      <c r="GG7394"/>
      <c r="GH7394"/>
      <c r="GI7394"/>
      <c r="GK7394"/>
      <c r="GL7394"/>
      <c r="GM7394"/>
      <c r="GN7394"/>
    </row>
    <row r="7395" spans="189:196" x14ac:dyDescent="0.25">
      <c r="GG7395"/>
      <c r="GH7395"/>
      <c r="GI7395"/>
      <c r="GK7395"/>
      <c r="GL7395"/>
      <c r="GM7395"/>
      <c r="GN7395"/>
    </row>
    <row r="7396" spans="189:196" x14ac:dyDescent="0.25">
      <c r="GG7396"/>
      <c r="GH7396"/>
      <c r="GI7396"/>
      <c r="GK7396"/>
      <c r="GL7396"/>
      <c r="GM7396"/>
      <c r="GN7396"/>
    </row>
    <row r="7397" spans="189:196" x14ac:dyDescent="0.25">
      <c r="GG7397"/>
      <c r="GH7397"/>
      <c r="GI7397"/>
      <c r="GK7397"/>
      <c r="GL7397"/>
      <c r="GM7397"/>
      <c r="GN7397"/>
    </row>
    <row r="7398" spans="189:196" x14ac:dyDescent="0.25">
      <c r="GG7398"/>
      <c r="GH7398"/>
      <c r="GI7398"/>
      <c r="GK7398"/>
      <c r="GL7398"/>
      <c r="GM7398"/>
      <c r="GN7398"/>
    </row>
    <row r="7399" spans="189:196" x14ac:dyDescent="0.25">
      <c r="GG7399"/>
      <c r="GH7399"/>
      <c r="GI7399"/>
      <c r="GK7399"/>
      <c r="GL7399"/>
      <c r="GM7399"/>
      <c r="GN7399"/>
    </row>
    <row r="7400" spans="189:196" x14ac:dyDescent="0.25">
      <c r="GG7400"/>
      <c r="GH7400"/>
      <c r="GI7400"/>
      <c r="GK7400"/>
      <c r="GL7400"/>
      <c r="GM7400"/>
      <c r="GN7400"/>
    </row>
    <row r="7401" spans="189:196" x14ac:dyDescent="0.25">
      <c r="GG7401"/>
      <c r="GH7401"/>
      <c r="GI7401"/>
      <c r="GK7401"/>
      <c r="GL7401"/>
      <c r="GM7401"/>
      <c r="GN7401"/>
    </row>
    <row r="7402" spans="189:196" x14ac:dyDescent="0.25">
      <c r="GG7402"/>
      <c r="GH7402"/>
      <c r="GI7402"/>
      <c r="GK7402"/>
      <c r="GL7402"/>
      <c r="GM7402"/>
      <c r="GN7402"/>
    </row>
    <row r="7403" spans="189:196" x14ac:dyDescent="0.25">
      <c r="GG7403"/>
      <c r="GH7403"/>
      <c r="GI7403"/>
      <c r="GK7403"/>
      <c r="GL7403"/>
      <c r="GM7403"/>
      <c r="GN7403"/>
    </row>
    <row r="7404" spans="189:196" x14ac:dyDescent="0.25">
      <c r="GG7404"/>
      <c r="GH7404"/>
      <c r="GI7404"/>
      <c r="GK7404"/>
      <c r="GL7404"/>
      <c r="GM7404"/>
      <c r="GN7404"/>
    </row>
    <row r="7405" spans="189:196" x14ac:dyDescent="0.25">
      <c r="GG7405"/>
      <c r="GH7405"/>
      <c r="GI7405"/>
      <c r="GK7405"/>
      <c r="GL7405"/>
      <c r="GM7405"/>
      <c r="GN7405"/>
    </row>
    <row r="7406" spans="189:196" x14ac:dyDescent="0.25">
      <c r="GG7406"/>
      <c r="GH7406"/>
      <c r="GI7406"/>
      <c r="GK7406"/>
      <c r="GL7406"/>
      <c r="GM7406"/>
      <c r="GN7406"/>
    </row>
    <row r="7407" spans="189:196" x14ac:dyDescent="0.25">
      <c r="GG7407"/>
      <c r="GH7407"/>
      <c r="GI7407"/>
      <c r="GK7407"/>
      <c r="GL7407"/>
      <c r="GM7407"/>
      <c r="GN7407"/>
    </row>
    <row r="7408" spans="189:196" x14ac:dyDescent="0.25">
      <c r="GG7408"/>
      <c r="GH7408"/>
      <c r="GI7408"/>
      <c r="GK7408"/>
      <c r="GL7408"/>
      <c r="GM7408"/>
      <c r="GN7408"/>
    </row>
    <row r="7409" spans="189:196" x14ac:dyDescent="0.25">
      <c r="GG7409"/>
      <c r="GH7409"/>
      <c r="GI7409"/>
      <c r="GK7409"/>
      <c r="GL7409"/>
      <c r="GM7409"/>
      <c r="GN7409"/>
    </row>
    <row r="7410" spans="189:196" x14ac:dyDescent="0.25">
      <c r="GG7410"/>
      <c r="GH7410"/>
      <c r="GI7410"/>
      <c r="GK7410"/>
      <c r="GL7410"/>
      <c r="GM7410"/>
      <c r="GN7410"/>
    </row>
    <row r="7411" spans="189:196" x14ac:dyDescent="0.25">
      <c r="GG7411"/>
      <c r="GH7411"/>
      <c r="GI7411"/>
      <c r="GK7411"/>
      <c r="GL7411"/>
      <c r="GM7411"/>
      <c r="GN7411"/>
    </row>
    <row r="7412" spans="189:196" x14ac:dyDescent="0.25">
      <c r="GG7412"/>
      <c r="GH7412"/>
      <c r="GI7412"/>
      <c r="GK7412"/>
      <c r="GL7412"/>
      <c r="GM7412"/>
      <c r="GN7412"/>
    </row>
    <row r="7413" spans="189:196" x14ac:dyDescent="0.25">
      <c r="GG7413"/>
      <c r="GH7413"/>
      <c r="GI7413"/>
      <c r="GK7413"/>
      <c r="GL7413"/>
      <c r="GM7413"/>
      <c r="GN7413"/>
    </row>
    <row r="7414" spans="189:196" x14ac:dyDescent="0.25">
      <c r="GG7414"/>
      <c r="GH7414"/>
      <c r="GI7414"/>
      <c r="GK7414"/>
      <c r="GL7414"/>
      <c r="GM7414"/>
      <c r="GN7414"/>
    </row>
    <row r="7415" spans="189:196" x14ac:dyDescent="0.25">
      <c r="GG7415"/>
      <c r="GH7415"/>
      <c r="GI7415"/>
      <c r="GK7415"/>
      <c r="GL7415"/>
      <c r="GM7415"/>
      <c r="GN7415"/>
    </row>
    <row r="7416" spans="189:196" x14ac:dyDescent="0.25">
      <c r="GG7416"/>
      <c r="GH7416"/>
      <c r="GI7416"/>
      <c r="GK7416"/>
      <c r="GL7416"/>
      <c r="GM7416"/>
      <c r="GN7416"/>
    </row>
    <row r="7417" spans="189:196" x14ac:dyDescent="0.25">
      <c r="GG7417"/>
      <c r="GH7417"/>
      <c r="GI7417"/>
      <c r="GK7417"/>
      <c r="GL7417"/>
      <c r="GM7417"/>
      <c r="GN7417"/>
    </row>
    <row r="7418" spans="189:196" x14ac:dyDescent="0.25">
      <c r="GG7418"/>
      <c r="GH7418"/>
      <c r="GI7418"/>
      <c r="GK7418"/>
      <c r="GL7418"/>
      <c r="GM7418"/>
      <c r="GN7418"/>
    </row>
    <row r="7419" spans="189:196" x14ac:dyDescent="0.25">
      <c r="GG7419"/>
      <c r="GH7419"/>
      <c r="GI7419"/>
      <c r="GK7419"/>
      <c r="GL7419"/>
      <c r="GM7419"/>
      <c r="GN7419"/>
    </row>
    <row r="7420" spans="189:196" x14ac:dyDescent="0.25">
      <c r="GG7420"/>
      <c r="GH7420"/>
      <c r="GI7420"/>
      <c r="GK7420"/>
      <c r="GL7420"/>
      <c r="GM7420"/>
      <c r="GN7420"/>
    </row>
    <row r="7421" spans="189:196" x14ac:dyDescent="0.25">
      <c r="GG7421"/>
      <c r="GH7421"/>
      <c r="GI7421"/>
      <c r="GK7421"/>
      <c r="GL7421"/>
      <c r="GM7421"/>
      <c r="GN7421"/>
    </row>
    <row r="7422" spans="189:196" x14ac:dyDescent="0.25">
      <c r="GG7422"/>
      <c r="GH7422"/>
      <c r="GI7422"/>
      <c r="GK7422"/>
      <c r="GL7422"/>
      <c r="GM7422"/>
      <c r="GN7422"/>
    </row>
    <row r="7423" spans="189:196" x14ac:dyDescent="0.25">
      <c r="GG7423"/>
      <c r="GH7423"/>
      <c r="GI7423"/>
      <c r="GK7423"/>
      <c r="GL7423"/>
      <c r="GM7423"/>
      <c r="GN7423"/>
    </row>
    <row r="7424" spans="189:196" x14ac:dyDescent="0.25">
      <c r="GG7424"/>
      <c r="GH7424"/>
      <c r="GI7424"/>
      <c r="GK7424"/>
      <c r="GL7424"/>
      <c r="GM7424"/>
      <c r="GN7424"/>
    </row>
    <row r="7425" spans="189:196" x14ac:dyDescent="0.25">
      <c r="GG7425"/>
      <c r="GH7425"/>
      <c r="GI7425"/>
      <c r="GK7425"/>
      <c r="GL7425"/>
      <c r="GM7425"/>
      <c r="GN7425"/>
    </row>
    <row r="7426" spans="189:196" x14ac:dyDescent="0.25">
      <c r="GG7426"/>
      <c r="GH7426"/>
      <c r="GI7426"/>
      <c r="GK7426"/>
      <c r="GL7426"/>
      <c r="GM7426"/>
      <c r="GN7426"/>
    </row>
    <row r="7427" spans="189:196" x14ac:dyDescent="0.25">
      <c r="GG7427"/>
      <c r="GH7427"/>
      <c r="GI7427"/>
      <c r="GK7427"/>
      <c r="GL7427"/>
      <c r="GM7427"/>
      <c r="GN7427"/>
    </row>
    <row r="7428" spans="189:196" x14ac:dyDescent="0.25">
      <c r="GG7428"/>
      <c r="GH7428"/>
      <c r="GI7428"/>
      <c r="GK7428"/>
      <c r="GL7428"/>
      <c r="GM7428"/>
      <c r="GN7428"/>
    </row>
    <row r="7429" spans="189:196" x14ac:dyDescent="0.25">
      <c r="GG7429"/>
      <c r="GH7429"/>
      <c r="GI7429"/>
      <c r="GK7429"/>
      <c r="GL7429"/>
      <c r="GM7429"/>
      <c r="GN7429"/>
    </row>
    <row r="7430" spans="189:196" x14ac:dyDescent="0.25">
      <c r="GG7430"/>
      <c r="GH7430"/>
      <c r="GI7430"/>
      <c r="GK7430"/>
      <c r="GL7430"/>
      <c r="GM7430"/>
      <c r="GN7430"/>
    </row>
    <row r="7431" spans="189:196" x14ac:dyDescent="0.25">
      <c r="GG7431"/>
      <c r="GH7431"/>
      <c r="GI7431"/>
      <c r="GK7431"/>
      <c r="GL7431"/>
      <c r="GM7431"/>
      <c r="GN7431"/>
    </row>
    <row r="7432" spans="189:196" x14ac:dyDescent="0.25">
      <c r="GG7432"/>
      <c r="GH7432"/>
      <c r="GI7432"/>
      <c r="GK7432"/>
      <c r="GL7432"/>
      <c r="GM7432"/>
      <c r="GN7432"/>
    </row>
    <row r="7433" spans="189:196" x14ac:dyDescent="0.25">
      <c r="GG7433"/>
      <c r="GH7433"/>
      <c r="GI7433"/>
      <c r="GK7433"/>
      <c r="GL7433"/>
      <c r="GM7433"/>
      <c r="GN7433"/>
    </row>
    <row r="7434" spans="189:196" x14ac:dyDescent="0.25">
      <c r="GG7434"/>
      <c r="GH7434"/>
      <c r="GI7434"/>
      <c r="GK7434"/>
      <c r="GL7434"/>
      <c r="GM7434"/>
      <c r="GN7434"/>
    </row>
    <row r="7435" spans="189:196" x14ac:dyDescent="0.25">
      <c r="GG7435"/>
      <c r="GH7435"/>
      <c r="GI7435"/>
      <c r="GK7435"/>
      <c r="GL7435"/>
      <c r="GM7435"/>
      <c r="GN7435"/>
    </row>
    <row r="7436" spans="189:196" x14ac:dyDescent="0.25">
      <c r="GG7436"/>
      <c r="GH7436"/>
      <c r="GI7436"/>
      <c r="GK7436"/>
      <c r="GL7436"/>
      <c r="GM7436"/>
      <c r="GN7436"/>
    </row>
    <row r="7437" spans="189:196" x14ac:dyDescent="0.25">
      <c r="GG7437"/>
      <c r="GH7437"/>
      <c r="GI7437"/>
      <c r="GK7437"/>
      <c r="GL7437"/>
      <c r="GM7437"/>
      <c r="GN7437"/>
    </row>
    <row r="7438" spans="189:196" x14ac:dyDescent="0.25">
      <c r="GG7438"/>
      <c r="GH7438"/>
      <c r="GI7438"/>
      <c r="GK7438"/>
      <c r="GL7438"/>
      <c r="GM7438"/>
      <c r="GN7438"/>
    </row>
    <row r="7439" spans="189:196" x14ac:dyDescent="0.25">
      <c r="GG7439"/>
      <c r="GH7439"/>
      <c r="GI7439"/>
      <c r="GK7439"/>
      <c r="GL7439"/>
      <c r="GM7439"/>
      <c r="GN7439"/>
    </row>
    <row r="7440" spans="189:196" x14ac:dyDescent="0.25">
      <c r="GG7440"/>
      <c r="GH7440"/>
      <c r="GI7440"/>
      <c r="GK7440"/>
      <c r="GL7440"/>
      <c r="GM7440"/>
      <c r="GN7440"/>
    </row>
    <row r="7441" spans="189:196" x14ac:dyDescent="0.25">
      <c r="GG7441"/>
      <c r="GH7441"/>
      <c r="GI7441"/>
      <c r="GK7441"/>
      <c r="GL7441"/>
      <c r="GM7441"/>
      <c r="GN7441"/>
    </row>
    <row r="7442" spans="189:196" x14ac:dyDescent="0.25">
      <c r="GG7442"/>
      <c r="GH7442"/>
      <c r="GI7442"/>
      <c r="GK7442"/>
      <c r="GL7442"/>
      <c r="GM7442"/>
      <c r="GN7442"/>
    </row>
    <row r="7443" spans="189:196" x14ac:dyDescent="0.25">
      <c r="GG7443"/>
      <c r="GH7443"/>
      <c r="GI7443"/>
      <c r="GK7443"/>
      <c r="GL7443"/>
      <c r="GM7443"/>
      <c r="GN7443"/>
    </row>
    <row r="7444" spans="189:196" x14ac:dyDescent="0.25">
      <c r="GG7444"/>
      <c r="GH7444"/>
      <c r="GI7444"/>
      <c r="GK7444"/>
      <c r="GL7444"/>
      <c r="GM7444"/>
      <c r="GN7444"/>
    </row>
    <row r="7445" spans="189:196" x14ac:dyDescent="0.25">
      <c r="GG7445"/>
      <c r="GH7445"/>
      <c r="GI7445"/>
      <c r="GK7445"/>
      <c r="GL7445"/>
      <c r="GM7445"/>
      <c r="GN7445"/>
    </row>
    <row r="7446" spans="189:196" x14ac:dyDescent="0.25">
      <c r="GG7446"/>
      <c r="GH7446"/>
      <c r="GI7446"/>
      <c r="GK7446"/>
      <c r="GL7446"/>
      <c r="GM7446"/>
      <c r="GN7446"/>
    </row>
    <row r="7447" spans="189:196" x14ac:dyDescent="0.25">
      <c r="GG7447"/>
      <c r="GH7447"/>
      <c r="GI7447"/>
      <c r="GK7447"/>
      <c r="GL7447"/>
      <c r="GM7447"/>
      <c r="GN7447"/>
    </row>
    <row r="7448" spans="189:196" x14ac:dyDescent="0.25">
      <c r="GG7448"/>
      <c r="GH7448"/>
      <c r="GI7448"/>
      <c r="GK7448"/>
      <c r="GL7448"/>
      <c r="GM7448"/>
      <c r="GN7448"/>
    </row>
    <row r="7449" spans="189:196" x14ac:dyDescent="0.25">
      <c r="GG7449"/>
      <c r="GH7449"/>
      <c r="GI7449"/>
      <c r="GK7449"/>
      <c r="GL7449"/>
      <c r="GM7449"/>
      <c r="GN7449"/>
    </row>
    <row r="7450" spans="189:196" x14ac:dyDescent="0.25">
      <c r="GG7450"/>
      <c r="GH7450"/>
      <c r="GI7450"/>
      <c r="GK7450"/>
      <c r="GL7450"/>
      <c r="GM7450"/>
      <c r="GN7450"/>
    </row>
    <row r="7451" spans="189:196" x14ac:dyDescent="0.25">
      <c r="GG7451"/>
      <c r="GH7451"/>
      <c r="GI7451"/>
      <c r="GK7451"/>
      <c r="GL7451"/>
      <c r="GM7451"/>
      <c r="GN7451"/>
    </row>
    <row r="7452" spans="189:196" x14ac:dyDescent="0.25">
      <c r="GG7452"/>
      <c r="GH7452"/>
      <c r="GI7452"/>
      <c r="GK7452"/>
      <c r="GL7452"/>
      <c r="GM7452"/>
      <c r="GN7452"/>
    </row>
    <row r="7453" spans="189:196" x14ac:dyDescent="0.25">
      <c r="GG7453"/>
      <c r="GH7453"/>
      <c r="GI7453"/>
      <c r="GK7453"/>
      <c r="GL7453"/>
      <c r="GM7453"/>
      <c r="GN7453"/>
    </row>
    <row r="7454" spans="189:196" x14ac:dyDescent="0.25">
      <c r="GG7454"/>
      <c r="GH7454"/>
      <c r="GI7454"/>
      <c r="GK7454"/>
      <c r="GL7454"/>
      <c r="GM7454"/>
      <c r="GN7454"/>
    </row>
    <row r="7455" spans="189:196" x14ac:dyDescent="0.25">
      <c r="GG7455"/>
      <c r="GH7455"/>
      <c r="GI7455"/>
      <c r="GK7455"/>
      <c r="GL7455"/>
      <c r="GM7455"/>
      <c r="GN7455"/>
    </row>
    <row r="7456" spans="189:196" x14ac:dyDescent="0.25">
      <c r="GG7456"/>
      <c r="GH7456"/>
      <c r="GI7456"/>
      <c r="GK7456"/>
      <c r="GL7456"/>
      <c r="GM7456"/>
      <c r="GN7456"/>
    </row>
    <row r="7457" spans="189:196" x14ac:dyDescent="0.25">
      <c r="GG7457"/>
      <c r="GH7457"/>
      <c r="GI7457"/>
      <c r="GK7457"/>
      <c r="GL7457"/>
      <c r="GM7457"/>
      <c r="GN7457"/>
    </row>
    <row r="7458" spans="189:196" x14ac:dyDescent="0.25">
      <c r="GG7458"/>
      <c r="GH7458"/>
      <c r="GI7458"/>
      <c r="GK7458"/>
      <c r="GL7458"/>
      <c r="GM7458"/>
      <c r="GN7458"/>
    </row>
    <row r="7459" spans="189:196" x14ac:dyDescent="0.25">
      <c r="GG7459"/>
      <c r="GH7459"/>
      <c r="GI7459"/>
      <c r="GK7459"/>
      <c r="GL7459"/>
      <c r="GM7459"/>
      <c r="GN7459"/>
    </row>
    <row r="7460" spans="189:196" x14ac:dyDescent="0.25">
      <c r="GG7460"/>
      <c r="GH7460"/>
      <c r="GI7460"/>
      <c r="GK7460"/>
      <c r="GL7460"/>
      <c r="GM7460"/>
      <c r="GN7460"/>
    </row>
    <row r="7461" spans="189:196" x14ac:dyDescent="0.25">
      <c r="GG7461"/>
      <c r="GH7461"/>
      <c r="GI7461"/>
      <c r="GK7461"/>
      <c r="GL7461"/>
      <c r="GM7461"/>
      <c r="GN7461"/>
    </row>
    <row r="7462" spans="189:196" x14ac:dyDescent="0.25">
      <c r="GG7462"/>
      <c r="GH7462"/>
      <c r="GI7462"/>
      <c r="GK7462"/>
      <c r="GL7462"/>
      <c r="GM7462"/>
      <c r="GN7462"/>
    </row>
    <row r="7463" spans="189:196" x14ac:dyDescent="0.25">
      <c r="GG7463"/>
      <c r="GH7463"/>
      <c r="GI7463"/>
      <c r="GK7463"/>
      <c r="GL7463"/>
      <c r="GM7463"/>
      <c r="GN7463"/>
    </row>
    <row r="7464" spans="189:196" x14ac:dyDescent="0.25">
      <c r="GG7464"/>
      <c r="GH7464"/>
      <c r="GI7464"/>
      <c r="GK7464"/>
      <c r="GL7464"/>
      <c r="GM7464"/>
      <c r="GN7464"/>
    </row>
    <row r="7465" spans="189:196" x14ac:dyDescent="0.25">
      <c r="GG7465"/>
      <c r="GH7465"/>
      <c r="GI7465"/>
      <c r="GK7465"/>
      <c r="GL7465"/>
      <c r="GM7465"/>
      <c r="GN7465"/>
    </row>
    <row r="7466" spans="189:196" x14ac:dyDescent="0.25">
      <c r="GG7466"/>
      <c r="GH7466"/>
      <c r="GI7466"/>
      <c r="GK7466"/>
      <c r="GL7466"/>
      <c r="GM7466"/>
      <c r="GN7466"/>
    </row>
    <row r="7467" spans="189:196" x14ac:dyDescent="0.25">
      <c r="GG7467"/>
      <c r="GH7467"/>
      <c r="GI7467"/>
      <c r="GK7467"/>
      <c r="GL7467"/>
      <c r="GM7467"/>
      <c r="GN7467"/>
    </row>
    <row r="7468" spans="189:196" x14ac:dyDescent="0.25">
      <c r="GG7468"/>
      <c r="GH7468"/>
      <c r="GI7468"/>
      <c r="GK7468"/>
      <c r="GL7468"/>
      <c r="GM7468"/>
      <c r="GN7468"/>
    </row>
    <row r="7469" spans="189:196" x14ac:dyDescent="0.25">
      <c r="GG7469"/>
      <c r="GH7469"/>
      <c r="GI7469"/>
      <c r="GK7469"/>
      <c r="GL7469"/>
      <c r="GM7469"/>
      <c r="GN7469"/>
    </row>
    <row r="7470" spans="189:196" x14ac:dyDescent="0.25">
      <c r="GG7470"/>
      <c r="GH7470"/>
      <c r="GI7470"/>
      <c r="GK7470"/>
      <c r="GL7470"/>
      <c r="GM7470"/>
      <c r="GN7470"/>
    </row>
    <row r="7471" spans="189:196" x14ac:dyDescent="0.25">
      <c r="GG7471"/>
      <c r="GH7471"/>
      <c r="GI7471"/>
      <c r="GK7471"/>
      <c r="GL7471"/>
      <c r="GM7471"/>
      <c r="GN7471"/>
    </row>
    <row r="7472" spans="189:196" x14ac:dyDescent="0.25">
      <c r="GG7472"/>
      <c r="GH7472"/>
      <c r="GI7472"/>
      <c r="GK7472"/>
      <c r="GL7472"/>
      <c r="GM7472"/>
      <c r="GN7472"/>
    </row>
    <row r="7473" spans="189:196" x14ac:dyDescent="0.25">
      <c r="GG7473"/>
      <c r="GH7473"/>
      <c r="GI7473"/>
      <c r="GK7473"/>
      <c r="GL7473"/>
      <c r="GM7473"/>
      <c r="GN7473"/>
    </row>
    <row r="7474" spans="189:196" x14ac:dyDescent="0.25">
      <c r="GG7474"/>
      <c r="GH7474"/>
      <c r="GI7474"/>
      <c r="GK7474"/>
      <c r="GL7474"/>
      <c r="GM7474"/>
      <c r="GN7474"/>
    </row>
    <row r="7475" spans="189:196" x14ac:dyDescent="0.25">
      <c r="GG7475"/>
      <c r="GH7475"/>
      <c r="GI7475"/>
      <c r="GK7475"/>
      <c r="GL7475"/>
      <c r="GM7475"/>
      <c r="GN7475"/>
    </row>
    <row r="7476" spans="189:196" x14ac:dyDescent="0.25">
      <c r="GG7476"/>
      <c r="GH7476"/>
      <c r="GI7476"/>
      <c r="GK7476"/>
      <c r="GL7476"/>
      <c r="GM7476"/>
      <c r="GN7476"/>
    </row>
    <row r="7477" spans="189:196" x14ac:dyDescent="0.25">
      <c r="GG7477"/>
      <c r="GH7477"/>
      <c r="GI7477"/>
      <c r="GK7477"/>
      <c r="GL7477"/>
      <c r="GM7477"/>
      <c r="GN7477"/>
    </row>
    <row r="7478" spans="189:196" x14ac:dyDescent="0.25">
      <c r="GG7478"/>
      <c r="GH7478"/>
      <c r="GI7478"/>
      <c r="GK7478"/>
      <c r="GL7478"/>
      <c r="GM7478"/>
      <c r="GN7478"/>
    </row>
    <row r="7479" spans="189:196" x14ac:dyDescent="0.25">
      <c r="GG7479"/>
      <c r="GH7479"/>
      <c r="GI7479"/>
      <c r="GK7479"/>
      <c r="GL7479"/>
      <c r="GM7479"/>
      <c r="GN7479"/>
    </row>
    <row r="7480" spans="189:196" x14ac:dyDescent="0.25">
      <c r="GG7480"/>
      <c r="GH7480"/>
      <c r="GI7480"/>
      <c r="GK7480"/>
      <c r="GL7480"/>
      <c r="GM7480"/>
      <c r="GN7480"/>
    </row>
    <row r="7481" spans="189:196" x14ac:dyDescent="0.25">
      <c r="GG7481"/>
      <c r="GH7481"/>
      <c r="GI7481"/>
      <c r="GK7481"/>
      <c r="GL7481"/>
      <c r="GM7481"/>
      <c r="GN7481"/>
    </row>
    <row r="7482" spans="189:196" x14ac:dyDescent="0.25">
      <c r="GG7482"/>
      <c r="GH7482"/>
      <c r="GI7482"/>
      <c r="GK7482"/>
      <c r="GL7482"/>
      <c r="GM7482"/>
      <c r="GN7482"/>
    </row>
    <row r="7483" spans="189:196" x14ac:dyDescent="0.25">
      <c r="GG7483"/>
      <c r="GH7483"/>
      <c r="GI7483"/>
      <c r="GK7483"/>
      <c r="GL7483"/>
      <c r="GM7483"/>
      <c r="GN7483"/>
    </row>
    <row r="7484" spans="189:196" x14ac:dyDescent="0.25">
      <c r="GG7484"/>
      <c r="GH7484"/>
      <c r="GI7484"/>
      <c r="GK7484"/>
      <c r="GL7484"/>
      <c r="GM7484"/>
      <c r="GN7484"/>
    </row>
    <row r="7485" spans="189:196" x14ac:dyDescent="0.25">
      <c r="GG7485"/>
      <c r="GH7485"/>
      <c r="GI7485"/>
      <c r="GK7485"/>
      <c r="GL7485"/>
      <c r="GM7485"/>
      <c r="GN7485"/>
    </row>
    <row r="7486" spans="189:196" x14ac:dyDescent="0.25">
      <c r="GG7486"/>
      <c r="GH7486"/>
      <c r="GI7486"/>
      <c r="GK7486"/>
      <c r="GL7486"/>
      <c r="GM7486"/>
      <c r="GN7486"/>
    </row>
    <row r="7487" spans="189:196" x14ac:dyDescent="0.25">
      <c r="GG7487"/>
      <c r="GH7487"/>
      <c r="GI7487"/>
      <c r="GK7487"/>
      <c r="GL7487"/>
      <c r="GM7487"/>
      <c r="GN7487"/>
    </row>
    <row r="7488" spans="189:196" x14ac:dyDescent="0.25">
      <c r="GG7488"/>
      <c r="GH7488"/>
      <c r="GI7488"/>
      <c r="GK7488"/>
      <c r="GL7488"/>
      <c r="GM7488"/>
      <c r="GN7488"/>
    </row>
    <row r="7489" spans="189:196" x14ac:dyDescent="0.25">
      <c r="GG7489"/>
      <c r="GH7489"/>
      <c r="GI7489"/>
      <c r="GK7489"/>
      <c r="GL7489"/>
      <c r="GM7489"/>
      <c r="GN7489"/>
    </row>
    <row r="7490" spans="189:196" x14ac:dyDescent="0.25">
      <c r="GG7490"/>
      <c r="GH7490"/>
      <c r="GI7490"/>
      <c r="GK7490"/>
      <c r="GL7490"/>
      <c r="GM7490"/>
      <c r="GN7490"/>
    </row>
    <row r="7491" spans="189:196" x14ac:dyDescent="0.25">
      <c r="GG7491"/>
      <c r="GH7491"/>
      <c r="GI7491"/>
      <c r="GK7491"/>
      <c r="GL7491"/>
      <c r="GM7491"/>
      <c r="GN7491"/>
    </row>
    <row r="7492" spans="189:196" x14ac:dyDescent="0.25">
      <c r="GG7492"/>
      <c r="GH7492"/>
      <c r="GI7492"/>
      <c r="GK7492"/>
      <c r="GL7492"/>
      <c r="GM7492"/>
      <c r="GN7492"/>
    </row>
    <row r="7493" spans="189:196" x14ac:dyDescent="0.25">
      <c r="GG7493"/>
      <c r="GH7493"/>
      <c r="GI7493"/>
      <c r="GK7493"/>
      <c r="GL7493"/>
      <c r="GM7493"/>
      <c r="GN7493"/>
    </row>
    <row r="7494" spans="189:196" x14ac:dyDescent="0.25">
      <c r="GG7494"/>
      <c r="GH7494"/>
      <c r="GI7494"/>
      <c r="GK7494"/>
      <c r="GL7494"/>
      <c r="GM7494"/>
      <c r="GN7494"/>
    </row>
    <row r="7495" spans="189:196" x14ac:dyDescent="0.25">
      <c r="GG7495"/>
      <c r="GH7495"/>
      <c r="GI7495"/>
      <c r="GK7495"/>
      <c r="GL7495"/>
      <c r="GM7495"/>
      <c r="GN7495"/>
    </row>
    <row r="7496" spans="189:196" x14ac:dyDescent="0.25">
      <c r="GG7496"/>
      <c r="GH7496"/>
      <c r="GI7496"/>
      <c r="GK7496"/>
      <c r="GL7496"/>
      <c r="GM7496"/>
      <c r="GN7496"/>
    </row>
    <row r="7497" spans="189:196" x14ac:dyDescent="0.25">
      <c r="GG7497"/>
      <c r="GH7497"/>
      <c r="GI7497"/>
      <c r="GK7497"/>
      <c r="GL7497"/>
      <c r="GM7497"/>
      <c r="GN7497"/>
    </row>
    <row r="7498" spans="189:196" x14ac:dyDescent="0.25">
      <c r="GG7498"/>
      <c r="GH7498"/>
      <c r="GI7498"/>
      <c r="GK7498"/>
      <c r="GL7498"/>
      <c r="GM7498"/>
      <c r="GN7498"/>
    </row>
    <row r="7499" spans="189:196" x14ac:dyDescent="0.25">
      <c r="GG7499"/>
      <c r="GH7499"/>
      <c r="GI7499"/>
      <c r="GK7499"/>
      <c r="GL7499"/>
      <c r="GM7499"/>
      <c r="GN7499"/>
    </row>
    <row r="7500" spans="189:196" x14ac:dyDescent="0.25">
      <c r="GG7500"/>
      <c r="GH7500"/>
      <c r="GI7500"/>
      <c r="GK7500"/>
      <c r="GL7500"/>
      <c r="GM7500"/>
      <c r="GN7500"/>
    </row>
    <row r="7501" spans="189:196" x14ac:dyDescent="0.25">
      <c r="GG7501"/>
      <c r="GH7501"/>
      <c r="GI7501"/>
      <c r="GK7501"/>
      <c r="GL7501"/>
      <c r="GM7501"/>
      <c r="GN7501"/>
    </row>
    <row r="7502" spans="189:196" x14ac:dyDescent="0.25">
      <c r="GG7502"/>
      <c r="GH7502"/>
      <c r="GI7502"/>
      <c r="GK7502"/>
      <c r="GL7502"/>
      <c r="GM7502"/>
      <c r="GN7502"/>
    </row>
    <row r="7503" spans="189:196" x14ac:dyDescent="0.25">
      <c r="GG7503"/>
      <c r="GH7503"/>
      <c r="GI7503"/>
      <c r="GK7503"/>
      <c r="GL7503"/>
      <c r="GM7503"/>
      <c r="GN7503"/>
    </row>
    <row r="7504" spans="189:196" x14ac:dyDescent="0.25">
      <c r="GG7504"/>
      <c r="GH7504"/>
      <c r="GI7504"/>
      <c r="GK7504"/>
      <c r="GL7504"/>
      <c r="GM7504"/>
      <c r="GN7504"/>
    </row>
    <row r="7505" spans="189:196" x14ac:dyDescent="0.25">
      <c r="GG7505"/>
      <c r="GH7505"/>
      <c r="GI7505"/>
      <c r="GK7505"/>
      <c r="GL7505"/>
      <c r="GM7505"/>
      <c r="GN7505"/>
    </row>
    <row r="7506" spans="189:196" x14ac:dyDescent="0.25">
      <c r="GG7506"/>
      <c r="GH7506"/>
      <c r="GI7506"/>
      <c r="GK7506"/>
      <c r="GL7506"/>
      <c r="GM7506"/>
      <c r="GN7506"/>
    </row>
    <row r="7507" spans="189:196" x14ac:dyDescent="0.25">
      <c r="GG7507"/>
      <c r="GH7507"/>
      <c r="GI7507"/>
      <c r="GK7507"/>
      <c r="GL7507"/>
      <c r="GM7507"/>
      <c r="GN7507"/>
    </row>
    <row r="7508" spans="189:196" x14ac:dyDescent="0.25">
      <c r="GG7508"/>
      <c r="GH7508"/>
      <c r="GI7508"/>
      <c r="GK7508"/>
      <c r="GL7508"/>
      <c r="GM7508"/>
      <c r="GN7508"/>
    </row>
    <row r="7509" spans="189:196" x14ac:dyDescent="0.25">
      <c r="GG7509"/>
      <c r="GH7509"/>
      <c r="GI7509"/>
      <c r="GK7509"/>
      <c r="GL7509"/>
      <c r="GM7509"/>
      <c r="GN7509"/>
    </row>
    <row r="7510" spans="189:196" x14ac:dyDescent="0.25">
      <c r="GG7510"/>
      <c r="GH7510"/>
      <c r="GI7510"/>
      <c r="GK7510"/>
      <c r="GL7510"/>
      <c r="GM7510"/>
      <c r="GN7510"/>
    </row>
    <row r="7511" spans="189:196" x14ac:dyDescent="0.25">
      <c r="GG7511"/>
      <c r="GH7511"/>
      <c r="GI7511"/>
      <c r="GK7511"/>
      <c r="GL7511"/>
      <c r="GM7511"/>
      <c r="GN7511"/>
    </row>
    <row r="7512" spans="189:196" x14ac:dyDescent="0.25">
      <c r="GG7512"/>
      <c r="GH7512"/>
      <c r="GI7512"/>
      <c r="GK7512"/>
      <c r="GL7512"/>
      <c r="GM7512"/>
      <c r="GN7512"/>
    </row>
    <row r="7513" spans="189:196" x14ac:dyDescent="0.25">
      <c r="GG7513"/>
      <c r="GH7513"/>
      <c r="GI7513"/>
      <c r="GK7513"/>
      <c r="GL7513"/>
      <c r="GM7513"/>
      <c r="GN7513"/>
    </row>
    <row r="7514" spans="189:196" x14ac:dyDescent="0.25">
      <c r="GG7514"/>
      <c r="GH7514"/>
      <c r="GI7514"/>
      <c r="GK7514"/>
      <c r="GL7514"/>
      <c r="GM7514"/>
      <c r="GN7514"/>
    </row>
    <row r="7515" spans="189:196" x14ac:dyDescent="0.25">
      <c r="GG7515"/>
      <c r="GH7515"/>
      <c r="GI7515"/>
      <c r="GK7515"/>
      <c r="GL7515"/>
      <c r="GM7515"/>
      <c r="GN7515"/>
    </row>
    <row r="7516" spans="189:196" x14ac:dyDescent="0.25">
      <c r="GG7516"/>
      <c r="GH7516"/>
      <c r="GI7516"/>
      <c r="GK7516"/>
      <c r="GL7516"/>
      <c r="GM7516"/>
      <c r="GN7516"/>
    </row>
    <row r="7517" spans="189:196" x14ac:dyDescent="0.25">
      <c r="GG7517"/>
      <c r="GH7517"/>
      <c r="GI7517"/>
      <c r="GK7517"/>
      <c r="GL7517"/>
      <c r="GM7517"/>
      <c r="GN7517"/>
    </row>
    <row r="7518" spans="189:196" x14ac:dyDescent="0.25">
      <c r="GG7518"/>
      <c r="GH7518"/>
      <c r="GI7518"/>
      <c r="GK7518"/>
      <c r="GL7518"/>
      <c r="GM7518"/>
      <c r="GN7518"/>
    </row>
    <row r="7519" spans="189:196" x14ac:dyDescent="0.25">
      <c r="GG7519"/>
      <c r="GH7519"/>
      <c r="GI7519"/>
      <c r="GK7519"/>
      <c r="GL7519"/>
      <c r="GM7519"/>
      <c r="GN7519"/>
    </row>
    <row r="7520" spans="189:196" x14ac:dyDescent="0.25">
      <c r="GG7520"/>
      <c r="GH7520"/>
      <c r="GI7520"/>
      <c r="GK7520"/>
      <c r="GL7520"/>
      <c r="GM7520"/>
      <c r="GN7520"/>
    </row>
    <row r="7521" spans="189:196" x14ac:dyDescent="0.25">
      <c r="GG7521"/>
      <c r="GH7521"/>
      <c r="GI7521"/>
      <c r="GK7521"/>
      <c r="GL7521"/>
      <c r="GM7521"/>
      <c r="GN7521"/>
    </row>
    <row r="7522" spans="189:196" x14ac:dyDescent="0.25">
      <c r="GG7522"/>
      <c r="GH7522"/>
      <c r="GI7522"/>
      <c r="GK7522"/>
      <c r="GL7522"/>
      <c r="GM7522"/>
      <c r="GN7522"/>
    </row>
    <row r="7523" spans="189:196" x14ac:dyDescent="0.25">
      <c r="GG7523"/>
      <c r="GH7523"/>
      <c r="GI7523"/>
      <c r="GK7523"/>
      <c r="GL7523"/>
      <c r="GM7523"/>
      <c r="GN7523"/>
    </row>
    <row r="7524" spans="189:196" x14ac:dyDescent="0.25">
      <c r="GG7524"/>
      <c r="GH7524"/>
      <c r="GI7524"/>
      <c r="GK7524"/>
      <c r="GL7524"/>
      <c r="GM7524"/>
      <c r="GN7524"/>
    </row>
    <row r="7525" spans="189:196" x14ac:dyDescent="0.25">
      <c r="GG7525"/>
      <c r="GH7525"/>
      <c r="GI7525"/>
      <c r="GK7525"/>
      <c r="GL7525"/>
      <c r="GM7525"/>
      <c r="GN7525"/>
    </row>
    <row r="7526" spans="189:196" x14ac:dyDescent="0.25">
      <c r="GG7526"/>
      <c r="GH7526"/>
      <c r="GI7526"/>
      <c r="GK7526"/>
      <c r="GL7526"/>
      <c r="GM7526"/>
      <c r="GN7526"/>
    </row>
    <row r="7527" spans="189:196" x14ac:dyDescent="0.25">
      <c r="GG7527"/>
      <c r="GH7527"/>
      <c r="GI7527"/>
      <c r="GK7527"/>
      <c r="GL7527"/>
      <c r="GM7527"/>
      <c r="GN7527"/>
    </row>
    <row r="7528" spans="189:196" x14ac:dyDescent="0.25">
      <c r="GG7528"/>
      <c r="GH7528"/>
      <c r="GI7528"/>
      <c r="GK7528"/>
      <c r="GL7528"/>
      <c r="GM7528"/>
      <c r="GN7528"/>
    </row>
    <row r="7529" spans="189:196" x14ac:dyDescent="0.25">
      <c r="GG7529"/>
      <c r="GH7529"/>
      <c r="GI7529"/>
      <c r="GK7529"/>
      <c r="GL7529"/>
      <c r="GM7529"/>
      <c r="GN7529"/>
    </row>
    <row r="7530" spans="189:196" x14ac:dyDescent="0.25">
      <c r="GG7530"/>
      <c r="GH7530"/>
      <c r="GI7530"/>
      <c r="GK7530"/>
      <c r="GL7530"/>
      <c r="GM7530"/>
      <c r="GN7530"/>
    </row>
    <row r="7531" spans="189:196" x14ac:dyDescent="0.25">
      <c r="GG7531"/>
      <c r="GH7531"/>
      <c r="GI7531"/>
      <c r="GK7531"/>
      <c r="GL7531"/>
      <c r="GM7531"/>
      <c r="GN7531"/>
    </row>
    <row r="7532" spans="189:196" x14ac:dyDescent="0.25">
      <c r="GG7532"/>
      <c r="GH7532"/>
      <c r="GI7532"/>
      <c r="GK7532"/>
      <c r="GL7532"/>
      <c r="GM7532"/>
      <c r="GN7532"/>
    </row>
    <row r="7533" spans="189:196" x14ac:dyDescent="0.25">
      <c r="GG7533"/>
      <c r="GH7533"/>
      <c r="GI7533"/>
      <c r="GK7533"/>
      <c r="GL7533"/>
      <c r="GM7533"/>
      <c r="GN7533"/>
    </row>
    <row r="7534" spans="189:196" x14ac:dyDescent="0.25">
      <c r="GG7534"/>
      <c r="GH7534"/>
      <c r="GI7534"/>
      <c r="GK7534"/>
      <c r="GL7534"/>
      <c r="GM7534"/>
      <c r="GN7534"/>
    </row>
    <row r="7535" spans="189:196" x14ac:dyDescent="0.25">
      <c r="GG7535"/>
      <c r="GH7535"/>
      <c r="GI7535"/>
      <c r="GK7535"/>
      <c r="GL7535"/>
      <c r="GM7535"/>
      <c r="GN7535"/>
    </row>
    <row r="7536" spans="189:196" x14ac:dyDescent="0.25">
      <c r="GG7536"/>
      <c r="GH7536"/>
      <c r="GI7536"/>
      <c r="GK7536"/>
      <c r="GL7536"/>
      <c r="GM7536"/>
      <c r="GN7536"/>
    </row>
    <row r="7537" spans="189:196" x14ac:dyDescent="0.25">
      <c r="GG7537"/>
      <c r="GH7537"/>
      <c r="GI7537"/>
      <c r="GK7537"/>
      <c r="GL7537"/>
      <c r="GM7537"/>
      <c r="GN7537"/>
    </row>
    <row r="7538" spans="189:196" x14ac:dyDescent="0.25">
      <c r="GG7538"/>
      <c r="GH7538"/>
      <c r="GI7538"/>
      <c r="GK7538"/>
      <c r="GL7538"/>
      <c r="GM7538"/>
      <c r="GN7538"/>
    </row>
    <row r="7539" spans="189:196" x14ac:dyDescent="0.25">
      <c r="GG7539"/>
      <c r="GH7539"/>
      <c r="GI7539"/>
      <c r="GK7539"/>
      <c r="GL7539"/>
      <c r="GM7539"/>
      <c r="GN7539"/>
    </row>
    <row r="7540" spans="189:196" x14ac:dyDescent="0.25">
      <c r="GG7540"/>
      <c r="GH7540"/>
      <c r="GI7540"/>
      <c r="GK7540"/>
      <c r="GL7540"/>
      <c r="GM7540"/>
      <c r="GN7540"/>
    </row>
    <row r="7541" spans="189:196" x14ac:dyDescent="0.25">
      <c r="GG7541"/>
      <c r="GH7541"/>
      <c r="GI7541"/>
      <c r="GK7541"/>
      <c r="GL7541"/>
      <c r="GM7541"/>
      <c r="GN7541"/>
    </row>
    <row r="7542" spans="189:196" x14ac:dyDescent="0.25">
      <c r="GG7542"/>
      <c r="GH7542"/>
      <c r="GI7542"/>
      <c r="GK7542"/>
      <c r="GL7542"/>
      <c r="GM7542"/>
      <c r="GN7542"/>
    </row>
    <row r="7543" spans="189:196" x14ac:dyDescent="0.25">
      <c r="GG7543"/>
      <c r="GH7543"/>
      <c r="GI7543"/>
      <c r="GK7543"/>
      <c r="GL7543"/>
      <c r="GM7543"/>
      <c r="GN7543"/>
    </row>
    <row r="7544" spans="189:196" x14ac:dyDescent="0.25">
      <c r="GG7544"/>
      <c r="GH7544"/>
      <c r="GI7544"/>
      <c r="GK7544"/>
      <c r="GL7544"/>
      <c r="GM7544"/>
      <c r="GN7544"/>
    </row>
    <row r="7545" spans="189:196" x14ac:dyDescent="0.25">
      <c r="GG7545"/>
      <c r="GH7545"/>
      <c r="GI7545"/>
      <c r="GK7545"/>
      <c r="GL7545"/>
      <c r="GM7545"/>
      <c r="GN7545"/>
    </row>
    <row r="7546" spans="189:196" x14ac:dyDescent="0.25">
      <c r="GG7546"/>
      <c r="GH7546"/>
      <c r="GI7546"/>
      <c r="GK7546"/>
      <c r="GL7546"/>
      <c r="GM7546"/>
      <c r="GN7546"/>
    </row>
    <row r="7547" spans="189:196" x14ac:dyDescent="0.25">
      <c r="GG7547"/>
      <c r="GH7547"/>
      <c r="GI7547"/>
      <c r="GK7547"/>
      <c r="GL7547"/>
      <c r="GM7547"/>
      <c r="GN7547"/>
    </row>
    <row r="7548" spans="189:196" x14ac:dyDescent="0.25">
      <c r="GG7548"/>
      <c r="GH7548"/>
      <c r="GI7548"/>
      <c r="GK7548"/>
      <c r="GL7548"/>
      <c r="GM7548"/>
      <c r="GN7548"/>
    </row>
    <row r="7549" spans="189:196" x14ac:dyDescent="0.25">
      <c r="GG7549"/>
      <c r="GH7549"/>
      <c r="GI7549"/>
      <c r="GK7549"/>
      <c r="GL7549"/>
      <c r="GM7549"/>
      <c r="GN7549"/>
    </row>
    <row r="7550" spans="189:196" x14ac:dyDescent="0.25">
      <c r="GG7550"/>
      <c r="GH7550"/>
      <c r="GI7550"/>
      <c r="GK7550"/>
      <c r="GL7550"/>
      <c r="GM7550"/>
      <c r="GN7550"/>
    </row>
    <row r="7551" spans="189:196" x14ac:dyDescent="0.25">
      <c r="GG7551"/>
      <c r="GH7551"/>
      <c r="GI7551"/>
      <c r="GK7551"/>
      <c r="GL7551"/>
      <c r="GM7551"/>
      <c r="GN7551"/>
    </row>
    <row r="7552" spans="189:196" x14ac:dyDescent="0.25">
      <c r="GG7552"/>
      <c r="GH7552"/>
      <c r="GI7552"/>
      <c r="GK7552"/>
      <c r="GL7552"/>
      <c r="GM7552"/>
      <c r="GN7552"/>
    </row>
    <row r="7553" spans="189:196" x14ac:dyDescent="0.25">
      <c r="GG7553"/>
      <c r="GH7553"/>
      <c r="GI7553"/>
      <c r="GK7553"/>
      <c r="GL7553"/>
      <c r="GM7553"/>
      <c r="GN7553"/>
    </row>
    <row r="7554" spans="189:196" x14ac:dyDescent="0.25">
      <c r="GG7554"/>
      <c r="GH7554"/>
      <c r="GI7554"/>
      <c r="GK7554"/>
      <c r="GL7554"/>
      <c r="GM7554"/>
      <c r="GN7554"/>
    </row>
    <row r="7555" spans="189:196" x14ac:dyDescent="0.25">
      <c r="GG7555"/>
      <c r="GH7555"/>
      <c r="GI7555"/>
      <c r="GK7555"/>
      <c r="GL7555"/>
      <c r="GM7555"/>
      <c r="GN7555"/>
    </row>
    <row r="7556" spans="189:196" x14ac:dyDescent="0.25">
      <c r="GG7556"/>
      <c r="GH7556"/>
      <c r="GI7556"/>
      <c r="GK7556"/>
      <c r="GL7556"/>
      <c r="GM7556"/>
      <c r="GN7556"/>
    </row>
    <row r="7557" spans="189:196" x14ac:dyDescent="0.25">
      <c r="GG7557"/>
      <c r="GH7557"/>
      <c r="GI7557"/>
      <c r="GK7557"/>
      <c r="GL7557"/>
      <c r="GM7557"/>
      <c r="GN7557"/>
    </row>
    <row r="7558" spans="189:196" x14ac:dyDescent="0.25">
      <c r="GG7558"/>
      <c r="GH7558"/>
      <c r="GI7558"/>
      <c r="GK7558"/>
      <c r="GL7558"/>
      <c r="GM7558"/>
      <c r="GN7558"/>
    </row>
    <row r="7559" spans="189:196" x14ac:dyDescent="0.25">
      <c r="GG7559"/>
      <c r="GH7559"/>
      <c r="GI7559"/>
      <c r="GK7559"/>
      <c r="GL7559"/>
      <c r="GM7559"/>
      <c r="GN7559"/>
    </row>
    <row r="7560" spans="189:196" x14ac:dyDescent="0.25">
      <c r="GG7560"/>
      <c r="GH7560"/>
      <c r="GI7560"/>
      <c r="GK7560"/>
      <c r="GL7560"/>
      <c r="GM7560"/>
      <c r="GN7560"/>
    </row>
    <row r="7561" spans="189:196" x14ac:dyDescent="0.25">
      <c r="GG7561"/>
      <c r="GH7561"/>
      <c r="GI7561"/>
      <c r="GK7561"/>
      <c r="GL7561"/>
      <c r="GM7561"/>
      <c r="GN7561"/>
    </row>
    <row r="7562" spans="189:196" x14ac:dyDescent="0.25">
      <c r="GG7562"/>
      <c r="GH7562"/>
      <c r="GI7562"/>
      <c r="GK7562"/>
      <c r="GL7562"/>
      <c r="GM7562"/>
      <c r="GN7562"/>
    </row>
    <row r="7563" spans="189:196" x14ac:dyDescent="0.25">
      <c r="GG7563"/>
      <c r="GH7563"/>
      <c r="GI7563"/>
      <c r="GK7563"/>
      <c r="GL7563"/>
      <c r="GM7563"/>
      <c r="GN7563"/>
    </row>
    <row r="7564" spans="189:196" x14ac:dyDescent="0.25">
      <c r="GG7564"/>
      <c r="GH7564"/>
      <c r="GI7564"/>
      <c r="GK7564"/>
      <c r="GL7564"/>
      <c r="GM7564"/>
      <c r="GN7564"/>
    </row>
    <row r="7565" spans="189:196" x14ac:dyDescent="0.25">
      <c r="GG7565"/>
      <c r="GH7565"/>
      <c r="GI7565"/>
      <c r="GK7565"/>
      <c r="GL7565"/>
      <c r="GM7565"/>
      <c r="GN7565"/>
    </row>
    <row r="7566" spans="189:196" x14ac:dyDescent="0.25">
      <c r="GG7566"/>
      <c r="GH7566"/>
      <c r="GI7566"/>
      <c r="GK7566"/>
      <c r="GL7566"/>
      <c r="GM7566"/>
      <c r="GN7566"/>
    </row>
    <row r="7567" spans="189:196" x14ac:dyDescent="0.25">
      <c r="GG7567"/>
      <c r="GH7567"/>
      <c r="GI7567"/>
      <c r="GK7567"/>
      <c r="GL7567"/>
      <c r="GM7567"/>
      <c r="GN7567"/>
    </row>
    <row r="7568" spans="189:196" x14ac:dyDescent="0.25">
      <c r="GG7568"/>
      <c r="GH7568"/>
      <c r="GI7568"/>
      <c r="GK7568"/>
      <c r="GL7568"/>
      <c r="GM7568"/>
      <c r="GN7568"/>
    </row>
    <row r="7569" spans="189:196" x14ac:dyDescent="0.25">
      <c r="GG7569"/>
      <c r="GH7569"/>
      <c r="GI7569"/>
      <c r="GK7569"/>
      <c r="GL7569"/>
      <c r="GM7569"/>
      <c r="GN7569"/>
    </row>
    <row r="7570" spans="189:196" x14ac:dyDescent="0.25">
      <c r="GG7570"/>
      <c r="GH7570"/>
      <c r="GI7570"/>
      <c r="GK7570"/>
      <c r="GL7570"/>
      <c r="GM7570"/>
      <c r="GN7570"/>
    </row>
    <row r="7571" spans="189:196" x14ac:dyDescent="0.25">
      <c r="GG7571"/>
      <c r="GH7571"/>
      <c r="GI7571"/>
      <c r="GK7571"/>
      <c r="GL7571"/>
      <c r="GM7571"/>
      <c r="GN7571"/>
    </row>
    <row r="7572" spans="189:196" x14ac:dyDescent="0.25">
      <c r="GG7572"/>
      <c r="GH7572"/>
      <c r="GI7572"/>
      <c r="GK7572"/>
      <c r="GL7572"/>
      <c r="GM7572"/>
      <c r="GN7572"/>
    </row>
    <row r="7573" spans="189:196" x14ac:dyDescent="0.25">
      <c r="GG7573"/>
      <c r="GH7573"/>
      <c r="GI7573"/>
      <c r="GK7573"/>
      <c r="GL7573"/>
      <c r="GM7573"/>
      <c r="GN7573"/>
    </row>
    <row r="7574" spans="189:196" x14ac:dyDescent="0.25">
      <c r="GG7574"/>
      <c r="GH7574"/>
      <c r="GI7574"/>
      <c r="GK7574"/>
      <c r="GL7574"/>
      <c r="GM7574"/>
      <c r="GN7574"/>
    </row>
    <row r="7575" spans="189:196" x14ac:dyDescent="0.25">
      <c r="GG7575"/>
      <c r="GH7575"/>
      <c r="GI7575"/>
      <c r="GK7575"/>
      <c r="GL7575"/>
      <c r="GM7575"/>
      <c r="GN7575"/>
    </row>
    <row r="7576" spans="189:196" x14ac:dyDescent="0.25">
      <c r="GG7576"/>
      <c r="GH7576"/>
      <c r="GI7576"/>
      <c r="GK7576"/>
      <c r="GL7576"/>
      <c r="GM7576"/>
      <c r="GN7576"/>
    </row>
    <row r="7577" spans="189:196" x14ac:dyDescent="0.25">
      <c r="GG7577"/>
      <c r="GH7577"/>
      <c r="GI7577"/>
      <c r="GK7577"/>
      <c r="GL7577"/>
      <c r="GM7577"/>
      <c r="GN7577"/>
    </row>
    <row r="7578" spans="189:196" x14ac:dyDescent="0.25">
      <c r="GG7578"/>
      <c r="GH7578"/>
      <c r="GI7578"/>
      <c r="GK7578"/>
      <c r="GL7578"/>
      <c r="GM7578"/>
      <c r="GN7578"/>
    </row>
    <row r="7579" spans="189:196" x14ac:dyDescent="0.25">
      <c r="GG7579"/>
      <c r="GH7579"/>
      <c r="GI7579"/>
      <c r="GK7579"/>
      <c r="GL7579"/>
      <c r="GM7579"/>
      <c r="GN7579"/>
    </row>
    <row r="7580" spans="189:196" x14ac:dyDescent="0.25">
      <c r="GG7580"/>
      <c r="GH7580"/>
      <c r="GI7580"/>
      <c r="GK7580"/>
      <c r="GL7580"/>
      <c r="GM7580"/>
      <c r="GN7580"/>
    </row>
    <row r="7581" spans="189:196" x14ac:dyDescent="0.25">
      <c r="GG7581"/>
      <c r="GH7581"/>
      <c r="GI7581"/>
      <c r="GK7581"/>
      <c r="GL7581"/>
      <c r="GM7581"/>
      <c r="GN7581"/>
    </row>
    <row r="7582" spans="189:196" x14ac:dyDescent="0.25">
      <c r="GG7582"/>
      <c r="GH7582"/>
      <c r="GI7582"/>
      <c r="GK7582"/>
      <c r="GL7582"/>
      <c r="GM7582"/>
      <c r="GN7582"/>
    </row>
    <row r="7583" spans="189:196" x14ac:dyDescent="0.25">
      <c r="GG7583"/>
      <c r="GH7583"/>
      <c r="GI7583"/>
      <c r="GK7583"/>
      <c r="GL7583"/>
      <c r="GM7583"/>
      <c r="GN7583"/>
    </row>
    <row r="7584" spans="189:196" x14ac:dyDescent="0.25">
      <c r="GG7584"/>
      <c r="GH7584"/>
      <c r="GI7584"/>
      <c r="GK7584"/>
      <c r="GL7584"/>
      <c r="GM7584"/>
      <c r="GN7584"/>
    </row>
    <row r="7585" spans="189:196" x14ac:dyDescent="0.25">
      <c r="GG7585"/>
      <c r="GH7585"/>
      <c r="GI7585"/>
      <c r="GK7585"/>
      <c r="GL7585"/>
      <c r="GM7585"/>
      <c r="GN7585"/>
    </row>
    <row r="7586" spans="189:196" x14ac:dyDescent="0.25">
      <c r="GG7586"/>
      <c r="GH7586"/>
      <c r="GI7586"/>
      <c r="GK7586"/>
      <c r="GL7586"/>
      <c r="GM7586"/>
      <c r="GN7586"/>
    </row>
    <row r="7587" spans="189:196" x14ac:dyDescent="0.25">
      <c r="GG7587"/>
      <c r="GH7587"/>
      <c r="GI7587"/>
      <c r="GK7587"/>
      <c r="GL7587"/>
      <c r="GM7587"/>
      <c r="GN7587"/>
    </row>
    <row r="7588" spans="189:196" x14ac:dyDescent="0.25">
      <c r="GG7588"/>
      <c r="GH7588"/>
      <c r="GI7588"/>
      <c r="GK7588"/>
      <c r="GL7588"/>
      <c r="GM7588"/>
      <c r="GN7588"/>
    </row>
    <row r="7589" spans="189:196" x14ac:dyDescent="0.25">
      <c r="GG7589"/>
      <c r="GH7589"/>
      <c r="GI7589"/>
      <c r="GK7589"/>
      <c r="GL7589"/>
      <c r="GM7589"/>
      <c r="GN7589"/>
    </row>
    <row r="7590" spans="189:196" x14ac:dyDescent="0.25">
      <c r="GG7590"/>
      <c r="GH7590"/>
      <c r="GI7590"/>
      <c r="GK7590"/>
      <c r="GL7590"/>
      <c r="GM7590"/>
      <c r="GN7590"/>
    </row>
    <row r="7591" spans="189:196" x14ac:dyDescent="0.25">
      <c r="GG7591"/>
      <c r="GH7591"/>
      <c r="GI7591"/>
      <c r="GK7591"/>
      <c r="GL7591"/>
      <c r="GM7591"/>
      <c r="GN7591"/>
    </row>
    <row r="7592" spans="189:196" x14ac:dyDescent="0.25">
      <c r="GG7592"/>
      <c r="GH7592"/>
      <c r="GI7592"/>
      <c r="GK7592"/>
      <c r="GL7592"/>
      <c r="GM7592"/>
      <c r="GN7592"/>
    </row>
    <row r="7593" spans="189:196" x14ac:dyDescent="0.25">
      <c r="GG7593"/>
      <c r="GH7593"/>
      <c r="GI7593"/>
      <c r="GK7593"/>
      <c r="GL7593"/>
      <c r="GM7593"/>
      <c r="GN7593"/>
    </row>
    <row r="7594" spans="189:196" x14ac:dyDescent="0.25">
      <c r="GG7594"/>
      <c r="GH7594"/>
      <c r="GI7594"/>
      <c r="GK7594"/>
      <c r="GL7594"/>
      <c r="GM7594"/>
      <c r="GN7594"/>
    </row>
    <row r="7595" spans="189:196" x14ac:dyDescent="0.25">
      <c r="GG7595"/>
      <c r="GH7595"/>
      <c r="GI7595"/>
      <c r="GK7595"/>
      <c r="GL7595"/>
      <c r="GM7595"/>
      <c r="GN7595"/>
    </row>
    <row r="7596" spans="189:196" x14ac:dyDescent="0.25">
      <c r="GG7596"/>
      <c r="GH7596"/>
      <c r="GI7596"/>
      <c r="GK7596"/>
      <c r="GL7596"/>
      <c r="GM7596"/>
      <c r="GN7596"/>
    </row>
    <row r="7597" spans="189:196" x14ac:dyDescent="0.25">
      <c r="GG7597"/>
      <c r="GH7597"/>
      <c r="GI7597"/>
      <c r="GK7597"/>
      <c r="GL7597"/>
      <c r="GM7597"/>
      <c r="GN7597"/>
    </row>
    <row r="7598" spans="189:196" x14ac:dyDescent="0.25">
      <c r="GG7598"/>
      <c r="GH7598"/>
      <c r="GI7598"/>
      <c r="GK7598"/>
      <c r="GL7598"/>
      <c r="GM7598"/>
      <c r="GN7598"/>
    </row>
    <row r="7599" spans="189:196" x14ac:dyDescent="0.25">
      <c r="GG7599"/>
      <c r="GH7599"/>
      <c r="GI7599"/>
      <c r="GK7599"/>
      <c r="GL7599"/>
      <c r="GM7599"/>
      <c r="GN7599"/>
    </row>
    <row r="7600" spans="189:196" x14ac:dyDescent="0.25">
      <c r="GG7600"/>
      <c r="GH7600"/>
      <c r="GI7600"/>
      <c r="GK7600"/>
      <c r="GL7600"/>
      <c r="GM7600"/>
      <c r="GN7600"/>
    </row>
    <row r="7601" spans="189:196" x14ac:dyDescent="0.25">
      <c r="GG7601"/>
      <c r="GH7601"/>
      <c r="GI7601"/>
      <c r="GK7601"/>
      <c r="GL7601"/>
      <c r="GM7601"/>
      <c r="GN7601"/>
    </row>
    <row r="7602" spans="189:196" x14ac:dyDescent="0.25">
      <c r="GG7602"/>
      <c r="GH7602"/>
      <c r="GI7602"/>
      <c r="GK7602"/>
      <c r="GL7602"/>
      <c r="GM7602"/>
      <c r="GN7602"/>
    </row>
    <row r="7603" spans="189:196" x14ac:dyDescent="0.25">
      <c r="GG7603"/>
      <c r="GH7603"/>
      <c r="GI7603"/>
      <c r="GK7603"/>
      <c r="GL7603"/>
      <c r="GM7603"/>
      <c r="GN7603"/>
    </row>
    <row r="7604" spans="189:196" x14ac:dyDescent="0.25">
      <c r="GG7604"/>
      <c r="GH7604"/>
      <c r="GI7604"/>
      <c r="GK7604"/>
      <c r="GL7604"/>
      <c r="GM7604"/>
      <c r="GN7604"/>
    </row>
    <row r="7605" spans="189:196" x14ac:dyDescent="0.25">
      <c r="GG7605"/>
      <c r="GH7605"/>
      <c r="GI7605"/>
      <c r="GK7605"/>
      <c r="GL7605"/>
      <c r="GM7605"/>
      <c r="GN7605"/>
    </row>
    <row r="7606" spans="189:196" x14ac:dyDescent="0.25">
      <c r="GG7606"/>
      <c r="GH7606"/>
      <c r="GI7606"/>
      <c r="GK7606"/>
      <c r="GL7606"/>
      <c r="GM7606"/>
      <c r="GN7606"/>
    </row>
    <row r="7607" spans="189:196" x14ac:dyDescent="0.25">
      <c r="GG7607"/>
      <c r="GH7607"/>
      <c r="GI7607"/>
      <c r="GK7607"/>
      <c r="GL7607"/>
      <c r="GM7607"/>
      <c r="GN7607"/>
    </row>
    <row r="7608" spans="189:196" x14ac:dyDescent="0.25">
      <c r="GG7608"/>
      <c r="GH7608"/>
      <c r="GI7608"/>
      <c r="GK7608"/>
      <c r="GL7608"/>
      <c r="GM7608"/>
      <c r="GN7608"/>
    </row>
    <row r="7609" spans="189:196" x14ac:dyDescent="0.25">
      <c r="GG7609"/>
      <c r="GH7609"/>
      <c r="GI7609"/>
      <c r="GK7609"/>
      <c r="GL7609"/>
      <c r="GM7609"/>
      <c r="GN7609"/>
    </row>
    <row r="7610" spans="189:196" x14ac:dyDescent="0.25">
      <c r="GG7610"/>
      <c r="GH7610"/>
      <c r="GI7610"/>
      <c r="GK7610"/>
      <c r="GL7610"/>
      <c r="GM7610"/>
      <c r="GN7610"/>
    </row>
    <row r="7611" spans="189:196" x14ac:dyDescent="0.25">
      <c r="GG7611"/>
      <c r="GH7611"/>
      <c r="GI7611"/>
      <c r="GK7611"/>
      <c r="GL7611"/>
      <c r="GM7611"/>
      <c r="GN7611"/>
    </row>
    <row r="7612" spans="189:196" x14ac:dyDescent="0.25">
      <c r="GG7612"/>
      <c r="GH7612"/>
      <c r="GI7612"/>
      <c r="GK7612"/>
      <c r="GL7612"/>
      <c r="GM7612"/>
      <c r="GN7612"/>
    </row>
    <row r="7613" spans="189:196" x14ac:dyDescent="0.25">
      <c r="GG7613"/>
      <c r="GH7613"/>
      <c r="GI7613"/>
      <c r="GK7613"/>
      <c r="GL7613"/>
      <c r="GM7613"/>
      <c r="GN7613"/>
    </row>
    <row r="7614" spans="189:196" x14ac:dyDescent="0.25">
      <c r="GG7614"/>
      <c r="GH7614"/>
      <c r="GI7614"/>
      <c r="GK7614"/>
      <c r="GL7614"/>
      <c r="GM7614"/>
      <c r="GN7614"/>
    </row>
    <row r="7615" spans="189:196" x14ac:dyDescent="0.25">
      <c r="GG7615"/>
      <c r="GH7615"/>
      <c r="GI7615"/>
      <c r="GK7615"/>
      <c r="GL7615"/>
      <c r="GM7615"/>
      <c r="GN7615"/>
    </row>
    <row r="7616" spans="189:196" x14ac:dyDescent="0.25">
      <c r="GG7616"/>
      <c r="GH7616"/>
      <c r="GI7616"/>
      <c r="GK7616"/>
      <c r="GL7616"/>
      <c r="GM7616"/>
      <c r="GN7616"/>
    </row>
    <row r="7617" spans="189:196" x14ac:dyDescent="0.25">
      <c r="GG7617"/>
      <c r="GH7617"/>
      <c r="GI7617"/>
      <c r="GK7617"/>
      <c r="GL7617"/>
      <c r="GM7617"/>
      <c r="GN7617"/>
    </row>
    <row r="7618" spans="189:196" x14ac:dyDescent="0.25">
      <c r="GG7618"/>
      <c r="GH7618"/>
      <c r="GI7618"/>
      <c r="GK7618"/>
      <c r="GL7618"/>
      <c r="GM7618"/>
      <c r="GN7618"/>
    </row>
    <row r="7619" spans="189:196" x14ac:dyDescent="0.25">
      <c r="GG7619"/>
      <c r="GH7619"/>
      <c r="GI7619"/>
      <c r="GK7619"/>
      <c r="GL7619"/>
      <c r="GM7619"/>
      <c r="GN7619"/>
    </row>
    <row r="7620" spans="189:196" x14ac:dyDescent="0.25">
      <c r="GG7620"/>
      <c r="GH7620"/>
      <c r="GI7620"/>
      <c r="GK7620"/>
      <c r="GL7620"/>
      <c r="GM7620"/>
      <c r="GN7620"/>
    </row>
    <row r="7621" spans="189:196" x14ac:dyDescent="0.25">
      <c r="GG7621"/>
      <c r="GH7621"/>
      <c r="GI7621"/>
      <c r="GK7621"/>
      <c r="GL7621"/>
      <c r="GM7621"/>
      <c r="GN7621"/>
    </row>
    <row r="7622" spans="189:196" x14ac:dyDescent="0.25">
      <c r="GG7622"/>
      <c r="GH7622"/>
      <c r="GI7622"/>
      <c r="GK7622"/>
      <c r="GL7622"/>
      <c r="GM7622"/>
      <c r="GN7622"/>
    </row>
    <row r="7623" spans="189:196" x14ac:dyDescent="0.25">
      <c r="GG7623"/>
      <c r="GH7623"/>
      <c r="GI7623"/>
      <c r="GK7623"/>
      <c r="GL7623"/>
      <c r="GM7623"/>
      <c r="GN7623"/>
    </row>
    <row r="7624" spans="189:196" x14ac:dyDescent="0.25">
      <c r="GG7624"/>
      <c r="GH7624"/>
      <c r="GI7624"/>
      <c r="GK7624"/>
      <c r="GL7624"/>
      <c r="GM7624"/>
      <c r="GN7624"/>
    </row>
    <row r="7625" spans="189:196" x14ac:dyDescent="0.25">
      <c r="GG7625"/>
      <c r="GH7625"/>
      <c r="GI7625"/>
      <c r="GK7625"/>
      <c r="GL7625"/>
      <c r="GM7625"/>
      <c r="GN7625"/>
    </row>
    <row r="7626" spans="189:196" x14ac:dyDescent="0.25">
      <c r="GG7626"/>
      <c r="GH7626"/>
      <c r="GI7626"/>
      <c r="GK7626"/>
      <c r="GL7626"/>
      <c r="GM7626"/>
      <c r="GN7626"/>
    </row>
    <row r="7627" spans="189:196" x14ac:dyDescent="0.25">
      <c r="GG7627"/>
      <c r="GH7627"/>
      <c r="GI7627"/>
      <c r="GK7627"/>
      <c r="GL7627"/>
      <c r="GM7627"/>
      <c r="GN7627"/>
    </row>
    <row r="7628" spans="189:196" x14ac:dyDescent="0.25">
      <c r="GG7628"/>
      <c r="GH7628"/>
      <c r="GI7628"/>
      <c r="GK7628"/>
      <c r="GL7628"/>
      <c r="GM7628"/>
      <c r="GN7628"/>
    </row>
    <row r="7629" spans="189:196" x14ac:dyDescent="0.25">
      <c r="GG7629"/>
      <c r="GH7629"/>
      <c r="GI7629"/>
      <c r="GK7629"/>
      <c r="GL7629"/>
      <c r="GM7629"/>
      <c r="GN7629"/>
    </row>
  </sheetData>
  <mergeCells count="485">
    <mergeCell ref="CO7:DO7"/>
    <mergeCell ref="DP7:DP11"/>
    <mergeCell ref="A6:A11"/>
    <mergeCell ref="B6:B11"/>
    <mergeCell ref="C6:C11"/>
    <mergeCell ref="D6:AV6"/>
    <mergeCell ref="AW6:CD6"/>
    <mergeCell ref="CE6:CE11"/>
    <mergeCell ref="V7:AD7"/>
    <mergeCell ref="AE7:AE9"/>
    <mergeCell ref="AF7:AI8"/>
    <mergeCell ref="AJ7:AM8"/>
    <mergeCell ref="AN7:AQ8"/>
    <mergeCell ref="AR7:AV8"/>
    <mergeCell ref="AW7:AW11"/>
    <mergeCell ref="AX7:AX9"/>
    <mergeCell ref="AY7:AY9"/>
    <mergeCell ref="AZ7:AZ9"/>
    <mergeCell ref="AV9:AV11"/>
    <mergeCell ref="AX10:AX11"/>
    <mergeCell ref="AY10:AY11"/>
    <mergeCell ref="AZ10:AZ11"/>
    <mergeCell ref="BA7:BA9"/>
    <mergeCell ref="BB7:BE7"/>
    <mergeCell ref="RV6:TF6"/>
    <mergeCell ref="TM6:TO9"/>
    <mergeCell ref="TS6:TU8"/>
    <mergeCell ref="TV6:TZ9"/>
    <mergeCell ref="UA6:UC9"/>
    <mergeCell ref="D7:D11"/>
    <mergeCell ref="E7:H9"/>
    <mergeCell ref="I7:L9"/>
    <mergeCell ref="M7:P7"/>
    <mergeCell ref="Q7:U8"/>
    <mergeCell ref="NV6:OC8"/>
    <mergeCell ref="OD6:OR8"/>
    <mergeCell ref="OS6:OX8"/>
    <mergeCell ref="OY6:PZ8"/>
    <mergeCell ref="QA6:QE8"/>
    <mergeCell ref="QF6:RU8"/>
    <mergeCell ref="CF6:DO6"/>
    <mergeCell ref="DP6:EY6"/>
    <mergeCell ref="EZ6:GJ6"/>
    <mergeCell ref="GK6:IP8"/>
    <mergeCell ref="IQ6:JF8"/>
    <mergeCell ref="JG6:KI8"/>
    <mergeCell ref="CM7:CM9"/>
    <mergeCell ref="CN7:CN9"/>
    <mergeCell ref="BG7:BI7"/>
    <mergeCell ref="BJ7:CD7"/>
    <mergeCell ref="CF7:CG7"/>
    <mergeCell ref="CH7:CL7"/>
    <mergeCell ref="BF8:BF9"/>
    <mergeCell ref="BJ8:BO8"/>
    <mergeCell ref="BP8:BT8"/>
    <mergeCell ref="BU8:CC8"/>
    <mergeCell ref="DQ7:DR7"/>
    <mergeCell ref="CU8:CY8"/>
    <mergeCell ref="CZ8:DH8"/>
    <mergeCell ref="DI8:DL8"/>
    <mergeCell ref="DM8:DM9"/>
    <mergeCell ref="DN8:DN11"/>
    <mergeCell ref="DO8:DO11"/>
    <mergeCell ref="CU9:CU11"/>
    <mergeCell ref="CV9:CV11"/>
    <mergeCell ref="CW9:CW11"/>
    <mergeCell ref="CX9:CX11"/>
    <mergeCell ref="BJ9:BM9"/>
    <mergeCell ref="BN9:BO9"/>
    <mergeCell ref="BP9:BP11"/>
    <mergeCell ref="BQ9:BQ11"/>
    <mergeCell ref="BR9:BR11"/>
    <mergeCell ref="DS7:DW7"/>
    <mergeCell ref="DX7:DX9"/>
    <mergeCell ref="DY7:EY7"/>
    <mergeCell ref="EZ7:EZ11"/>
    <mergeCell ref="FA7:FB7"/>
    <mergeCell ref="DQ8:DQ9"/>
    <mergeCell ref="DR8:DR9"/>
    <mergeCell ref="DS8:DS9"/>
    <mergeCell ref="DT8:DW9"/>
    <mergeCell ref="DY8:ED8"/>
    <mergeCell ref="EE8:EI8"/>
    <mergeCell ref="EJ8:ER8"/>
    <mergeCell ref="ES8:EV8"/>
    <mergeCell ref="EW8:EW9"/>
    <mergeCell ref="EX8:EX11"/>
    <mergeCell ref="EG9:EG11"/>
    <mergeCell ref="EH9:EH11"/>
    <mergeCell ref="EI9:EI11"/>
    <mergeCell ref="EJ9:EL9"/>
    <mergeCell ref="EV9:EV11"/>
    <mergeCell ref="EW10:EW11"/>
    <mergeCell ref="FA10:FA11"/>
    <mergeCell ref="FB10:FB11"/>
    <mergeCell ref="TP7:TP9"/>
    <mergeCell ref="TQ7:TQ9"/>
    <mergeCell ref="TR7:TR9"/>
    <mergeCell ref="M8:O8"/>
    <mergeCell ref="V8:X9"/>
    <mergeCell ref="Y8:AA9"/>
    <mergeCell ref="AB8:AD9"/>
    <mergeCell ref="BB8:BE9"/>
    <mergeCell ref="RV7:RV11"/>
    <mergeCell ref="RW7:RX7"/>
    <mergeCell ref="RY7:SC7"/>
    <mergeCell ref="SD7:SD9"/>
    <mergeCell ref="SE7:TB7"/>
    <mergeCell ref="TC7:TD9"/>
    <mergeCell ref="SK8:SO8"/>
    <mergeCell ref="SP8:SX8"/>
    <mergeCell ref="SY8:TA8"/>
    <mergeCell ref="TB8:TB9"/>
    <mergeCell ref="FC7:FG7"/>
    <mergeCell ref="FH7:FH9"/>
    <mergeCell ref="FI7:GF7"/>
    <mergeCell ref="GG7:GH9"/>
    <mergeCell ref="GI7:GI9"/>
    <mergeCell ref="GJ7:GJ9"/>
    <mergeCell ref="KJ8:KV8"/>
    <mergeCell ref="KW8:MB9"/>
    <mergeCell ref="MC8:MK9"/>
    <mergeCell ref="MM8:MP9"/>
    <mergeCell ref="MQ8:MQ9"/>
    <mergeCell ref="MR8:MW9"/>
    <mergeCell ref="EY8:EY11"/>
    <mergeCell ref="FA8:FA9"/>
    <mergeCell ref="FB8:FB9"/>
    <mergeCell ref="FC8:FC9"/>
    <mergeCell ref="FD8:FG9"/>
    <mergeCell ref="FI8:FN8"/>
    <mergeCell ref="FI9:FL9"/>
    <mergeCell ref="FM9:FN9"/>
    <mergeCell ref="FF10:FF11"/>
    <mergeCell ref="FG10:FG11"/>
    <mergeCell ref="FO8:FS8"/>
    <mergeCell ref="FT8:GB8"/>
    <mergeCell ref="GC8:GE8"/>
    <mergeCell ref="GF8:GF9"/>
    <mergeCell ref="HS9:IP9"/>
    <mergeCell ref="IQ9:JF9"/>
    <mergeCell ref="JG9:JK9"/>
    <mergeCell ref="JL9:JP9"/>
    <mergeCell ref="MX8:NU9"/>
    <mergeCell ref="RW8:RW9"/>
    <mergeCell ref="RX8:RX9"/>
    <mergeCell ref="RY8:RY9"/>
    <mergeCell ref="RZ8:SC9"/>
    <mergeCell ref="SE8:SJ8"/>
    <mergeCell ref="NV9:OC9"/>
    <mergeCell ref="OD9:OR9"/>
    <mergeCell ref="OS9:OX9"/>
    <mergeCell ref="OY9:PZ9"/>
    <mergeCell ref="AU9:AU11"/>
    <mergeCell ref="AS10:AS11"/>
    <mergeCell ref="AT10:AT11"/>
    <mergeCell ref="S9:S11"/>
    <mergeCell ref="T9:T11"/>
    <mergeCell ref="U9:U11"/>
    <mergeCell ref="AH9:AH11"/>
    <mergeCell ref="AI9:AI11"/>
    <mergeCell ref="AL9:AL11"/>
    <mergeCell ref="AA10:AA11"/>
    <mergeCell ref="AB10:AB11"/>
    <mergeCell ref="AC10:AC11"/>
    <mergeCell ref="AD10:AD11"/>
    <mergeCell ref="AE10:AE11"/>
    <mergeCell ref="AF10:AF11"/>
    <mergeCell ref="AG10:AG11"/>
    <mergeCell ref="AJ10:AJ11"/>
    <mergeCell ref="AK10:AK11"/>
    <mergeCell ref="AR10:AR11"/>
    <mergeCell ref="AP9:AP11"/>
    <mergeCell ref="AQ9:AQ11"/>
    <mergeCell ref="BS9:BS11"/>
    <mergeCell ref="BM10:BM11"/>
    <mergeCell ref="BN10:BN11"/>
    <mergeCell ref="BO10:BO11"/>
    <mergeCell ref="DC9:DE9"/>
    <mergeCell ref="DF9:DH9"/>
    <mergeCell ref="DI9:DI11"/>
    <mergeCell ref="DJ9:DJ11"/>
    <mergeCell ref="DC10:DC11"/>
    <mergeCell ref="DD10:DD11"/>
    <mergeCell ref="DE10:DE11"/>
    <mergeCell ref="DF10:DF11"/>
    <mergeCell ref="BT9:BT11"/>
    <mergeCell ref="BU9:BW9"/>
    <mergeCell ref="BX9:BZ9"/>
    <mergeCell ref="CA9:CC9"/>
    <mergeCell ref="CO9:CR9"/>
    <mergeCell ref="CS9:CT9"/>
    <mergeCell ref="BU10:BU11"/>
    <mergeCell ref="BV10:BV11"/>
    <mergeCell ref="BW10:BW11"/>
    <mergeCell ref="BX10:BX11"/>
    <mergeCell ref="CD8:CD9"/>
    <mergeCell ref="CF8:CF9"/>
    <mergeCell ref="CG8:CG9"/>
    <mergeCell ref="CH8:CH9"/>
    <mergeCell ref="CI8:CL9"/>
    <mergeCell ref="CO8:CT8"/>
    <mergeCell ref="EM9:EO9"/>
    <mergeCell ref="EP9:ER9"/>
    <mergeCell ref="ES9:ES11"/>
    <mergeCell ref="ET9:ET11"/>
    <mergeCell ref="EU9:EU11"/>
    <mergeCell ref="EO10:EO11"/>
    <mergeCell ref="EP10:EP11"/>
    <mergeCell ref="EQ10:EQ11"/>
    <mergeCell ref="ER10:ER11"/>
    <mergeCell ref="CR10:CR11"/>
    <mergeCell ref="CS10:CS11"/>
    <mergeCell ref="CT10:CT11"/>
    <mergeCell ref="CZ10:CZ11"/>
    <mergeCell ref="DA10:DA11"/>
    <mergeCell ref="DB10:DB11"/>
    <mergeCell ref="CL10:CL11"/>
    <mergeCell ref="CM10:CM11"/>
    <mergeCell ref="CN10:CN11"/>
    <mergeCell ref="CO10:CO11"/>
    <mergeCell ref="CP10:CP11"/>
    <mergeCell ref="JQ9:KI9"/>
    <mergeCell ref="KJ9:KV9"/>
    <mergeCell ref="FW9:FY9"/>
    <mergeCell ref="FZ9:GB9"/>
    <mergeCell ref="GC9:GC11"/>
    <mergeCell ref="GD9:GD11"/>
    <mergeCell ref="GE9:GE11"/>
    <mergeCell ref="GK9:HR9"/>
    <mergeCell ref="FY10:FY11"/>
    <mergeCell ref="FZ10:FZ11"/>
    <mergeCell ref="GA10:GA11"/>
    <mergeCell ref="GB10:GB11"/>
    <mergeCell ref="GO10:GR10"/>
    <mergeCell ref="GT10:GW10"/>
    <mergeCell ref="GY10:HB10"/>
    <mergeCell ref="HD10:HG10"/>
    <mergeCell ref="HI10:HL10"/>
    <mergeCell ref="HN10:HQ10"/>
    <mergeCell ref="GF10:GF11"/>
    <mergeCell ref="GG10:GG11"/>
    <mergeCell ref="GH10:GH11"/>
    <mergeCell ref="GI10:GI11"/>
    <mergeCell ref="GJ10:GJ11"/>
    <mergeCell ref="GK10:GN10"/>
    <mergeCell ref="RS10:RT10"/>
    <mergeCell ref="RU10:RU11"/>
    <mergeCell ref="RW10:RW11"/>
    <mergeCell ref="RX10:RX11"/>
    <mergeCell ref="QA9:QE9"/>
    <mergeCell ref="QF9:QL9"/>
    <mergeCell ref="QM9:QS9"/>
    <mergeCell ref="QT9:QZ9"/>
    <mergeCell ref="RA9:RG9"/>
    <mergeCell ref="RH9:RN9"/>
    <mergeCell ref="QM10:QN10"/>
    <mergeCell ref="QO10:QP10"/>
    <mergeCell ref="QQ10:QR10"/>
    <mergeCell ref="QS10:QS11"/>
    <mergeCell ref="QT10:QU10"/>
    <mergeCell ref="QV10:QW10"/>
    <mergeCell ref="RN10:RN11"/>
    <mergeCell ref="RO10:RP10"/>
    <mergeCell ref="RQ10:RR10"/>
    <mergeCell ref="TS9:TU9"/>
    <mergeCell ref="E10:E11"/>
    <mergeCell ref="F10:F11"/>
    <mergeCell ref="G10:G11"/>
    <mergeCell ref="H10:H11"/>
    <mergeCell ref="I10:I11"/>
    <mergeCell ref="J10:J11"/>
    <mergeCell ref="K10:K11"/>
    <mergeCell ref="SN9:SN11"/>
    <mergeCell ref="SO9:SO11"/>
    <mergeCell ref="SP9:SR9"/>
    <mergeCell ref="SS9:SU9"/>
    <mergeCell ref="SV9:SX9"/>
    <mergeCell ref="SY9:SY11"/>
    <mergeCell ref="SP10:SP11"/>
    <mergeCell ref="SQ10:SQ11"/>
    <mergeCell ref="SR10:SR11"/>
    <mergeCell ref="SS10:SS11"/>
    <mergeCell ref="RO9:RU9"/>
    <mergeCell ref="SE9:SH9"/>
    <mergeCell ref="SI9:SJ9"/>
    <mergeCell ref="SK9:SK11"/>
    <mergeCell ref="SL9:SL11"/>
    <mergeCell ref="SM9:SM11"/>
    <mergeCell ref="L10:L11"/>
    <mergeCell ref="V10:V11"/>
    <mergeCell ref="W10:W11"/>
    <mergeCell ref="X10:X11"/>
    <mergeCell ref="Y10:Y11"/>
    <mergeCell ref="Z10:Z11"/>
    <mergeCell ref="AM9:AM11"/>
    <mergeCell ref="AN9:AN11"/>
    <mergeCell ref="AO9:AO11"/>
    <mergeCell ref="M9:M11"/>
    <mergeCell ref="N9:N11"/>
    <mergeCell ref="O9:O11"/>
    <mergeCell ref="P9:P11"/>
    <mergeCell ref="Q9:Q11"/>
    <mergeCell ref="R9:R11"/>
    <mergeCell ref="BG10:BG11"/>
    <mergeCell ref="BH10:BH11"/>
    <mergeCell ref="BI10:BI11"/>
    <mergeCell ref="BJ10:BJ11"/>
    <mergeCell ref="BK10:BK11"/>
    <mergeCell ref="BL10:BL11"/>
    <mergeCell ref="BA10:BA11"/>
    <mergeCell ref="BB10:BB11"/>
    <mergeCell ref="BC10:BC11"/>
    <mergeCell ref="BD10:BD11"/>
    <mergeCell ref="BE10:BE11"/>
    <mergeCell ref="BF10:BF11"/>
    <mergeCell ref="CF10:CF11"/>
    <mergeCell ref="CG10:CG11"/>
    <mergeCell ref="CH10:CH11"/>
    <mergeCell ref="CI10:CI11"/>
    <mergeCell ref="CJ10:CJ11"/>
    <mergeCell ref="CK10:CK11"/>
    <mergeCell ref="BY10:BY11"/>
    <mergeCell ref="BZ10:BZ11"/>
    <mergeCell ref="CA10:CA11"/>
    <mergeCell ref="CB10:CB11"/>
    <mergeCell ref="CC10:CC11"/>
    <mergeCell ref="CD10:CD11"/>
    <mergeCell ref="CQ10:CQ11"/>
    <mergeCell ref="CY9:CY11"/>
    <mergeCell ref="CZ9:DB9"/>
    <mergeCell ref="DX10:DX11"/>
    <mergeCell ref="DY10:DY11"/>
    <mergeCell ref="DZ10:DZ11"/>
    <mergeCell ref="EA10:EA11"/>
    <mergeCell ref="EB10:EB11"/>
    <mergeCell ref="EC10:EC11"/>
    <mergeCell ref="DG10:DG11"/>
    <mergeCell ref="DH10:DH11"/>
    <mergeCell ref="DM10:DM11"/>
    <mergeCell ref="DQ10:DQ11"/>
    <mergeCell ref="DR10:DR11"/>
    <mergeCell ref="DS10:DS11"/>
    <mergeCell ref="DK9:DK11"/>
    <mergeCell ref="DL9:DL11"/>
    <mergeCell ref="DY9:EA9"/>
    <mergeCell ref="EC9:ED9"/>
    <mergeCell ref="DT10:DT11"/>
    <mergeCell ref="DU10:DU11"/>
    <mergeCell ref="DV10:DV11"/>
    <mergeCell ref="DW10:DW11"/>
    <mergeCell ref="FC10:FC11"/>
    <mergeCell ref="FD10:FD11"/>
    <mergeCell ref="FE10:FE11"/>
    <mergeCell ref="ED10:ED11"/>
    <mergeCell ref="EJ10:EJ11"/>
    <mergeCell ref="EK10:EK11"/>
    <mergeCell ref="EL10:EL11"/>
    <mergeCell ref="EM10:EM11"/>
    <mergeCell ref="EN10:EN11"/>
    <mergeCell ref="EE9:EE11"/>
    <mergeCell ref="EF9:EF11"/>
    <mergeCell ref="FN10:FN11"/>
    <mergeCell ref="FT10:FT11"/>
    <mergeCell ref="FU10:FU11"/>
    <mergeCell ref="FV10:FV11"/>
    <mergeCell ref="FW10:FW11"/>
    <mergeCell ref="FX10:FX11"/>
    <mergeCell ref="FH10:FH11"/>
    <mergeCell ref="FI10:FI11"/>
    <mergeCell ref="FJ10:FJ11"/>
    <mergeCell ref="FK10:FK11"/>
    <mergeCell ref="FL10:FL11"/>
    <mergeCell ref="FM10:FM11"/>
    <mergeCell ref="FO9:FO11"/>
    <mergeCell ref="FP9:FP11"/>
    <mergeCell ref="FQ9:FQ11"/>
    <mergeCell ref="FR9:FR11"/>
    <mergeCell ref="FS9:FS11"/>
    <mergeCell ref="FT9:FV9"/>
    <mergeCell ref="IU10:IX10"/>
    <mergeCell ref="IY10:JB10"/>
    <mergeCell ref="JC10:JF10"/>
    <mergeCell ref="KW10:KZ10"/>
    <mergeCell ref="LA10:LD10"/>
    <mergeCell ref="LE10:LH10"/>
    <mergeCell ref="HS10:HV10"/>
    <mergeCell ref="HW10:HZ10"/>
    <mergeCell ref="IB10:IE10"/>
    <mergeCell ref="IG10:IJ10"/>
    <mergeCell ref="IL10:IO10"/>
    <mergeCell ref="IQ10:IT10"/>
    <mergeCell ref="ME10:MF10"/>
    <mergeCell ref="MG10:MH10"/>
    <mergeCell ref="MI10:MJ10"/>
    <mergeCell ref="MK10:ML10"/>
    <mergeCell ref="MR10:MR11"/>
    <mergeCell ref="MS10:MS11"/>
    <mergeCell ref="LI10:LL10"/>
    <mergeCell ref="LM10:LP10"/>
    <mergeCell ref="LQ10:LT10"/>
    <mergeCell ref="LU10:LX10"/>
    <mergeCell ref="LY10:MB10"/>
    <mergeCell ref="MC10:MD10"/>
    <mergeCell ref="NF10:NI10"/>
    <mergeCell ref="NJ10:NM10"/>
    <mergeCell ref="NN10:NQ10"/>
    <mergeCell ref="NR10:NU10"/>
    <mergeCell ref="NV10:NY10"/>
    <mergeCell ref="NZ10:OC10"/>
    <mergeCell ref="MT10:MT11"/>
    <mergeCell ref="MU10:MU11"/>
    <mergeCell ref="MV10:MV11"/>
    <mergeCell ref="MW10:MW11"/>
    <mergeCell ref="MX10:NA10"/>
    <mergeCell ref="NB10:NE10"/>
    <mergeCell ref="OY10:PB10"/>
    <mergeCell ref="PC10:PF10"/>
    <mergeCell ref="PG10:PJ10"/>
    <mergeCell ref="PK10:PN10"/>
    <mergeCell ref="PO10:PR10"/>
    <mergeCell ref="PS10:PV10"/>
    <mergeCell ref="OS10:OS11"/>
    <mergeCell ref="OT10:OT11"/>
    <mergeCell ref="OU10:OU11"/>
    <mergeCell ref="OV10:OV11"/>
    <mergeCell ref="OW10:OW11"/>
    <mergeCell ref="OX10:OX11"/>
    <mergeCell ref="PW10:PZ10"/>
    <mergeCell ref="QA10:QD10"/>
    <mergeCell ref="QF10:QG10"/>
    <mergeCell ref="QH10:QI10"/>
    <mergeCell ref="QJ10:QK10"/>
    <mergeCell ref="QL10:QL11"/>
    <mergeCell ref="RH10:RI10"/>
    <mergeCell ref="RJ10:RK10"/>
    <mergeCell ref="RL10:RM10"/>
    <mergeCell ref="QX10:QY10"/>
    <mergeCell ref="QZ10:QZ11"/>
    <mergeCell ref="RA10:RB10"/>
    <mergeCell ref="RC10:RD10"/>
    <mergeCell ref="RE10:RF10"/>
    <mergeCell ref="RG10:RG11"/>
    <mergeCell ref="SE10:SE11"/>
    <mergeCell ref="SF10:SF11"/>
    <mergeCell ref="SG10:SG11"/>
    <mergeCell ref="SH10:SH11"/>
    <mergeCell ref="SI10:SI11"/>
    <mergeCell ref="SJ10:SJ11"/>
    <mergeCell ref="RY10:RY11"/>
    <mergeCell ref="RZ10:RZ11"/>
    <mergeCell ref="SA10:SA11"/>
    <mergeCell ref="SB10:SB11"/>
    <mergeCell ref="SC10:SC11"/>
    <mergeCell ref="SD10:SD11"/>
    <mergeCell ref="TC10:TC11"/>
    <mergeCell ref="TD10:TD11"/>
    <mergeCell ref="TE10:TE11"/>
    <mergeCell ref="TF10:TF11"/>
    <mergeCell ref="TG10:TG11"/>
    <mergeCell ref="TM10:TO10"/>
    <mergeCell ref="ST10:ST11"/>
    <mergeCell ref="SU10:SU11"/>
    <mergeCell ref="SV10:SV11"/>
    <mergeCell ref="SW10:SW11"/>
    <mergeCell ref="SX10:SX11"/>
    <mergeCell ref="TB10:TB11"/>
    <mergeCell ref="SZ9:SZ11"/>
    <mergeCell ref="TA9:TA11"/>
    <mergeCell ref="TE7:TF9"/>
    <mergeCell ref="TG7:TG9"/>
    <mergeCell ref="UB10:UB11"/>
    <mergeCell ref="UC10:UC11"/>
    <mergeCell ref="TV10:TV11"/>
    <mergeCell ref="TW10:TW11"/>
    <mergeCell ref="TX10:TX11"/>
    <mergeCell ref="TY10:TY11"/>
    <mergeCell ref="TZ10:TZ11"/>
    <mergeCell ref="UA10:UA11"/>
    <mergeCell ref="TP10:TP11"/>
    <mergeCell ref="TQ10:TQ11"/>
    <mergeCell ref="TR10:TR11"/>
    <mergeCell ref="TS10:TS11"/>
    <mergeCell ref="TT10:TT11"/>
    <mergeCell ref="TU10:TU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u202221034 (Rodriguez Vitancio, Jhon Kevin)</cp:lastModifiedBy>
  <dcterms:created xsi:type="dcterms:W3CDTF">2015-06-05T18:19:34Z</dcterms:created>
  <dcterms:modified xsi:type="dcterms:W3CDTF">2026-08-29T22:57:09Z</dcterms:modified>
</cp:coreProperties>
</file>